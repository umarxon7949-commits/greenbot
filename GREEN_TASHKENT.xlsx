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1.xml" ContentType="application/vnd.openxmlformats-officedocument.spreadsheetml.comments+xml"/>
  <Override PartName="/xl/tables/table5.xml" ContentType="application/vnd.openxmlformats-officedocument.spreadsheetml.table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tables/table6.xml" ContentType="application/vnd.openxmlformats-officedocument.spreadsheetml.table+xml"/>
  <Override PartName="/xl/comments4.xml" ContentType="application/vnd.openxmlformats-officedocument.spreadsheetml.comments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Workbook________"/>
  <mc:AlternateContent xmlns:mc="http://schemas.openxmlformats.org/markup-compatibility/2006">
    <mc:Choice Requires="x15">
      <x15ac:absPath xmlns:x15ac="http://schemas.microsoft.com/office/spreadsheetml/2010/11/ac" url="https://d.docs.live.net/7fb3ef9893758969/Desktop/"/>
    </mc:Choice>
  </mc:AlternateContent>
  <xr:revisionPtr revIDLastSave="360" documentId="6_{E1321FD7-FD07-40EA-8D5A-3368C8A8C5E6}" xr6:coauthVersionLast="47" xr6:coauthVersionMax="47" xr10:uidLastSave="{2E22C8B8-B7BE-4317-B5C4-FCC0F939145D}"/>
  <bookViews>
    <workbookView xWindow="-98" yWindow="-98" windowWidth="21795" windowHeight="12975" tabRatio="1000" xr2:uid="{00000000-000D-0000-FFFF-FFFF00000000}"/>
  </bookViews>
  <sheets>
    <sheet name="Итого Месяцев" sheetId="2" r:id="rId1"/>
    <sheet name="Курс валют" sheetId="10" r:id="rId2"/>
    <sheet name="Оплата рабочих" sheetId="1" r:id="rId3"/>
    <sheet name="Бозорлик" sheetId="3" r:id="rId4"/>
    <sheet name="Снабжения" sheetId="6" r:id="rId5"/>
    <sheet name="Арматура приход" sheetId="4" r:id="rId6"/>
    <sheet name="Остаток" sheetId="18" r:id="rId7"/>
    <sheet name="Срочный заказ" sheetId="15" r:id="rId8"/>
    <sheet name="Контакты" sheetId="16" r:id="rId9"/>
    <sheet name="Бетон" sheetId="7" r:id="rId10"/>
    <sheet name="Строй.Мат" sheetId="8" r:id="rId11"/>
    <sheet name="Учет расходов" sheetId="9" r:id="rId12"/>
    <sheet name="Зарплата" sheetId="12" r:id="rId13"/>
    <sheet name="Расходы" sheetId="11" r:id="rId14"/>
    <sheet name="Спец.Техника" sheetId="13" r:id="rId15"/>
    <sheet name="Охрана" sheetId="14" r:id="rId16"/>
    <sheet name="Шерзод Ака" sheetId="17" r:id="rId17"/>
    <sheet name="Арматура приход (сырьё)" sheetId="5" state="hidden" r:id="rId18"/>
  </sheets>
  <externalReferences>
    <externalReference r:id="rId19"/>
  </externalReferences>
  <definedNames>
    <definedName name="_xlnm._FilterDatabase" localSheetId="15" hidden="1">Охрана!$A$4:$I$313</definedName>
    <definedName name="_xlnm._FilterDatabase" localSheetId="4" hidden="1">Снабжения!$A$2:$P$1000</definedName>
    <definedName name="_xlnm._FilterDatabase" localSheetId="7" hidden="1">'Срочный заказ'!$A$4:$H$124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08" i="8" l="1"/>
  <c r="M109" i="8"/>
  <c r="M110" i="8"/>
  <c r="M111" i="8"/>
  <c r="M112" i="8"/>
  <c r="M113" i="8"/>
  <c r="M114" i="8"/>
  <c r="M115" i="8"/>
  <c r="M116" i="8"/>
  <c r="M117" i="8"/>
  <c r="M527" i="8" s="1"/>
  <c r="M118" i="8"/>
  <c r="M119" i="8"/>
  <c r="M120" i="8"/>
  <c r="M121" i="8"/>
  <c r="M122" i="8"/>
  <c r="M123" i="8"/>
  <c r="M124" i="8"/>
  <c r="M125" i="8"/>
  <c r="M126" i="8"/>
  <c r="M127" i="8"/>
  <c r="M128" i="8"/>
  <c r="M129" i="8"/>
  <c r="M130" i="8"/>
  <c r="M131" i="8"/>
  <c r="M132" i="8"/>
  <c r="M133" i="8"/>
  <c r="M134" i="8"/>
  <c r="M135" i="8"/>
  <c r="M136" i="8"/>
  <c r="M137" i="8"/>
  <c r="M138" i="8"/>
  <c r="M139" i="8"/>
  <c r="M140" i="8"/>
  <c r="M141" i="8"/>
  <c r="M142" i="8"/>
  <c r="M143" i="8"/>
  <c r="M144" i="8"/>
  <c r="M145" i="8"/>
  <c r="M146" i="8"/>
  <c r="M147" i="8"/>
  <c r="M148" i="8"/>
  <c r="M149" i="8"/>
  <c r="M150" i="8"/>
  <c r="M151" i="8"/>
  <c r="M152" i="8"/>
  <c r="M153" i="8"/>
  <c r="M154" i="8"/>
  <c r="M155" i="8"/>
  <c r="M156" i="8"/>
  <c r="M157" i="8"/>
  <c r="M158" i="8"/>
  <c r="M159" i="8"/>
  <c r="M160" i="8"/>
  <c r="M161" i="8"/>
  <c r="M162" i="8"/>
  <c r="M163" i="8"/>
  <c r="M164" i="8"/>
  <c r="M165" i="8"/>
  <c r="M166" i="8"/>
  <c r="M167" i="8"/>
  <c r="M168" i="8"/>
  <c r="M169" i="8"/>
  <c r="M170" i="8"/>
  <c r="M171" i="8"/>
  <c r="M172" i="8"/>
  <c r="M173" i="8"/>
  <c r="M174" i="8"/>
  <c r="M175" i="8"/>
  <c r="M176" i="8"/>
  <c r="M177" i="8"/>
  <c r="M178" i="8"/>
  <c r="M179" i="8"/>
  <c r="M180" i="8"/>
  <c r="M181" i="8"/>
  <c r="M182" i="8"/>
  <c r="M183" i="8"/>
  <c r="M184" i="8"/>
  <c r="M185" i="8"/>
  <c r="M186" i="8"/>
  <c r="M187" i="8"/>
  <c r="M188" i="8"/>
  <c r="M189" i="8"/>
  <c r="M190" i="8"/>
  <c r="M191" i="8"/>
  <c r="M192" i="8"/>
  <c r="M193" i="8"/>
  <c r="M194" i="8"/>
  <c r="M195" i="8"/>
  <c r="M196" i="8"/>
  <c r="M197" i="8"/>
  <c r="M198" i="8"/>
  <c r="M199" i="8"/>
  <c r="M200" i="8"/>
  <c r="M201" i="8"/>
  <c r="M202" i="8"/>
  <c r="M203" i="8"/>
  <c r="M204" i="8"/>
  <c r="M205" i="8"/>
  <c r="M206" i="8"/>
  <c r="M207" i="8"/>
  <c r="M208" i="8"/>
  <c r="M209" i="8"/>
  <c r="M210" i="8"/>
  <c r="M211" i="8"/>
  <c r="M212" i="8"/>
  <c r="M213" i="8"/>
  <c r="M214" i="8"/>
  <c r="M215" i="8"/>
  <c r="M216" i="8"/>
  <c r="M217" i="8"/>
  <c r="M218" i="8"/>
  <c r="M219" i="8"/>
  <c r="M220" i="8"/>
  <c r="M221" i="8"/>
  <c r="M222" i="8"/>
  <c r="M223" i="8"/>
  <c r="M224" i="8"/>
  <c r="M225" i="8"/>
  <c r="M226" i="8"/>
  <c r="M227" i="8"/>
  <c r="M228" i="8"/>
  <c r="M229" i="8"/>
  <c r="M230" i="8"/>
  <c r="M231" i="8"/>
  <c r="M232" i="8"/>
  <c r="M233" i="8"/>
  <c r="M234" i="8"/>
  <c r="M235" i="8"/>
  <c r="M236" i="8"/>
  <c r="M237" i="8"/>
  <c r="M238" i="8"/>
  <c r="M239" i="8"/>
  <c r="M240" i="8"/>
  <c r="M241" i="8"/>
  <c r="M242" i="8"/>
  <c r="M243" i="8"/>
  <c r="M244" i="8"/>
  <c r="M245" i="8"/>
  <c r="M246" i="8"/>
  <c r="M247" i="8"/>
  <c r="M248" i="8"/>
  <c r="M249" i="8"/>
  <c r="M250" i="8"/>
  <c r="M251" i="8"/>
  <c r="M252" i="8"/>
  <c r="M253" i="8"/>
  <c r="M254" i="8"/>
  <c r="M255" i="8"/>
  <c r="M256" i="8"/>
  <c r="M257" i="8"/>
  <c r="M258" i="8"/>
  <c r="M259" i="8"/>
  <c r="M260" i="8"/>
  <c r="M261" i="8"/>
  <c r="M262" i="8"/>
  <c r="M263" i="8"/>
  <c r="M264" i="8"/>
  <c r="M265" i="8"/>
  <c r="M266" i="8"/>
  <c r="M267" i="8"/>
  <c r="M268" i="8"/>
  <c r="M269" i="8"/>
  <c r="M270" i="8"/>
  <c r="M271" i="8"/>
  <c r="M272" i="8"/>
  <c r="M273" i="8"/>
  <c r="M274" i="8"/>
  <c r="M275" i="8"/>
  <c r="M276" i="8"/>
  <c r="M277" i="8"/>
  <c r="M278" i="8"/>
  <c r="M279" i="8"/>
  <c r="M280" i="8"/>
  <c r="M281" i="8"/>
  <c r="M282" i="8"/>
  <c r="M283" i="8"/>
  <c r="M284" i="8"/>
  <c r="M285" i="8"/>
  <c r="M286" i="8"/>
  <c r="M287" i="8"/>
  <c r="M288" i="8"/>
  <c r="M289" i="8"/>
  <c r="M290" i="8"/>
  <c r="M291" i="8"/>
  <c r="M292" i="8"/>
  <c r="M293" i="8"/>
  <c r="M294" i="8"/>
  <c r="M295" i="8"/>
  <c r="M296" i="8"/>
  <c r="M297" i="8"/>
  <c r="M298" i="8"/>
  <c r="M299" i="8"/>
  <c r="M300" i="8"/>
  <c r="M301" i="8"/>
  <c r="M302" i="8"/>
  <c r="M303" i="8"/>
  <c r="M304" i="8"/>
  <c r="M305" i="8"/>
  <c r="M306" i="8"/>
  <c r="M307" i="8"/>
  <c r="M308" i="8"/>
  <c r="M309" i="8"/>
  <c r="M310" i="8"/>
  <c r="M311" i="8"/>
  <c r="M312" i="8"/>
  <c r="M313" i="8"/>
  <c r="M314" i="8"/>
  <c r="M315" i="8"/>
  <c r="M316" i="8"/>
  <c r="M317" i="8"/>
  <c r="M318" i="8"/>
  <c r="M319" i="8"/>
  <c r="M320" i="8"/>
  <c r="M321" i="8"/>
  <c r="M322" i="8"/>
  <c r="M323" i="8"/>
  <c r="M324" i="8"/>
  <c r="M325" i="8"/>
  <c r="M326" i="8"/>
  <c r="M327" i="8"/>
  <c r="M328" i="8"/>
  <c r="M329" i="8"/>
  <c r="M330" i="8"/>
  <c r="M331" i="8"/>
  <c r="M332" i="8"/>
  <c r="M333" i="8"/>
  <c r="M334" i="8"/>
  <c r="M335" i="8"/>
  <c r="M336" i="8"/>
  <c r="M337" i="8"/>
  <c r="M338" i="8"/>
  <c r="M339" i="8"/>
  <c r="M340" i="8"/>
  <c r="M341" i="8"/>
  <c r="M342" i="8"/>
  <c r="M343" i="8"/>
  <c r="M344" i="8"/>
  <c r="M345" i="8"/>
  <c r="M346" i="8"/>
  <c r="M347" i="8"/>
  <c r="M348" i="8"/>
  <c r="M349" i="8"/>
  <c r="M350" i="8"/>
  <c r="M351" i="8"/>
  <c r="M352" i="8"/>
  <c r="M353" i="8"/>
  <c r="M354" i="8"/>
  <c r="M355" i="8"/>
  <c r="M356" i="8"/>
  <c r="M357" i="8"/>
  <c r="M358" i="8"/>
  <c r="M359" i="8"/>
  <c r="M360" i="8"/>
  <c r="M361" i="8"/>
  <c r="M362" i="8"/>
  <c r="M363" i="8"/>
  <c r="M364" i="8"/>
  <c r="M365" i="8"/>
  <c r="M366" i="8"/>
  <c r="M367" i="8"/>
  <c r="M368" i="8"/>
  <c r="M369" i="8"/>
  <c r="M370" i="8"/>
  <c r="M371" i="8"/>
  <c r="M372" i="8"/>
  <c r="M373" i="8"/>
  <c r="M374" i="8"/>
  <c r="M375" i="8"/>
  <c r="M376" i="8"/>
  <c r="M377" i="8"/>
  <c r="M378" i="8"/>
  <c r="M379" i="8"/>
  <c r="M380" i="8"/>
  <c r="M381" i="8"/>
  <c r="M382" i="8"/>
  <c r="M383" i="8"/>
  <c r="M384" i="8"/>
  <c r="M385" i="8"/>
  <c r="M386" i="8"/>
  <c r="M387" i="8"/>
  <c r="M388" i="8"/>
  <c r="M389" i="8"/>
  <c r="M390" i="8"/>
  <c r="M391" i="8"/>
  <c r="M392" i="8"/>
  <c r="M393" i="8"/>
  <c r="M394" i="8"/>
  <c r="M395" i="8"/>
  <c r="M396" i="8"/>
  <c r="M397" i="8"/>
  <c r="M398" i="8"/>
  <c r="M399" i="8"/>
  <c r="M400" i="8"/>
  <c r="M401" i="8"/>
  <c r="M402" i="8"/>
  <c r="M403" i="8"/>
  <c r="M404" i="8"/>
  <c r="M405" i="8"/>
  <c r="M406" i="8"/>
  <c r="M407" i="8"/>
  <c r="M408" i="8"/>
  <c r="M409" i="8"/>
  <c r="M410" i="8"/>
  <c r="M411" i="8"/>
  <c r="M412" i="8"/>
  <c r="M413" i="8"/>
  <c r="M414" i="8"/>
  <c r="M415" i="8"/>
  <c r="M416" i="8"/>
  <c r="M417" i="8"/>
  <c r="M418" i="8"/>
  <c r="M419" i="8"/>
  <c r="M420" i="8"/>
  <c r="M421" i="8"/>
  <c r="M422" i="8"/>
  <c r="M423" i="8"/>
  <c r="M424" i="8"/>
  <c r="M425" i="8"/>
  <c r="M426" i="8"/>
  <c r="M427" i="8"/>
  <c r="M428" i="8"/>
  <c r="M429" i="8"/>
  <c r="M430" i="8"/>
  <c r="M431" i="8"/>
  <c r="M432" i="8"/>
  <c r="M433" i="8"/>
  <c r="M434" i="8"/>
  <c r="M435" i="8"/>
  <c r="M436" i="8"/>
  <c r="M437" i="8"/>
  <c r="M438" i="8"/>
  <c r="M439" i="8"/>
  <c r="M440" i="8"/>
  <c r="M441" i="8"/>
  <c r="M442" i="8"/>
  <c r="M443" i="8"/>
  <c r="M444" i="8"/>
  <c r="M445" i="8"/>
  <c r="M446" i="8"/>
  <c r="M447" i="8"/>
  <c r="M448" i="8"/>
  <c r="M449" i="8"/>
  <c r="M450" i="8"/>
  <c r="M451" i="8"/>
  <c r="M452" i="8"/>
  <c r="M453" i="8"/>
  <c r="M454" i="8"/>
  <c r="M455" i="8"/>
  <c r="M456" i="8"/>
  <c r="M457" i="8"/>
  <c r="M458" i="8"/>
  <c r="M459" i="8"/>
  <c r="M460" i="8"/>
  <c r="M461" i="8"/>
  <c r="M462" i="8"/>
  <c r="M463" i="8"/>
  <c r="M464" i="8"/>
  <c r="M465" i="8"/>
  <c r="M466" i="8"/>
  <c r="M467" i="8"/>
  <c r="M468" i="8"/>
  <c r="M469" i="8"/>
  <c r="M470" i="8"/>
  <c r="M471" i="8"/>
  <c r="M472" i="8"/>
  <c r="M473" i="8"/>
  <c r="M474" i="8"/>
  <c r="M475" i="8"/>
  <c r="M476" i="8"/>
  <c r="M477" i="8"/>
  <c r="M478" i="8"/>
  <c r="M479" i="8"/>
  <c r="M480" i="8"/>
  <c r="M481" i="8"/>
  <c r="M482" i="8"/>
  <c r="M483" i="8"/>
  <c r="M484" i="8"/>
  <c r="M485" i="8"/>
  <c r="M486" i="8"/>
  <c r="M487" i="8"/>
  <c r="M488" i="8"/>
  <c r="M489" i="8"/>
  <c r="M490" i="8"/>
  <c r="M491" i="8"/>
  <c r="M492" i="8"/>
  <c r="M493" i="8"/>
  <c r="M494" i="8"/>
  <c r="M495" i="8"/>
  <c r="M496" i="8"/>
  <c r="M497" i="8"/>
  <c r="M498" i="8"/>
  <c r="M499" i="8"/>
  <c r="M500" i="8"/>
  <c r="M501" i="8"/>
  <c r="M502" i="8"/>
  <c r="M503" i="8"/>
  <c r="M504" i="8"/>
  <c r="M505" i="8"/>
  <c r="M506" i="8"/>
  <c r="M507" i="8"/>
  <c r="M508" i="8"/>
  <c r="M509" i="8"/>
  <c r="M510" i="8"/>
  <c r="M511" i="8"/>
  <c r="M512" i="8"/>
  <c r="M513" i="8"/>
  <c r="M514" i="8"/>
  <c r="M515" i="8"/>
  <c r="M516" i="8"/>
  <c r="M517" i="8"/>
  <c r="M518" i="8"/>
  <c r="M519" i="8"/>
  <c r="M520" i="8"/>
  <c r="M521" i="8"/>
  <c r="M522" i="8"/>
  <c r="M523" i="8"/>
  <c r="M524" i="8"/>
  <c r="M106" i="8"/>
  <c r="M107" i="8"/>
  <c r="B3" i="2"/>
  <c r="N207" i="11"/>
  <c r="N208" i="11"/>
  <c r="N209" i="11"/>
  <c r="N210" i="11"/>
  <c r="N211" i="11"/>
  <c r="N212" i="11"/>
  <c r="N213" i="11"/>
  <c r="N214" i="11"/>
  <c r="N215" i="11"/>
  <c r="N216" i="11"/>
  <c r="N217" i="11"/>
  <c r="N218" i="11"/>
  <c r="N219" i="11"/>
  <c r="N220" i="11"/>
  <c r="N221" i="11"/>
  <c r="N222" i="11"/>
  <c r="N223" i="11"/>
  <c r="N224" i="11"/>
  <c r="N225" i="11"/>
  <c r="N226" i="11"/>
  <c r="N227" i="11"/>
  <c r="N228" i="11"/>
  <c r="N229" i="11"/>
  <c r="N230" i="11"/>
  <c r="N231" i="11"/>
  <c r="N232" i="11"/>
  <c r="N233" i="11"/>
  <c r="N234" i="11"/>
  <c r="N235" i="11"/>
  <c r="N236" i="11"/>
  <c r="N237" i="11"/>
  <c r="N238" i="11"/>
  <c r="N239" i="11"/>
  <c r="N240" i="11"/>
  <c r="N241" i="11"/>
  <c r="N242" i="11"/>
  <c r="N243" i="11"/>
  <c r="N244" i="11"/>
  <c r="N245" i="11"/>
  <c r="N246" i="11"/>
  <c r="N247" i="11"/>
  <c r="N248" i="11"/>
  <c r="N249" i="11"/>
  <c r="N250" i="11"/>
  <c r="H17" i="2"/>
  <c r="P807" i="6"/>
  <c r="P808" i="6"/>
  <c r="P809" i="6"/>
  <c r="P810" i="6"/>
  <c r="P811" i="6"/>
  <c r="P812" i="6"/>
  <c r="P813" i="6"/>
  <c r="P814" i="6"/>
  <c r="P815" i="6"/>
  <c r="P816" i="6"/>
  <c r="P817" i="6"/>
  <c r="P818" i="6"/>
  <c r="P819" i="6"/>
  <c r="P820" i="6"/>
  <c r="P821" i="6"/>
  <c r="P822" i="6"/>
  <c r="P823" i="6"/>
  <c r="P824" i="6"/>
  <c r="P825" i="6"/>
  <c r="P826" i="6"/>
  <c r="P827" i="6"/>
  <c r="P828" i="6"/>
  <c r="P829" i="6"/>
  <c r="P830" i="6"/>
  <c r="P831" i="6"/>
  <c r="P832" i="6"/>
  <c r="P833" i="6"/>
  <c r="P834" i="6"/>
  <c r="P835" i="6"/>
  <c r="P836" i="6"/>
  <c r="P837" i="6"/>
  <c r="P838" i="6"/>
  <c r="P839" i="6"/>
  <c r="P840" i="6"/>
  <c r="P841" i="6"/>
  <c r="P842" i="6"/>
  <c r="P843" i="6"/>
  <c r="P844" i="6"/>
  <c r="P845" i="6"/>
  <c r="P846" i="6"/>
  <c r="P847" i="6"/>
  <c r="P848" i="6"/>
  <c r="P849" i="6"/>
  <c r="P850" i="6"/>
  <c r="P851" i="6"/>
  <c r="P852" i="6"/>
  <c r="P853" i="6"/>
  <c r="P854" i="6"/>
  <c r="P855" i="6"/>
  <c r="P856" i="6"/>
  <c r="P857" i="6"/>
  <c r="P858" i="6"/>
  <c r="P859" i="6"/>
  <c r="P860" i="6"/>
  <c r="P861" i="6"/>
  <c r="P862" i="6"/>
  <c r="P863" i="6"/>
  <c r="P864" i="6"/>
  <c r="P865" i="6"/>
  <c r="P866" i="6"/>
  <c r="P867" i="6"/>
  <c r="P868" i="6"/>
  <c r="P869" i="6"/>
  <c r="P870" i="6"/>
  <c r="P871" i="6"/>
  <c r="P872" i="6"/>
  <c r="P873" i="6"/>
  <c r="P874" i="6"/>
  <c r="P875" i="6"/>
  <c r="P876" i="6"/>
  <c r="P877" i="6"/>
  <c r="P878" i="6"/>
  <c r="P879" i="6"/>
  <c r="P880" i="6"/>
  <c r="P881" i="6"/>
  <c r="P882" i="6"/>
  <c r="P883" i="6"/>
  <c r="P884" i="6"/>
  <c r="P885" i="6"/>
  <c r="P886" i="6"/>
  <c r="P887" i="6"/>
  <c r="P888" i="6"/>
  <c r="P889" i="6"/>
  <c r="P890" i="6"/>
  <c r="P891" i="6"/>
  <c r="P892" i="6"/>
  <c r="P893" i="6"/>
  <c r="P894" i="6"/>
  <c r="P895" i="6"/>
  <c r="P896" i="6"/>
  <c r="P897" i="6"/>
  <c r="P898" i="6"/>
  <c r="P899" i="6"/>
  <c r="P900" i="6"/>
  <c r="P901" i="6"/>
  <c r="P902" i="6"/>
  <c r="P903" i="6"/>
  <c r="P904" i="6"/>
  <c r="P905" i="6"/>
  <c r="P906" i="6"/>
  <c r="P907" i="6"/>
  <c r="P908" i="6"/>
  <c r="P909" i="6"/>
  <c r="P910" i="6"/>
  <c r="P911" i="6"/>
  <c r="P912" i="6"/>
  <c r="P913" i="6"/>
  <c r="P914" i="6"/>
  <c r="P915" i="6"/>
  <c r="P916" i="6"/>
  <c r="P917" i="6"/>
  <c r="P919" i="6"/>
  <c r="P920" i="6"/>
  <c r="P921" i="6"/>
  <c r="P922" i="6"/>
  <c r="P923" i="6"/>
  <c r="P924" i="6"/>
  <c r="P925" i="6"/>
  <c r="P926" i="6"/>
  <c r="P927" i="6"/>
  <c r="P928" i="6"/>
  <c r="P929" i="6"/>
  <c r="P930" i="6"/>
  <c r="P931" i="6"/>
  <c r="P932" i="6"/>
  <c r="P933" i="6"/>
  <c r="P934" i="6"/>
  <c r="P935" i="6"/>
  <c r="P936" i="6"/>
  <c r="P937" i="6"/>
  <c r="P938" i="6"/>
  <c r="P939" i="6"/>
  <c r="P940" i="6"/>
  <c r="P941" i="6"/>
  <c r="P942" i="6"/>
  <c r="P943" i="6"/>
  <c r="P944" i="6"/>
  <c r="P945" i="6"/>
  <c r="P946" i="6"/>
  <c r="P947" i="6"/>
  <c r="P948" i="6"/>
  <c r="P949" i="6"/>
  <c r="P950" i="6"/>
  <c r="P951" i="6"/>
  <c r="P952" i="6"/>
  <c r="P953" i="6"/>
  <c r="P954" i="6"/>
  <c r="P955" i="6"/>
  <c r="P956" i="6"/>
  <c r="P957" i="6"/>
  <c r="P958" i="6"/>
  <c r="P959" i="6"/>
  <c r="P960" i="6"/>
  <c r="P961" i="6"/>
  <c r="P962" i="6"/>
  <c r="P963" i="6"/>
  <c r="P964" i="6"/>
  <c r="P965" i="6"/>
  <c r="P966" i="6"/>
  <c r="P967" i="6"/>
  <c r="P968" i="6"/>
  <c r="P969" i="6"/>
  <c r="P970" i="6"/>
  <c r="P971" i="6"/>
  <c r="P972" i="6"/>
  <c r="P973" i="6"/>
  <c r="P974" i="6"/>
  <c r="P975" i="6"/>
  <c r="P976" i="6"/>
  <c r="P977" i="6"/>
  <c r="P978" i="6"/>
  <c r="P979" i="6"/>
  <c r="P980" i="6"/>
  <c r="P981" i="6"/>
  <c r="P982" i="6"/>
  <c r="P983" i="6"/>
  <c r="P984" i="6"/>
  <c r="P985" i="6"/>
  <c r="P986" i="6"/>
  <c r="P987" i="6"/>
  <c r="P988" i="6"/>
  <c r="P989" i="6"/>
  <c r="P990" i="6"/>
  <c r="P991" i="6"/>
  <c r="P992" i="6"/>
  <c r="P993" i="6"/>
  <c r="P994" i="6"/>
  <c r="P995" i="6"/>
  <c r="P996" i="6"/>
  <c r="P997" i="6"/>
  <c r="P998" i="6"/>
  <c r="P999" i="6"/>
  <c r="P1000" i="6"/>
  <c r="H24" i="2"/>
  <c r="H20" i="2"/>
  <c r="H18" i="2"/>
  <c r="H9" i="2"/>
  <c r="H16" i="2"/>
  <c r="H10" i="2"/>
  <c r="H7" i="2"/>
  <c r="H6" i="2"/>
  <c r="H5" i="2"/>
  <c r="H4" i="2"/>
  <c r="H3" i="2"/>
  <c r="H11" i="2"/>
  <c r="G26" i="1"/>
  <c r="N924" i="6"/>
  <c r="N925" i="6"/>
  <c r="N926" i="6"/>
  <c r="N927" i="6"/>
  <c r="N928" i="6"/>
  <c r="N929" i="6"/>
  <c r="N930" i="6"/>
  <c r="N931" i="6"/>
  <c r="N932" i="6"/>
  <c r="N933" i="6"/>
  <c r="N934" i="6"/>
  <c r="N935" i="6"/>
  <c r="N936" i="6"/>
  <c r="N937" i="6"/>
  <c r="N938" i="6"/>
  <c r="N939" i="6"/>
  <c r="N940" i="6"/>
  <c r="N941" i="6"/>
  <c r="N942" i="6"/>
  <c r="N943" i="6"/>
  <c r="N944" i="6"/>
  <c r="N945" i="6"/>
  <c r="N946" i="6"/>
  <c r="N947" i="6"/>
  <c r="N948" i="6"/>
  <c r="N949" i="6"/>
  <c r="N950" i="6"/>
  <c r="N951" i="6"/>
  <c r="N952" i="6"/>
  <c r="N953" i="6"/>
  <c r="N954" i="6"/>
  <c r="N955" i="6"/>
  <c r="N956" i="6"/>
  <c r="N957" i="6"/>
  <c r="N958" i="6"/>
  <c r="N959" i="6"/>
  <c r="N960" i="6"/>
  <c r="N961" i="6"/>
  <c r="N962" i="6"/>
  <c r="N963" i="6"/>
  <c r="N964" i="6"/>
  <c r="N965" i="6"/>
  <c r="N966" i="6"/>
  <c r="N967" i="6"/>
  <c r="N968" i="6"/>
  <c r="N969" i="6"/>
  <c r="N970" i="6"/>
  <c r="N971" i="6"/>
  <c r="N972" i="6"/>
  <c r="N973" i="6"/>
  <c r="N974" i="6"/>
  <c r="N975" i="6"/>
  <c r="N976" i="6"/>
  <c r="N977" i="6"/>
  <c r="N978" i="6"/>
  <c r="N979" i="6"/>
  <c r="N980" i="6"/>
  <c r="N981" i="6"/>
  <c r="N982" i="6"/>
  <c r="N983" i="6"/>
  <c r="N984" i="6"/>
  <c r="N985" i="6"/>
  <c r="N986" i="6"/>
  <c r="N987" i="6"/>
  <c r="N988" i="6"/>
  <c r="N989" i="6"/>
  <c r="N990" i="6"/>
  <c r="N991" i="6"/>
  <c r="N992" i="6"/>
  <c r="N993" i="6"/>
  <c r="N994" i="6"/>
  <c r="N995" i="6"/>
  <c r="N996" i="6"/>
  <c r="N997" i="6"/>
  <c r="N998" i="6"/>
  <c r="N999" i="6"/>
  <c r="N1000" i="6"/>
  <c r="D4" i="18"/>
  <c r="C13" i="18"/>
  <c r="D13" i="18"/>
  <c r="C12" i="18"/>
  <c r="D12" i="18"/>
  <c r="C11" i="18"/>
  <c r="D11" i="18"/>
  <c r="C10" i="18"/>
  <c r="D10" i="18"/>
  <c r="C9" i="18"/>
  <c r="D9" i="18"/>
  <c r="C8" i="18"/>
  <c r="D8" i="18"/>
  <c r="C7" i="18"/>
  <c r="D7" i="18"/>
  <c r="C6" i="18"/>
  <c r="D6" i="18"/>
  <c r="C5" i="18"/>
  <c r="D5" i="18"/>
  <c r="C4" i="18"/>
  <c r="B13" i="18"/>
  <c r="B12" i="18"/>
  <c r="B11" i="18"/>
  <c r="B10" i="18"/>
  <c r="B9" i="18"/>
  <c r="B8" i="18"/>
  <c r="B7" i="18"/>
  <c r="B6" i="18"/>
  <c r="B5" i="18"/>
  <c r="B4" i="18"/>
  <c r="P104" i="8"/>
  <c r="P106" i="8"/>
  <c r="P105" i="8"/>
  <c r="P107" i="8"/>
  <c r="P102" i="8"/>
  <c r="X244" i="4"/>
  <c r="AD244" i="4"/>
  <c r="X211" i="4"/>
  <c r="AD211" i="4"/>
  <c r="N923" i="6"/>
  <c r="N922" i="6"/>
  <c r="N921" i="6"/>
  <c r="N920" i="6"/>
  <c r="N919" i="6"/>
  <c r="N918" i="6"/>
  <c r="N917" i="6"/>
  <c r="N916" i="6"/>
  <c r="N915" i="6"/>
  <c r="N914" i="6"/>
  <c r="N913" i="6"/>
  <c r="N912" i="6"/>
  <c r="N911" i="6"/>
  <c r="N910" i="6"/>
  <c r="N909" i="6"/>
  <c r="N908" i="6"/>
  <c r="N907" i="6"/>
  <c r="N906" i="6"/>
  <c r="N905" i="6"/>
  <c r="N904" i="6"/>
  <c r="N903" i="6"/>
  <c r="N902" i="6"/>
  <c r="N901" i="6"/>
  <c r="N900" i="6"/>
  <c r="H901" i="6"/>
  <c r="H902" i="6"/>
  <c r="H903" i="6"/>
  <c r="H904" i="6"/>
  <c r="H905" i="6"/>
  <c r="H906" i="6"/>
  <c r="H907" i="6"/>
  <c r="H908" i="6"/>
  <c r="H909" i="6"/>
  <c r="H910" i="6"/>
  <c r="H911" i="6"/>
  <c r="H912" i="6"/>
  <c r="H913" i="6"/>
  <c r="H914" i="6"/>
  <c r="H915" i="6"/>
  <c r="H916" i="6"/>
  <c r="H917" i="6"/>
  <c r="H918" i="6"/>
  <c r="P918" i="6"/>
  <c r="H919" i="6"/>
  <c r="H920" i="6"/>
  <c r="H921" i="6"/>
  <c r="H922" i="6"/>
  <c r="H923" i="6"/>
  <c r="H924" i="6"/>
  <c r="H925" i="6"/>
  <c r="H926" i="6"/>
  <c r="H927" i="6"/>
  <c r="H928" i="6"/>
  <c r="H929" i="6"/>
  <c r="H930" i="6"/>
  <c r="H931" i="6"/>
  <c r="H932" i="6"/>
  <c r="H933" i="6"/>
  <c r="H934" i="6"/>
  <c r="H935" i="6"/>
  <c r="H936" i="6"/>
  <c r="H937" i="6"/>
  <c r="H938" i="6"/>
  <c r="H939" i="6"/>
  <c r="H940" i="6"/>
  <c r="H941" i="6"/>
  <c r="H942" i="6"/>
  <c r="H943" i="6"/>
  <c r="H944" i="6"/>
  <c r="H945" i="6"/>
  <c r="H946" i="6"/>
  <c r="H947" i="6"/>
  <c r="H948" i="6"/>
  <c r="H949" i="6"/>
  <c r="H950" i="6"/>
  <c r="H951" i="6"/>
  <c r="H952" i="6"/>
  <c r="H953" i="6"/>
  <c r="H954" i="6"/>
  <c r="H955" i="6"/>
  <c r="H956" i="6"/>
  <c r="H957" i="6"/>
  <c r="H958" i="6"/>
  <c r="H959" i="6"/>
  <c r="H960" i="6"/>
  <c r="H961" i="6"/>
  <c r="H962" i="6"/>
  <c r="H963" i="6"/>
  <c r="H964" i="6"/>
  <c r="H965" i="6"/>
  <c r="H966" i="6"/>
  <c r="H967" i="6"/>
  <c r="H968" i="6"/>
  <c r="H969" i="6"/>
  <c r="H970" i="6"/>
  <c r="H971" i="6"/>
  <c r="H972" i="6"/>
  <c r="H973" i="6"/>
  <c r="H974" i="6"/>
  <c r="H975" i="6"/>
  <c r="H976" i="6"/>
  <c r="H977" i="6"/>
  <c r="H978" i="6"/>
  <c r="H979" i="6"/>
  <c r="H980" i="6"/>
  <c r="H981" i="6"/>
  <c r="H982" i="6"/>
  <c r="H983" i="6"/>
  <c r="H984" i="6"/>
  <c r="H985" i="6"/>
  <c r="H986" i="6"/>
  <c r="H987" i="6"/>
  <c r="H988" i="6"/>
  <c r="H989" i="6"/>
  <c r="H990" i="6"/>
  <c r="H991" i="6"/>
  <c r="H992" i="6"/>
  <c r="H993" i="6"/>
  <c r="H994" i="6"/>
  <c r="H995" i="6"/>
  <c r="H996" i="6"/>
  <c r="H997" i="6"/>
  <c r="H998" i="6"/>
  <c r="H999" i="6"/>
  <c r="H1000" i="6"/>
  <c r="N899" i="6"/>
  <c r="N898" i="6"/>
  <c r="N897" i="6"/>
  <c r="N896" i="6"/>
  <c r="N895" i="6"/>
  <c r="N894" i="6"/>
  <c r="N893" i="6"/>
  <c r="N892" i="6"/>
  <c r="N891" i="6"/>
  <c r="N890" i="6"/>
  <c r="N889" i="6"/>
  <c r="N888" i="6"/>
  <c r="N887" i="6"/>
  <c r="N886" i="6"/>
  <c r="N885" i="6"/>
  <c r="N884" i="6"/>
  <c r="N883" i="6"/>
  <c r="N882" i="6"/>
  <c r="N881" i="6"/>
  <c r="N880" i="6"/>
  <c r="N879" i="6"/>
  <c r="N878" i="6"/>
  <c r="N877" i="6"/>
  <c r="H869" i="6"/>
  <c r="N876" i="6"/>
  <c r="N875" i="6"/>
  <c r="N874" i="6"/>
  <c r="N873" i="6"/>
  <c r="N872" i="6"/>
  <c r="H871" i="6"/>
  <c r="H872" i="6"/>
  <c r="H873" i="6"/>
  <c r="H874" i="6"/>
  <c r="H875" i="6"/>
  <c r="H876" i="6"/>
  <c r="H877" i="6"/>
  <c r="H878" i="6"/>
  <c r="H879" i="6"/>
  <c r="H880" i="6"/>
  <c r="H881" i="6"/>
  <c r="H882" i="6"/>
  <c r="H883" i="6"/>
  <c r="H884" i="6"/>
  <c r="H885" i="6"/>
  <c r="H886" i="6"/>
  <c r="H887" i="6"/>
  <c r="H888" i="6"/>
  <c r="H889" i="6"/>
  <c r="H890" i="6"/>
  <c r="H891" i="6"/>
  <c r="H892" i="6"/>
  <c r="H893" i="6"/>
  <c r="H894" i="6"/>
  <c r="H895" i="6"/>
  <c r="H896" i="6"/>
  <c r="H897" i="6"/>
  <c r="H898" i="6"/>
  <c r="H899" i="6"/>
  <c r="H900" i="6"/>
  <c r="H793" i="6"/>
  <c r="H794" i="6"/>
  <c r="H795" i="6"/>
  <c r="H796" i="6"/>
  <c r="H797" i="6"/>
  <c r="H798" i="6"/>
  <c r="H799" i="6"/>
  <c r="H800" i="6"/>
  <c r="H801" i="6"/>
  <c r="H802" i="6"/>
  <c r="H803" i="6"/>
  <c r="H804" i="6"/>
  <c r="H805" i="6"/>
  <c r="H806" i="6"/>
  <c r="H807" i="6"/>
  <c r="H808" i="6"/>
  <c r="H809" i="6"/>
  <c r="H810" i="6"/>
  <c r="H811" i="6"/>
  <c r="H812" i="6"/>
  <c r="H813" i="6"/>
  <c r="H814" i="6"/>
  <c r="H815" i="6"/>
  <c r="H816" i="6"/>
  <c r="H817" i="6"/>
  <c r="H818" i="6"/>
  <c r="H819" i="6"/>
  <c r="H820" i="6"/>
  <c r="H821" i="6"/>
  <c r="H822" i="6"/>
  <c r="H823" i="6"/>
  <c r="H824" i="6"/>
  <c r="H825" i="6"/>
  <c r="H826" i="6"/>
  <c r="H827" i="6"/>
  <c r="H828" i="6"/>
  <c r="H829" i="6"/>
  <c r="H830" i="6"/>
  <c r="H831" i="6"/>
  <c r="H832" i="6"/>
  <c r="H833" i="6"/>
  <c r="H834" i="6"/>
  <c r="H835" i="6"/>
  <c r="H836" i="6"/>
  <c r="H837" i="6"/>
  <c r="H838" i="6"/>
  <c r="H839" i="6"/>
  <c r="H840" i="6"/>
  <c r="H841" i="6"/>
  <c r="H842" i="6"/>
  <c r="H843" i="6"/>
  <c r="H844" i="6"/>
  <c r="H845" i="6"/>
  <c r="H846" i="6"/>
  <c r="H847" i="6"/>
  <c r="H848" i="6"/>
  <c r="H849" i="6"/>
  <c r="H850" i="6"/>
  <c r="H851" i="6"/>
  <c r="H852" i="6"/>
  <c r="H853" i="6"/>
  <c r="H854" i="6"/>
  <c r="H855" i="6"/>
  <c r="H856" i="6"/>
  <c r="H857" i="6"/>
  <c r="H858" i="6"/>
  <c r="H859" i="6"/>
  <c r="H860" i="6"/>
  <c r="H861" i="6"/>
  <c r="H862" i="6"/>
  <c r="H863" i="6"/>
  <c r="H864" i="6"/>
  <c r="H865" i="6"/>
  <c r="H866" i="6"/>
  <c r="H867" i="6"/>
  <c r="H868" i="6"/>
  <c r="H870" i="6"/>
  <c r="N871" i="6"/>
  <c r="N870" i="6"/>
  <c r="N869" i="6"/>
  <c r="N868" i="6"/>
  <c r="N867" i="6"/>
  <c r="N866" i="6"/>
  <c r="N865" i="6"/>
  <c r="N864" i="6"/>
  <c r="M105" i="8"/>
  <c r="M104" i="8"/>
  <c r="J226" i="9"/>
  <c r="F628" i="7"/>
  <c r="G628" i="7"/>
  <c r="F629" i="7"/>
  <c r="G629" i="7"/>
  <c r="F630" i="7"/>
  <c r="G630" i="7"/>
  <c r="F631" i="7"/>
  <c r="G631" i="7"/>
  <c r="F632" i="7"/>
  <c r="G632" i="7"/>
  <c r="F633" i="7"/>
  <c r="G633" i="7"/>
  <c r="F634" i="7"/>
  <c r="G634" i="7"/>
  <c r="F635" i="7"/>
  <c r="G635" i="7"/>
  <c r="F636" i="7"/>
  <c r="G636" i="7"/>
  <c r="F637" i="7"/>
  <c r="G637" i="7"/>
  <c r="F638" i="7"/>
  <c r="G638" i="7"/>
  <c r="F639" i="7"/>
  <c r="G639" i="7"/>
  <c r="F640" i="7"/>
  <c r="G640" i="7"/>
  <c r="F641" i="7"/>
  <c r="G641" i="7"/>
  <c r="F642" i="7"/>
  <c r="G642" i="7"/>
  <c r="F643" i="7"/>
  <c r="G643" i="7"/>
  <c r="F644" i="7"/>
  <c r="G644" i="7"/>
  <c r="F645" i="7"/>
  <c r="G645" i="7"/>
  <c r="H19" i="2"/>
  <c r="F646" i="7"/>
  <c r="G646" i="7"/>
  <c r="F647" i="7"/>
  <c r="G647" i="7"/>
  <c r="F648" i="7"/>
  <c r="G648" i="7"/>
  <c r="F649" i="7"/>
  <c r="G649" i="7"/>
  <c r="F650" i="7"/>
  <c r="G650" i="7"/>
  <c r="F651" i="7"/>
  <c r="G651" i="7"/>
  <c r="F652" i="7"/>
  <c r="G652" i="7"/>
  <c r="F653" i="7"/>
  <c r="G653" i="7"/>
  <c r="F654" i="7"/>
  <c r="G654" i="7"/>
  <c r="F655" i="7"/>
  <c r="G655" i="7"/>
  <c r="F656" i="7"/>
  <c r="G656" i="7"/>
  <c r="F657" i="7"/>
  <c r="G657" i="7"/>
  <c r="F658" i="7"/>
  <c r="G658" i="7"/>
  <c r="F659" i="7"/>
  <c r="G659" i="7"/>
  <c r="F660" i="7"/>
  <c r="G660" i="7"/>
  <c r="F661" i="7"/>
  <c r="G661" i="7"/>
  <c r="F662" i="7"/>
  <c r="G662" i="7"/>
  <c r="F663" i="7"/>
  <c r="G663" i="7"/>
  <c r="F664" i="7"/>
  <c r="G664" i="7"/>
  <c r="F665" i="7"/>
  <c r="G665" i="7"/>
  <c r="F666" i="7"/>
  <c r="G666" i="7" s="1"/>
  <c r="G19" i="2" s="1" a="1"/>
  <c r="G19" i="2" s="1"/>
  <c r="F667" i="7"/>
  <c r="G667" i="7"/>
  <c r="F668" i="7"/>
  <c r="G668" i="7"/>
  <c r="F669" i="7"/>
  <c r="G669" i="7"/>
  <c r="F670" i="7"/>
  <c r="G670" i="7"/>
  <c r="F671" i="7"/>
  <c r="G671" i="7"/>
  <c r="F672" i="7"/>
  <c r="G672" i="7"/>
  <c r="F673" i="7"/>
  <c r="G673" i="7"/>
  <c r="F674" i="7"/>
  <c r="G674" i="7"/>
  <c r="F675" i="7"/>
  <c r="G675" i="7"/>
  <c r="F676" i="7"/>
  <c r="G676" i="7"/>
  <c r="F677" i="7"/>
  <c r="G677" i="7"/>
  <c r="F678" i="7"/>
  <c r="G678" i="7"/>
  <c r="F679" i="7"/>
  <c r="G679" i="7"/>
  <c r="F680" i="7"/>
  <c r="G680" i="7"/>
  <c r="F681" i="7"/>
  <c r="G681" i="7"/>
  <c r="F682" i="7"/>
  <c r="G682" i="7"/>
  <c r="F683" i="7"/>
  <c r="G683" i="7"/>
  <c r="F684" i="7"/>
  <c r="G684" i="7"/>
  <c r="F685" i="7"/>
  <c r="G685" i="7"/>
  <c r="F686" i="7"/>
  <c r="G686" i="7"/>
  <c r="F687" i="7"/>
  <c r="G687" i="7"/>
  <c r="F688" i="7"/>
  <c r="G688" i="7"/>
  <c r="F689" i="7"/>
  <c r="G689" i="7"/>
  <c r="F690" i="7"/>
  <c r="G690" i="7"/>
  <c r="F691" i="7"/>
  <c r="G691" i="7"/>
  <c r="F692" i="7"/>
  <c r="G692" i="7"/>
  <c r="F693" i="7"/>
  <c r="G693" i="7"/>
  <c r="F694" i="7"/>
  <c r="G694" i="7"/>
  <c r="F695" i="7"/>
  <c r="G695" i="7"/>
  <c r="F696" i="7"/>
  <c r="G696" i="7"/>
  <c r="F697" i="7"/>
  <c r="G697" i="7"/>
  <c r="F698" i="7"/>
  <c r="G698" i="7"/>
  <c r="F699" i="7"/>
  <c r="G699" i="7"/>
  <c r="G626" i="7"/>
  <c r="G627" i="7"/>
  <c r="S57" i="4"/>
  <c r="H22" i="2"/>
  <c r="D14" i="18"/>
  <c r="C14" i="18"/>
  <c r="B14" i="18"/>
  <c r="AB244" i="4"/>
  <c r="AB211" i="4"/>
  <c r="X15" i="4"/>
  <c r="G4" i="17"/>
  <c r="G5" i="17"/>
  <c r="G6" i="17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" i="1"/>
  <c r="G3" i="1"/>
  <c r="G4" i="1"/>
  <c r="G5" i="1"/>
  <c r="G6" i="1"/>
  <c r="G7" i="1"/>
  <c r="G8" i="1"/>
  <c r="G9" i="1"/>
  <c r="G10" i="1"/>
  <c r="A53" i="16"/>
  <c r="A52" i="16"/>
  <c r="A51" i="16"/>
  <c r="A50" i="16"/>
  <c r="A49" i="16"/>
  <c r="A48" i="16"/>
  <c r="A47" i="16"/>
  <c r="A46" i="16"/>
  <c r="A45" i="16"/>
  <c r="A44" i="16"/>
  <c r="A43" i="16"/>
  <c r="A42" i="16"/>
  <c r="A41" i="16"/>
  <c r="A40" i="16"/>
  <c r="A39" i="16"/>
  <c r="A38" i="16"/>
  <c r="A37" i="16"/>
  <c r="A36" i="16"/>
  <c r="A35" i="16"/>
  <c r="A34" i="16"/>
  <c r="A33" i="16"/>
  <c r="A32" i="16"/>
  <c r="A31" i="16"/>
  <c r="A30" i="16"/>
  <c r="A29" i="16"/>
  <c r="A28" i="16"/>
  <c r="A27" i="16"/>
  <c r="A26" i="16"/>
  <c r="A25" i="16"/>
  <c r="A24" i="16"/>
  <c r="A23" i="16"/>
  <c r="A22" i="16"/>
  <c r="A21" i="16"/>
  <c r="A20" i="16"/>
  <c r="A19" i="16"/>
  <c r="A18" i="16"/>
  <c r="A17" i="16"/>
  <c r="A16" i="16"/>
  <c r="A15" i="16"/>
  <c r="A14" i="16"/>
  <c r="A13" i="16"/>
  <c r="A12" i="16"/>
  <c r="A11" i="16"/>
  <c r="A10" i="16"/>
  <c r="A9" i="16"/>
  <c r="A8" i="16"/>
  <c r="A7" i="16"/>
  <c r="A6" i="16"/>
  <c r="A5" i="16"/>
  <c r="A4" i="16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8" i="8"/>
  <c r="P39" i="8"/>
  <c r="P40" i="8"/>
  <c r="P41" i="8"/>
  <c r="P42" i="8"/>
  <c r="P43" i="8"/>
  <c r="P44" i="8"/>
  <c r="P54" i="8"/>
  <c r="P55" i="8"/>
  <c r="P56" i="8"/>
  <c r="P57" i="8"/>
  <c r="P59" i="8"/>
  <c r="P60" i="8"/>
  <c r="P61" i="8"/>
  <c r="P62" i="8"/>
  <c r="P63" i="8"/>
  <c r="P75" i="8"/>
  <c r="P76" i="8"/>
  <c r="P80" i="8"/>
  <c r="P81" i="8"/>
  <c r="P83" i="8"/>
  <c r="P84" i="8"/>
  <c r="P85" i="8"/>
  <c r="P86" i="8"/>
  <c r="P87" i="8"/>
  <c r="P88" i="8"/>
  <c r="P89" i="8"/>
  <c r="P90" i="8"/>
  <c r="P91" i="8"/>
  <c r="P92" i="8"/>
  <c r="P93" i="8"/>
  <c r="P94" i="8"/>
  <c r="P95" i="8"/>
  <c r="P96" i="8"/>
  <c r="P97" i="8"/>
  <c r="P2" i="8"/>
  <c r="P3" i="8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32" i="11"/>
  <c r="N33" i="11"/>
  <c r="N34" i="11"/>
  <c r="N35" i="11"/>
  <c r="N36" i="11"/>
  <c r="N37" i="11"/>
  <c r="N38" i="11"/>
  <c r="N39" i="11"/>
  <c r="N40" i="11"/>
  <c r="N41" i="11"/>
  <c r="N42" i="11"/>
  <c r="N43" i="11"/>
  <c r="N44" i="11"/>
  <c r="N45" i="11"/>
  <c r="N46" i="11"/>
  <c r="N47" i="11"/>
  <c r="N48" i="11"/>
  <c r="N49" i="11"/>
  <c r="N50" i="11"/>
  <c r="N51" i="11"/>
  <c r="N52" i="11"/>
  <c r="N53" i="11"/>
  <c r="N54" i="11"/>
  <c r="N55" i="11"/>
  <c r="N56" i="11"/>
  <c r="N57" i="11"/>
  <c r="N58" i="11"/>
  <c r="N59" i="11"/>
  <c r="N60" i="11"/>
  <c r="N61" i="11"/>
  <c r="N62" i="11"/>
  <c r="N63" i="11"/>
  <c r="N64" i="11"/>
  <c r="N65" i="11"/>
  <c r="N66" i="11"/>
  <c r="N67" i="11"/>
  <c r="N68" i="11"/>
  <c r="N69" i="11"/>
  <c r="N70" i="11"/>
  <c r="N71" i="11"/>
  <c r="N72" i="11"/>
  <c r="N73" i="11"/>
  <c r="N74" i="11"/>
  <c r="N75" i="11"/>
  <c r="N76" i="11"/>
  <c r="N77" i="11"/>
  <c r="N78" i="11"/>
  <c r="N79" i="11"/>
  <c r="N80" i="11"/>
  <c r="N81" i="11"/>
  <c r="N82" i="11"/>
  <c r="N83" i="11"/>
  <c r="N84" i="11"/>
  <c r="N85" i="11"/>
  <c r="N86" i="11"/>
  <c r="N87" i="11"/>
  <c r="N88" i="11"/>
  <c r="N89" i="11"/>
  <c r="N90" i="11"/>
  <c r="N91" i="11"/>
  <c r="N92" i="11"/>
  <c r="N93" i="11"/>
  <c r="N94" i="11"/>
  <c r="N95" i="11"/>
  <c r="N96" i="11"/>
  <c r="N97" i="11"/>
  <c r="N98" i="11"/>
  <c r="N99" i="11"/>
  <c r="N100" i="11"/>
  <c r="N101" i="11"/>
  <c r="N102" i="11"/>
  <c r="N103" i="11"/>
  <c r="N104" i="11"/>
  <c r="N105" i="11"/>
  <c r="N106" i="11"/>
  <c r="N107" i="11"/>
  <c r="N108" i="11"/>
  <c r="N109" i="11"/>
  <c r="N110" i="11"/>
  <c r="N111" i="11"/>
  <c r="N112" i="11"/>
  <c r="N113" i="11"/>
  <c r="N114" i="11"/>
  <c r="N115" i="11"/>
  <c r="N116" i="11"/>
  <c r="N117" i="11"/>
  <c r="N118" i="11"/>
  <c r="N119" i="11"/>
  <c r="N120" i="11"/>
  <c r="N121" i="11"/>
  <c r="N122" i="11"/>
  <c r="N123" i="11"/>
  <c r="N124" i="11"/>
  <c r="N125" i="11"/>
  <c r="N126" i="11"/>
  <c r="N127" i="11"/>
  <c r="N128" i="11"/>
  <c r="N129" i="11"/>
  <c r="N130" i="11"/>
  <c r="N131" i="11"/>
  <c r="N132" i="11"/>
  <c r="N133" i="11"/>
  <c r="N134" i="11"/>
  <c r="N135" i="11"/>
  <c r="N136" i="11"/>
  <c r="N137" i="11"/>
  <c r="N138" i="11"/>
  <c r="N139" i="11"/>
  <c r="N140" i="11"/>
  <c r="N141" i="11"/>
  <c r="N142" i="11"/>
  <c r="N143" i="11"/>
  <c r="N144" i="11"/>
  <c r="N145" i="11"/>
  <c r="N146" i="11"/>
  <c r="N147" i="11"/>
  <c r="N148" i="11"/>
  <c r="N149" i="11"/>
  <c r="N150" i="11"/>
  <c r="N151" i="11"/>
  <c r="N152" i="11"/>
  <c r="N153" i="11"/>
  <c r="N154" i="11"/>
  <c r="N155" i="11"/>
  <c r="N156" i="11"/>
  <c r="N157" i="11"/>
  <c r="N158" i="11"/>
  <c r="N159" i="11"/>
  <c r="N160" i="11"/>
  <c r="N161" i="11"/>
  <c r="N162" i="11"/>
  <c r="N163" i="11"/>
  <c r="N164" i="11"/>
  <c r="N165" i="11"/>
  <c r="N166" i="11"/>
  <c r="N167" i="11"/>
  <c r="N168" i="11"/>
  <c r="N169" i="11"/>
  <c r="N170" i="11"/>
  <c r="N171" i="11"/>
  <c r="N172" i="11"/>
  <c r="N173" i="11"/>
  <c r="N174" i="11"/>
  <c r="N175" i="11"/>
  <c r="N176" i="11"/>
  <c r="N177" i="11"/>
  <c r="N178" i="11"/>
  <c r="N179" i="11"/>
  <c r="N180" i="11"/>
  <c r="N181" i="11"/>
  <c r="N182" i="11"/>
  <c r="N183" i="11"/>
  <c r="N184" i="11"/>
  <c r="N185" i="11"/>
  <c r="N186" i="11"/>
  <c r="N187" i="11"/>
  <c r="N188" i="11"/>
  <c r="N189" i="11"/>
  <c r="N190" i="11"/>
  <c r="N191" i="11"/>
  <c r="N192" i="11"/>
  <c r="N193" i="11"/>
  <c r="N194" i="11"/>
  <c r="N195" i="11"/>
  <c r="N196" i="11"/>
  <c r="N197" i="11"/>
  <c r="N198" i="11"/>
  <c r="N199" i="11"/>
  <c r="N200" i="11"/>
  <c r="N204" i="11"/>
  <c r="N205" i="11"/>
  <c r="N206" i="11"/>
  <c r="N2" i="11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37" i="12"/>
  <c r="F38" i="12"/>
  <c r="F39" i="12"/>
  <c r="F40" i="12"/>
  <c r="F41" i="12"/>
  <c r="F42" i="12"/>
  <c r="F43" i="12"/>
  <c r="F44" i="12"/>
  <c r="F45" i="12"/>
  <c r="F46" i="12"/>
  <c r="F47" i="12"/>
  <c r="F48" i="12"/>
  <c r="F3" i="12"/>
  <c r="F49" i="12"/>
  <c r="F50" i="12"/>
  <c r="F51" i="12"/>
  <c r="F52" i="12"/>
  <c r="F53" i="12"/>
  <c r="F54" i="12"/>
  <c r="F55" i="12"/>
  <c r="F56" i="12"/>
  <c r="G3" i="13"/>
  <c r="G4" i="13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33" i="13"/>
  <c r="G34" i="13"/>
  <c r="G35" i="13"/>
  <c r="G36" i="13"/>
  <c r="G37" i="13"/>
  <c r="G38" i="13"/>
  <c r="G39" i="13"/>
  <c r="G40" i="13"/>
  <c r="G41" i="13"/>
  <c r="G42" i="13"/>
  <c r="G43" i="13"/>
  <c r="G44" i="13"/>
  <c r="G2" i="1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H23" i="2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E230" i="3"/>
  <c r="G230" i="3"/>
  <c r="F428" i="7"/>
  <c r="G428" i="7"/>
  <c r="F427" i="7"/>
  <c r="G427" i="7"/>
  <c r="F426" i="7"/>
  <c r="G426" i="7"/>
  <c r="F425" i="7"/>
  <c r="G425" i="7"/>
  <c r="F424" i="7"/>
  <c r="G424" i="7"/>
  <c r="F423" i="7"/>
  <c r="G423" i="7"/>
  <c r="F422" i="7"/>
  <c r="G422" i="7"/>
  <c r="F421" i="7"/>
  <c r="G421" i="7"/>
  <c r="F420" i="7"/>
  <c r="G420" i="7"/>
  <c r="F419" i="7"/>
  <c r="G419" i="7"/>
  <c r="F418" i="7"/>
  <c r="G418" i="7"/>
  <c r="F417" i="7"/>
  <c r="G417" i="7"/>
  <c r="F416" i="7"/>
  <c r="G416" i="7"/>
  <c r="F415" i="7"/>
  <c r="G415" i="7"/>
  <c r="G21" i="1"/>
  <c r="X202" i="4"/>
  <c r="AD202" i="4"/>
  <c r="AB202" i="4"/>
  <c r="E5" i="15"/>
  <c r="E6" i="15"/>
  <c r="E7" i="15"/>
  <c r="E8" i="15"/>
  <c r="E9" i="15"/>
  <c r="E10" i="15"/>
  <c r="E11" i="15"/>
  <c r="E12" i="15"/>
  <c r="E13" i="15"/>
  <c r="E14" i="15"/>
  <c r="E15" i="15"/>
  <c r="E16" i="15"/>
  <c r="E17" i="15"/>
  <c r="E18" i="15"/>
  <c r="E19" i="15"/>
  <c r="E20" i="15"/>
  <c r="E21" i="15"/>
  <c r="E22" i="15"/>
  <c r="E23" i="15"/>
  <c r="E24" i="15"/>
  <c r="E25" i="15"/>
  <c r="E26" i="15"/>
  <c r="E27" i="15"/>
  <c r="E28" i="15"/>
  <c r="E29" i="15"/>
  <c r="E30" i="15"/>
  <c r="E31" i="15"/>
  <c r="E32" i="15"/>
  <c r="E33" i="15"/>
  <c r="E34" i="15"/>
  <c r="E35" i="15"/>
  <c r="E36" i="15"/>
  <c r="E37" i="15"/>
  <c r="E38" i="15"/>
  <c r="E39" i="15"/>
  <c r="E40" i="15"/>
  <c r="E41" i="15"/>
  <c r="E42" i="15"/>
  <c r="E43" i="15"/>
  <c r="E44" i="15"/>
  <c r="E45" i="15"/>
  <c r="E46" i="15"/>
  <c r="E47" i="15"/>
  <c r="E48" i="15"/>
  <c r="E49" i="15"/>
  <c r="E50" i="15"/>
  <c r="E51" i="15"/>
  <c r="E52" i="15"/>
  <c r="E53" i="15"/>
  <c r="E54" i="15"/>
  <c r="E55" i="15"/>
  <c r="E56" i="15"/>
  <c r="E57" i="15"/>
  <c r="E58" i="15"/>
  <c r="E59" i="15"/>
  <c r="E60" i="15"/>
  <c r="E61" i="15"/>
  <c r="E62" i="15"/>
  <c r="E63" i="15"/>
  <c r="E64" i="15"/>
  <c r="E65" i="15"/>
  <c r="E66" i="15"/>
  <c r="E67" i="15"/>
  <c r="E68" i="15"/>
  <c r="E69" i="15"/>
  <c r="E70" i="15"/>
  <c r="E71" i="15"/>
  <c r="E72" i="15"/>
  <c r="E73" i="15"/>
  <c r="E74" i="15"/>
  <c r="E75" i="15"/>
  <c r="E76" i="15"/>
  <c r="E77" i="15"/>
  <c r="E78" i="15"/>
  <c r="E79" i="15"/>
  <c r="E80" i="15"/>
  <c r="E81" i="15"/>
  <c r="E82" i="15"/>
  <c r="E83" i="15"/>
  <c r="E84" i="15"/>
  <c r="E85" i="15"/>
  <c r="E86" i="15"/>
  <c r="E87" i="15"/>
  <c r="E88" i="15"/>
  <c r="E89" i="15"/>
  <c r="E90" i="15"/>
  <c r="E91" i="15"/>
  <c r="E92" i="15"/>
  <c r="E93" i="15"/>
  <c r="E94" i="15"/>
  <c r="E95" i="15"/>
  <c r="E96" i="15"/>
  <c r="E97" i="15"/>
  <c r="E98" i="15"/>
  <c r="E99" i="15"/>
  <c r="E100" i="15"/>
  <c r="E101" i="15"/>
  <c r="E102" i="15"/>
  <c r="E103" i="15"/>
  <c r="E104" i="15"/>
  <c r="E105" i="15"/>
  <c r="E106" i="15"/>
  <c r="E107" i="15"/>
  <c r="E108" i="15"/>
  <c r="E109" i="15"/>
  <c r="E110" i="15"/>
  <c r="E111" i="15"/>
  <c r="E112" i="15"/>
  <c r="E113" i="15"/>
  <c r="E114" i="15"/>
  <c r="E115" i="15"/>
  <c r="E116" i="15"/>
  <c r="E117" i="15"/>
  <c r="E118" i="15"/>
  <c r="E119" i="15"/>
  <c r="E120" i="15"/>
  <c r="E121" i="15"/>
  <c r="E122" i="15"/>
  <c r="E123" i="15"/>
  <c r="E124" i="15"/>
  <c r="N863" i="6"/>
  <c r="N862" i="6"/>
  <c r="N861" i="6"/>
  <c r="N860" i="6"/>
  <c r="N859" i="6"/>
  <c r="N858" i="6"/>
  <c r="N857" i="6"/>
  <c r="N856" i="6"/>
  <c r="N855" i="6"/>
  <c r="N854" i="6"/>
  <c r="N853" i="6"/>
  <c r="N852" i="6"/>
  <c r="N851" i="6"/>
  <c r="N850" i="6"/>
  <c r="N103" i="8"/>
  <c r="N3" i="9"/>
  <c r="N5" i="9"/>
  <c r="N6" i="9"/>
  <c r="N8" i="9"/>
  <c r="N11" i="9"/>
  <c r="N12" i="9"/>
  <c r="N13" i="9"/>
  <c r="N14" i="9"/>
  <c r="N15" i="9"/>
  <c r="N16" i="9"/>
  <c r="N17" i="9"/>
  <c r="N18" i="9"/>
  <c r="N19" i="9"/>
  <c r="N20" i="9"/>
  <c r="N21" i="9"/>
  <c r="N22" i="9"/>
  <c r="N23" i="9"/>
  <c r="N26" i="9"/>
  <c r="N27" i="9"/>
  <c r="N28" i="9"/>
  <c r="N30" i="9"/>
  <c r="N34" i="9"/>
  <c r="N35" i="9"/>
  <c r="N40" i="9"/>
  <c r="N41" i="9"/>
  <c r="N42" i="9"/>
  <c r="N43" i="9"/>
  <c r="N46" i="9"/>
  <c r="N47" i="9"/>
  <c r="N48" i="9"/>
  <c r="N49" i="9"/>
  <c r="N50" i="9"/>
  <c r="N52" i="9"/>
  <c r="N53" i="9"/>
  <c r="N54" i="9"/>
  <c r="N55" i="9"/>
  <c r="N57" i="9"/>
  <c r="N58" i="9"/>
  <c r="N61" i="9"/>
  <c r="N62" i="9"/>
  <c r="N63" i="9"/>
  <c r="N64" i="9"/>
  <c r="N65" i="9"/>
  <c r="N67" i="9"/>
  <c r="N69" i="9"/>
  <c r="N71" i="9"/>
  <c r="N72" i="9"/>
  <c r="N73" i="9"/>
  <c r="N74" i="9"/>
  <c r="N76" i="9"/>
  <c r="N77" i="9"/>
  <c r="N80" i="9"/>
  <c r="N81" i="9"/>
  <c r="N82" i="9"/>
  <c r="N83" i="9"/>
  <c r="N84" i="9"/>
  <c r="N86" i="9"/>
  <c r="N87" i="9"/>
  <c r="N89" i="9"/>
  <c r="N90" i="9"/>
  <c r="N91" i="9"/>
  <c r="N92" i="9"/>
  <c r="N93" i="9"/>
  <c r="N94" i="9"/>
  <c r="N95" i="9"/>
  <c r="N96" i="9"/>
  <c r="N97" i="9"/>
  <c r="N99" i="9"/>
  <c r="N100" i="9"/>
  <c r="N101" i="9"/>
  <c r="N102" i="9"/>
  <c r="N103" i="9"/>
  <c r="N104" i="9"/>
  <c r="N105" i="9"/>
  <c r="N106" i="9"/>
  <c r="N108" i="9"/>
  <c r="N110" i="9"/>
  <c r="N111" i="9"/>
  <c r="N113" i="9"/>
  <c r="N114" i="9"/>
  <c r="N115" i="9"/>
  <c r="N116" i="9"/>
  <c r="N117" i="9"/>
  <c r="N118" i="9"/>
  <c r="N119" i="9"/>
  <c r="N121" i="9"/>
  <c r="N122" i="9"/>
  <c r="N123" i="9"/>
  <c r="N124" i="9"/>
  <c r="N125" i="9"/>
  <c r="N126" i="9"/>
  <c r="N127" i="9"/>
  <c r="N128" i="9"/>
  <c r="N129" i="9"/>
  <c r="N130" i="9"/>
  <c r="N131" i="9"/>
  <c r="N132" i="9"/>
  <c r="N133" i="9"/>
  <c r="N134" i="9"/>
  <c r="N135" i="9"/>
  <c r="N136" i="9"/>
  <c r="N138" i="9"/>
  <c r="N139" i="9"/>
  <c r="N140" i="9"/>
  <c r="N141" i="9"/>
  <c r="N142" i="9"/>
  <c r="N143" i="9"/>
  <c r="N144" i="9"/>
  <c r="N145" i="9"/>
  <c r="N146" i="9"/>
  <c r="N147" i="9"/>
  <c r="N149" i="9"/>
  <c r="N150" i="9"/>
  <c r="N151" i="9"/>
  <c r="N154" i="9"/>
  <c r="N155" i="9"/>
  <c r="N156" i="9"/>
  <c r="N157" i="9"/>
  <c r="N158" i="9"/>
  <c r="N159" i="9"/>
  <c r="N160" i="9"/>
  <c r="N161" i="9"/>
  <c r="N162" i="9"/>
  <c r="N163" i="9"/>
  <c r="N164" i="9"/>
  <c r="N165" i="9"/>
  <c r="N166" i="9"/>
  <c r="N167" i="9"/>
  <c r="N168" i="9"/>
  <c r="N169" i="9"/>
  <c r="N170" i="9"/>
  <c r="N171" i="9"/>
  <c r="N172" i="9"/>
  <c r="N173" i="9"/>
  <c r="N174" i="9"/>
  <c r="N175" i="9"/>
  <c r="N176" i="9"/>
  <c r="N177" i="9"/>
  <c r="N179" i="9"/>
  <c r="N180" i="9"/>
  <c r="N181" i="9"/>
  <c r="N182" i="9"/>
  <c r="N183" i="9"/>
  <c r="N184" i="9"/>
  <c r="N185" i="9"/>
  <c r="N186" i="9"/>
  <c r="N187" i="9"/>
  <c r="N188" i="9"/>
  <c r="N190" i="9"/>
  <c r="N191" i="9"/>
  <c r="N194" i="9"/>
  <c r="N195" i="9"/>
  <c r="N196" i="9"/>
  <c r="N197" i="9"/>
  <c r="N198" i="9"/>
  <c r="N199" i="9"/>
  <c r="N200" i="9"/>
  <c r="N201" i="9"/>
  <c r="N202" i="9"/>
  <c r="N203" i="9"/>
  <c r="N204" i="9"/>
  <c r="N205" i="9"/>
  <c r="N206" i="9"/>
  <c r="N207" i="9"/>
  <c r="N208" i="9"/>
  <c r="N209" i="9"/>
  <c r="N210" i="9"/>
  <c r="N212" i="9"/>
  <c r="N213" i="9"/>
  <c r="N214" i="9"/>
  <c r="N215" i="9"/>
  <c r="N217" i="9"/>
  <c r="N218" i="9"/>
  <c r="N219" i="9"/>
  <c r="N220" i="9"/>
  <c r="N221" i="9"/>
  <c r="N222" i="9"/>
  <c r="N223" i="9"/>
  <c r="N2" i="9"/>
  <c r="L75" i="8"/>
  <c r="G126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11" i="1"/>
  <c r="G12" i="1"/>
  <c r="G13" i="1"/>
  <c r="G14" i="1"/>
  <c r="G15" i="1"/>
  <c r="G16" i="1"/>
  <c r="G17" i="1"/>
  <c r="G18" i="1"/>
  <c r="G19" i="1"/>
  <c r="G20" i="1"/>
  <c r="G22" i="1"/>
  <c r="G23" i="1"/>
  <c r="G24" i="1"/>
  <c r="G25" i="1"/>
  <c r="N849" i="6"/>
  <c r="N848" i="6"/>
  <c r="N847" i="6"/>
  <c r="N846" i="6"/>
  <c r="N845" i="6"/>
  <c r="N844" i="6"/>
  <c r="N843" i="6"/>
  <c r="N842" i="6"/>
  <c r="N841" i="6"/>
  <c r="N840" i="6"/>
  <c r="N839" i="6"/>
  <c r="N838" i="6"/>
  <c r="N837" i="6"/>
  <c r="N836" i="6"/>
  <c r="N835" i="6"/>
  <c r="N834" i="6"/>
  <c r="N833" i="6"/>
  <c r="N832" i="6"/>
  <c r="N831" i="6"/>
  <c r="N830" i="6"/>
  <c r="N829" i="6"/>
  <c r="N828" i="6"/>
  <c r="N827" i="6"/>
  <c r="N826" i="6"/>
  <c r="N825" i="6"/>
  <c r="M824" i="6"/>
  <c r="N824" i="6"/>
  <c r="M823" i="6"/>
  <c r="N823" i="6"/>
  <c r="M822" i="6"/>
  <c r="N822" i="6"/>
  <c r="M821" i="6"/>
  <c r="N821" i="6"/>
  <c r="M820" i="6"/>
  <c r="N820" i="6"/>
  <c r="M819" i="6"/>
  <c r="N819" i="6"/>
  <c r="M818" i="6"/>
  <c r="N818" i="6"/>
  <c r="M817" i="6"/>
  <c r="N817" i="6"/>
  <c r="M816" i="6"/>
  <c r="N816" i="6"/>
  <c r="M815" i="6"/>
  <c r="N815" i="6"/>
  <c r="M814" i="6"/>
  <c r="N814" i="6"/>
  <c r="M813" i="6"/>
  <c r="N813" i="6"/>
  <c r="N812" i="6"/>
  <c r="M812" i="6"/>
  <c r="M811" i="6"/>
  <c r="N811" i="6"/>
  <c r="M810" i="6"/>
  <c r="N810" i="6"/>
  <c r="M809" i="6"/>
  <c r="N809" i="6"/>
  <c r="M808" i="6"/>
  <c r="N808" i="6"/>
  <c r="M807" i="6"/>
  <c r="N807" i="6"/>
  <c r="M806" i="6"/>
  <c r="M805" i="6"/>
  <c r="M804" i="6"/>
  <c r="M803" i="6"/>
  <c r="M802" i="6"/>
  <c r="M801" i="6"/>
  <c r="M800" i="6"/>
  <c r="M799" i="6"/>
  <c r="M798" i="6"/>
  <c r="M797" i="6"/>
  <c r="M796" i="6"/>
  <c r="M795" i="6"/>
  <c r="M794" i="6"/>
  <c r="M793" i="6"/>
  <c r="M792" i="6"/>
  <c r="M791" i="6"/>
  <c r="M790" i="6"/>
  <c r="M789" i="6"/>
  <c r="M788" i="6"/>
  <c r="M787" i="6"/>
  <c r="M786" i="6"/>
  <c r="M785" i="6"/>
  <c r="M784" i="6"/>
  <c r="M783" i="6"/>
  <c r="M782" i="6"/>
  <c r="M781" i="6"/>
  <c r="M775" i="6"/>
  <c r="M776" i="6"/>
  <c r="M777" i="6"/>
  <c r="M778" i="6"/>
  <c r="M779" i="6"/>
  <c r="M780" i="6"/>
  <c r="M774" i="6"/>
  <c r="G24" i="2"/>
  <c r="G11" i="2"/>
  <c r="G3" i="2"/>
  <c r="AD15" i="4"/>
  <c r="C18" i="2"/>
  <c r="C5" i="2"/>
  <c r="P33" i="6"/>
  <c r="P55" i="6"/>
  <c r="P56" i="6"/>
  <c r="P57" i="6"/>
  <c r="P59" i="6"/>
  <c r="P60" i="6"/>
  <c r="P61" i="6"/>
  <c r="P62" i="6"/>
  <c r="P80" i="6"/>
  <c r="P81" i="6"/>
  <c r="P82" i="6"/>
  <c r="P83" i="6"/>
  <c r="P84" i="6"/>
  <c r="P85" i="6"/>
  <c r="P86" i="6"/>
  <c r="P108" i="6"/>
  <c r="P112" i="6"/>
  <c r="P116" i="6"/>
  <c r="P122" i="6"/>
  <c r="P124" i="6"/>
  <c r="P133" i="6"/>
  <c r="P143" i="6"/>
  <c r="P149" i="6"/>
  <c r="P167" i="6"/>
  <c r="P168" i="6"/>
  <c r="P218" i="6"/>
  <c r="P227" i="6"/>
  <c r="P267" i="6"/>
  <c r="P312" i="6"/>
  <c r="P345" i="6"/>
  <c r="P403" i="6"/>
  <c r="P424" i="6"/>
  <c r="P452" i="6"/>
  <c r="P461" i="6"/>
  <c r="P479" i="6"/>
  <c r="P520" i="6"/>
  <c r="P576" i="6"/>
  <c r="P583" i="6"/>
  <c r="P671" i="6"/>
  <c r="P672" i="6"/>
  <c r="P673" i="6"/>
  <c r="P674" i="6"/>
  <c r="P675" i="6"/>
  <c r="P676" i="6"/>
  <c r="P677" i="6"/>
  <c r="P678" i="6"/>
  <c r="P679" i="6"/>
  <c r="P680" i="6"/>
  <c r="P681" i="6"/>
  <c r="P682" i="6"/>
  <c r="P683" i="6"/>
  <c r="P684" i="6"/>
  <c r="P685" i="6"/>
  <c r="P686" i="6"/>
  <c r="P687" i="6"/>
  <c r="P688" i="6"/>
  <c r="P689" i="6"/>
  <c r="P690" i="6"/>
  <c r="P691" i="6"/>
  <c r="P692" i="6"/>
  <c r="P693" i="6"/>
  <c r="P694" i="6"/>
  <c r="P695" i="6"/>
  <c r="P696" i="6"/>
  <c r="P697" i="6"/>
  <c r="P698" i="6"/>
  <c r="P699" i="6"/>
  <c r="P700" i="6"/>
  <c r="P701" i="6"/>
  <c r="P702" i="6"/>
  <c r="P703" i="6"/>
  <c r="P721" i="6"/>
  <c r="P724" i="6"/>
  <c r="F24" i="2"/>
  <c r="F16" i="2"/>
  <c r="E24" i="2"/>
  <c r="D24" i="2"/>
  <c r="D20" i="2"/>
  <c r="C24" i="2"/>
  <c r="C23" i="2"/>
  <c r="C20" i="2"/>
  <c r="C19" i="2"/>
  <c r="C16" i="2"/>
  <c r="B24" i="2"/>
  <c r="F11" i="2"/>
  <c r="F3" i="2"/>
  <c r="E11" i="2"/>
  <c r="D11" i="2"/>
  <c r="D7" i="2"/>
  <c r="C11" i="2"/>
  <c r="C10" i="2"/>
  <c r="C7" i="2"/>
  <c r="C6" i="2"/>
  <c r="C4" i="2"/>
  <c r="C3" i="2"/>
  <c r="B11" i="2"/>
  <c r="E64" i="13"/>
  <c r="E63" i="13"/>
  <c r="E62" i="13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E48" i="13"/>
  <c r="E47" i="13"/>
  <c r="E46" i="13"/>
  <c r="F44" i="13"/>
  <c r="E43" i="13"/>
  <c r="F42" i="13"/>
  <c r="E41" i="13"/>
  <c r="F40" i="13"/>
  <c r="E39" i="13"/>
  <c r="E38" i="13"/>
  <c r="E37" i="13"/>
  <c r="F36" i="13"/>
  <c r="E35" i="13"/>
  <c r="F34" i="13"/>
  <c r="E33" i="13"/>
  <c r="E32" i="13"/>
  <c r="F31" i="13"/>
  <c r="E30" i="13"/>
  <c r="F29" i="13"/>
  <c r="E28" i="13"/>
  <c r="E27" i="13"/>
  <c r="E26" i="13"/>
  <c r="F25" i="13"/>
  <c r="E24" i="13"/>
  <c r="E23" i="13"/>
  <c r="E22" i="13"/>
  <c r="F21" i="13"/>
  <c r="E20" i="13"/>
  <c r="F19" i="13"/>
  <c r="E18" i="13"/>
  <c r="E17" i="13"/>
  <c r="E16" i="13"/>
  <c r="E15" i="13"/>
  <c r="E14" i="13"/>
  <c r="E13" i="13"/>
  <c r="E12" i="13"/>
  <c r="F11" i="13"/>
  <c r="E10" i="13"/>
  <c r="E9" i="13"/>
  <c r="E8" i="13"/>
  <c r="F7" i="13"/>
  <c r="F45" i="13"/>
  <c r="E6" i="13"/>
  <c r="E5" i="13"/>
  <c r="F4" i="13"/>
  <c r="E3" i="13"/>
  <c r="E2" i="13"/>
  <c r="N301" i="11"/>
  <c r="N300" i="11"/>
  <c r="N299" i="11"/>
  <c r="N298" i="11"/>
  <c r="N297" i="11"/>
  <c r="N296" i="11"/>
  <c r="N295" i="11"/>
  <c r="N294" i="11"/>
  <c r="N293" i="11"/>
  <c r="N292" i="11"/>
  <c r="N291" i="11"/>
  <c r="N290" i="11"/>
  <c r="N289" i="11"/>
  <c r="N288" i="11"/>
  <c r="N287" i="11"/>
  <c r="N286" i="11"/>
  <c r="N285" i="11"/>
  <c r="N284" i="11"/>
  <c r="N283" i="11"/>
  <c r="N282" i="11"/>
  <c r="N281" i="11"/>
  <c r="N280" i="11"/>
  <c r="N279" i="11"/>
  <c r="N278" i="11"/>
  <c r="N277" i="11"/>
  <c r="N276" i="11"/>
  <c r="N275" i="11"/>
  <c r="N274" i="11"/>
  <c r="N273" i="11"/>
  <c r="N272" i="11"/>
  <c r="N271" i="11"/>
  <c r="N270" i="11"/>
  <c r="N269" i="11"/>
  <c r="N268" i="11"/>
  <c r="N267" i="11"/>
  <c r="N266" i="11"/>
  <c r="N265" i="11"/>
  <c r="N264" i="11"/>
  <c r="N263" i="11"/>
  <c r="N262" i="11"/>
  <c r="N261" i="11"/>
  <c r="N260" i="11"/>
  <c r="N259" i="11"/>
  <c r="N258" i="11"/>
  <c r="N257" i="11"/>
  <c r="N256" i="11"/>
  <c r="N255" i="11"/>
  <c r="N254" i="11"/>
  <c r="N253" i="11"/>
  <c r="N252" i="11"/>
  <c r="N251" i="11"/>
  <c r="M206" i="11"/>
  <c r="L206" i="11"/>
  <c r="M205" i="11"/>
  <c r="L205" i="11"/>
  <c r="M204" i="11"/>
  <c r="L204" i="11"/>
  <c r="M203" i="11"/>
  <c r="L203" i="11"/>
  <c r="A203" i="11"/>
  <c r="N203" i="11" s="1"/>
  <c r="M202" i="11"/>
  <c r="L202" i="11"/>
  <c r="A202" i="11"/>
  <c r="M201" i="11"/>
  <c r="L201" i="11"/>
  <c r="A201" i="11"/>
  <c r="M200" i="11"/>
  <c r="L200" i="11"/>
  <c r="M199" i="11"/>
  <c r="L199" i="11"/>
  <c r="M198" i="11"/>
  <c r="L198" i="11"/>
  <c r="M197" i="11"/>
  <c r="L197" i="11"/>
  <c r="M196" i="11"/>
  <c r="L196" i="11"/>
  <c r="M195" i="11"/>
  <c r="L195" i="11"/>
  <c r="M194" i="11"/>
  <c r="L194" i="11"/>
  <c r="M193" i="11"/>
  <c r="L193" i="11"/>
  <c r="M192" i="11"/>
  <c r="L192" i="11"/>
  <c r="M191" i="11"/>
  <c r="L191" i="11"/>
  <c r="M190" i="11"/>
  <c r="L190" i="11"/>
  <c r="M189" i="11"/>
  <c r="L189" i="11"/>
  <c r="M188" i="11"/>
  <c r="L188" i="11"/>
  <c r="M187" i="11"/>
  <c r="L187" i="11"/>
  <c r="M186" i="11"/>
  <c r="L186" i="11"/>
  <c r="M185" i="11"/>
  <c r="L185" i="11"/>
  <c r="M184" i="11"/>
  <c r="L184" i="11"/>
  <c r="M183" i="11"/>
  <c r="L183" i="11"/>
  <c r="M182" i="11"/>
  <c r="L182" i="11"/>
  <c r="M181" i="11"/>
  <c r="L181" i="11"/>
  <c r="M180" i="11"/>
  <c r="L180" i="11"/>
  <c r="M179" i="11"/>
  <c r="L179" i="11"/>
  <c r="M178" i="11"/>
  <c r="L178" i="11"/>
  <c r="M177" i="11"/>
  <c r="L177" i="11"/>
  <c r="M175" i="11"/>
  <c r="L175" i="11"/>
  <c r="M174" i="11"/>
  <c r="H174" i="11"/>
  <c r="L174" i="11"/>
  <c r="H173" i="11"/>
  <c r="M173" i="11"/>
  <c r="H172" i="11"/>
  <c r="L172" i="11"/>
  <c r="H171" i="11"/>
  <c r="M171" i="11"/>
  <c r="M170" i="11"/>
  <c r="L170" i="11"/>
  <c r="M169" i="11"/>
  <c r="L169" i="11"/>
  <c r="M168" i="11"/>
  <c r="L168" i="11"/>
  <c r="M167" i="11"/>
  <c r="L167" i="11"/>
  <c r="M166" i="11"/>
  <c r="L166" i="11"/>
  <c r="M165" i="11"/>
  <c r="L165" i="11"/>
  <c r="M164" i="11"/>
  <c r="L164" i="11"/>
  <c r="M163" i="11"/>
  <c r="L163" i="11"/>
  <c r="M162" i="11"/>
  <c r="L162" i="11"/>
  <c r="M161" i="11"/>
  <c r="L161" i="11"/>
  <c r="M160" i="11"/>
  <c r="L160" i="11"/>
  <c r="M159" i="11"/>
  <c r="L159" i="11"/>
  <c r="M158" i="11"/>
  <c r="L158" i="11"/>
  <c r="M157" i="11"/>
  <c r="L157" i="11"/>
  <c r="M156" i="11"/>
  <c r="L156" i="11"/>
  <c r="L155" i="11"/>
  <c r="M155" i="11"/>
  <c r="M154" i="11"/>
  <c r="L154" i="11"/>
  <c r="H153" i="11"/>
  <c r="P1" i="11" a="1"/>
  <c r="P1" i="11"/>
  <c r="L152" i="11"/>
  <c r="M152" i="11"/>
  <c r="M151" i="11"/>
  <c r="L151" i="11"/>
  <c r="L150" i="11"/>
  <c r="M150" i="11"/>
  <c r="D150" i="11"/>
  <c r="L149" i="11"/>
  <c r="M149" i="11"/>
  <c r="L148" i="11"/>
  <c r="M148" i="11"/>
  <c r="L147" i="11"/>
  <c r="M147" i="11"/>
  <c r="M146" i="11"/>
  <c r="L146" i="11"/>
  <c r="L145" i="11"/>
  <c r="M145" i="11"/>
  <c r="M144" i="11"/>
  <c r="L144" i="11"/>
  <c r="L143" i="11"/>
  <c r="M143" i="11"/>
  <c r="L142" i="11"/>
  <c r="M142" i="11"/>
  <c r="L141" i="11"/>
  <c r="L140" i="11"/>
  <c r="M140" i="11"/>
  <c r="L139" i="11"/>
  <c r="M139" i="11"/>
  <c r="L138" i="11"/>
  <c r="M138" i="11"/>
  <c r="L137" i="11"/>
  <c r="M137" i="11"/>
  <c r="L136" i="11"/>
  <c r="M136" i="11"/>
  <c r="M135" i="11"/>
  <c r="L135" i="11"/>
  <c r="L134" i="11"/>
  <c r="M134" i="11"/>
  <c r="M133" i="11"/>
  <c r="L133" i="11"/>
  <c r="L132" i="11"/>
  <c r="M132" i="11"/>
  <c r="L131" i="11"/>
  <c r="M131" i="11"/>
  <c r="L130" i="11"/>
  <c r="M130" i="11"/>
  <c r="L129" i="11"/>
  <c r="M129" i="11"/>
  <c r="L128" i="11"/>
  <c r="M128" i="11"/>
  <c r="L127" i="11"/>
  <c r="M127" i="11"/>
  <c r="J127" i="11"/>
  <c r="L126" i="11"/>
  <c r="M126" i="11"/>
  <c r="L125" i="11"/>
  <c r="M125" i="11"/>
  <c r="L124" i="11"/>
  <c r="M124" i="11"/>
  <c r="L123" i="11"/>
  <c r="M123" i="11"/>
  <c r="L122" i="11"/>
  <c r="M122" i="11"/>
  <c r="L121" i="11"/>
  <c r="M121" i="11"/>
  <c r="L120" i="11"/>
  <c r="M120" i="11"/>
  <c r="L119" i="11"/>
  <c r="M119" i="11"/>
  <c r="L118" i="11"/>
  <c r="M118" i="11"/>
  <c r="L117" i="11"/>
  <c r="M117" i="11"/>
  <c r="L116" i="11"/>
  <c r="M116" i="11"/>
  <c r="L115" i="11"/>
  <c r="M115" i="11"/>
  <c r="M114" i="11"/>
  <c r="L114" i="11"/>
  <c r="L113" i="11"/>
  <c r="M113" i="11"/>
  <c r="M112" i="11"/>
  <c r="L112" i="11"/>
  <c r="L111" i="11"/>
  <c r="M111" i="11"/>
  <c r="L110" i="11"/>
  <c r="M110" i="11"/>
  <c r="L109" i="11"/>
  <c r="M109" i="11"/>
  <c r="L108" i="11"/>
  <c r="M108" i="11"/>
  <c r="L107" i="11"/>
  <c r="M107" i="11"/>
  <c r="J107" i="11"/>
  <c r="L106" i="11"/>
  <c r="M106" i="11"/>
  <c r="L105" i="11"/>
  <c r="M105" i="11"/>
  <c r="L104" i="11"/>
  <c r="M104" i="11"/>
  <c r="L103" i="11"/>
  <c r="M103" i="11"/>
  <c r="L102" i="11"/>
  <c r="M102" i="11"/>
  <c r="M101" i="11"/>
  <c r="L101" i="11"/>
  <c r="M100" i="11"/>
  <c r="L100" i="11"/>
  <c r="M99" i="11"/>
  <c r="L99" i="11"/>
  <c r="M98" i="11"/>
  <c r="L98" i="11"/>
  <c r="M97" i="11"/>
  <c r="L97" i="11"/>
  <c r="M96" i="11"/>
  <c r="L96" i="11"/>
  <c r="M95" i="11"/>
  <c r="L95" i="11"/>
  <c r="M94" i="11"/>
  <c r="L94" i="11"/>
  <c r="M93" i="11"/>
  <c r="L93" i="11"/>
  <c r="M92" i="11"/>
  <c r="L92" i="11"/>
  <c r="M91" i="11"/>
  <c r="L91" i="11"/>
  <c r="M90" i="11"/>
  <c r="L90" i="11"/>
  <c r="M89" i="11"/>
  <c r="L89" i="11"/>
  <c r="M88" i="11"/>
  <c r="L88" i="11"/>
  <c r="M87" i="11"/>
  <c r="L87" i="11"/>
  <c r="M86" i="11"/>
  <c r="L86" i="11"/>
  <c r="M85" i="11"/>
  <c r="L85" i="11"/>
  <c r="J85" i="11"/>
  <c r="M84" i="11"/>
  <c r="L84" i="11"/>
  <c r="M83" i="11"/>
  <c r="L83" i="11"/>
  <c r="M82" i="11"/>
  <c r="L82" i="11"/>
  <c r="M81" i="11"/>
  <c r="L81" i="11"/>
  <c r="J81" i="11"/>
  <c r="M80" i="11"/>
  <c r="L80" i="11"/>
  <c r="M79" i="11"/>
  <c r="L79" i="11"/>
  <c r="M78" i="11"/>
  <c r="L78" i="11"/>
  <c r="J78" i="11"/>
  <c r="M77" i="11"/>
  <c r="L77" i="11"/>
  <c r="M76" i="11"/>
  <c r="L76" i="11"/>
  <c r="M75" i="11"/>
  <c r="L75" i="11"/>
  <c r="M74" i="11"/>
  <c r="L74" i="11"/>
  <c r="M73" i="11"/>
  <c r="L73" i="11"/>
  <c r="M72" i="11"/>
  <c r="L72" i="11"/>
  <c r="M71" i="11"/>
  <c r="L71" i="11"/>
  <c r="M70" i="11"/>
  <c r="L70" i="11"/>
  <c r="M69" i="11"/>
  <c r="L69" i="11"/>
  <c r="M68" i="11"/>
  <c r="L68" i="11"/>
  <c r="M67" i="11"/>
  <c r="L67" i="11"/>
  <c r="J67" i="11"/>
  <c r="M66" i="11"/>
  <c r="L66" i="11"/>
  <c r="M65" i="11"/>
  <c r="L65" i="11"/>
  <c r="M64" i="11"/>
  <c r="L64" i="11"/>
  <c r="M63" i="11"/>
  <c r="L63" i="11"/>
  <c r="M62" i="11"/>
  <c r="L62" i="11"/>
  <c r="M61" i="11"/>
  <c r="L61" i="11"/>
  <c r="M60" i="11"/>
  <c r="L60" i="11"/>
  <c r="M59" i="11"/>
  <c r="L59" i="11"/>
  <c r="M58" i="11"/>
  <c r="L58" i="11"/>
  <c r="M57" i="11"/>
  <c r="L57" i="11"/>
  <c r="M56" i="11"/>
  <c r="L56" i="11"/>
  <c r="M55" i="11"/>
  <c r="L55" i="11"/>
  <c r="M54" i="11"/>
  <c r="L54" i="11"/>
  <c r="M53" i="11"/>
  <c r="L53" i="11"/>
  <c r="M52" i="11"/>
  <c r="L52" i="11"/>
  <c r="M51" i="11"/>
  <c r="L51" i="11"/>
  <c r="M50" i="11"/>
  <c r="L50" i="11"/>
  <c r="M49" i="11"/>
  <c r="L49" i="11"/>
  <c r="M48" i="11"/>
  <c r="L48" i="11"/>
  <c r="M47" i="11"/>
  <c r="L47" i="11"/>
  <c r="M46" i="11"/>
  <c r="L46" i="11"/>
  <c r="M45" i="11"/>
  <c r="L45" i="11"/>
  <c r="M44" i="11"/>
  <c r="L44" i="11"/>
  <c r="J44" i="11"/>
  <c r="M43" i="11"/>
  <c r="L43" i="11"/>
  <c r="M42" i="11"/>
  <c r="L42" i="11"/>
  <c r="M41" i="11"/>
  <c r="L41" i="11"/>
  <c r="M40" i="11"/>
  <c r="L40" i="11"/>
  <c r="M39" i="11"/>
  <c r="L39" i="11"/>
  <c r="M38" i="11"/>
  <c r="L38" i="11"/>
  <c r="M37" i="11"/>
  <c r="L37" i="11"/>
  <c r="M36" i="11"/>
  <c r="L36" i="11"/>
  <c r="M35" i="11"/>
  <c r="L35" i="11"/>
  <c r="M34" i="11"/>
  <c r="L34" i="11"/>
  <c r="M33" i="11"/>
  <c r="L33" i="11"/>
  <c r="M32" i="11"/>
  <c r="L32" i="11"/>
  <c r="M31" i="11"/>
  <c r="L31" i="11"/>
  <c r="M30" i="11"/>
  <c r="L30" i="11"/>
  <c r="M29" i="11"/>
  <c r="L29" i="11"/>
  <c r="J29" i="11"/>
  <c r="M28" i="11"/>
  <c r="L28" i="11"/>
  <c r="M27" i="11"/>
  <c r="L27" i="11"/>
  <c r="M26" i="11"/>
  <c r="L26" i="11"/>
  <c r="M25" i="11"/>
  <c r="L25" i="11"/>
  <c r="M24" i="11"/>
  <c r="L24" i="11"/>
  <c r="M23" i="11"/>
  <c r="L23" i="11"/>
  <c r="M22" i="11"/>
  <c r="L22" i="11"/>
  <c r="M21" i="11"/>
  <c r="L21" i="11"/>
  <c r="M20" i="11"/>
  <c r="L20" i="11"/>
  <c r="M19" i="11"/>
  <c r="L19" i="11"/>
  <c r="M18" i="11"/>
  <c r="L18" i="11"/>
  <c r="M17" i="11"/>
  <c r="L17" i="11"/>
  <c r="M16" i="11"/>
  <c r="L16" i="11"/>
  <c r="M15" i="11"/>
  <c r="L15" i="11"/>
  <c r="M14" i="11"/>
  <c r="L14" i="11"/>
  <c r="M13" i="11"/>
  <c r="L13" i="11"/>
  <c r="M12" i="11"/>
  <c r="L12" i="11"/>
  <c r="M11" i="11"/>
  <c r="L11" i="11"/>
  <c r="M10" i="11"/>
  <c r="L10" i="11"/>
  <c r="M9" i="11"/>
  <c r="L9" i="11"/>
  <c r="J9" i="11"/>
  <c r="M8" i="11"/>
  <c r="L8" i="11"/>
  <c r="M7" i="11"/>
  <c r="L7" i="11"/>
  <c r="J7" i="11"/>
  <c r="M6" i="11"/>
  <c r="L6" i="11"/>
  <c r="M5" i="11"/>
  <c r="L5" i="11"/>
  <c r="M4" i="11"/>
  <c r="L4" i="11"/>
  <c r="M3" i="11"/>
  <c r="L3" i="11"/>
  <c r="Q1" i="11" a="1"/>
  <c r="Q1" i="11"/>
  <c r="N301" i="9"/>
  <c r="N300" i="9"/>
  <c r="N299" i="9"/>
  <c r="N298" i="9"/>
  <c r="N297" i="9"/>
  <c r="N296" i="9"/>
  <c r="N295" i="9"/>
  <c r="N294" i="9"/>
  <c r="N293" i="9"/>
  <c r="N292" i="9"/>
  <c r="N291" i="9"/>
  <c r="N290" i="9"/>
  <c r="N289" i="9"/>
  <c r="N288" i="9"/>
  <c r="N287" i="9"/>
  <c r="N286" i="9"/>
  <c r="N285" i="9"/>
  <c r="N284" i="9"/>
  <c r="N283" i="9"/>
  <c r="N282" i="9"/>
  <c r="N281" i="9"/>
  <c r="N280" i="9"/>
  <c r="N279" i="9"/>
  <c r="N278" i="9"/>
  <c r="N277" i="9"/>
  <c r="N276" i="9"/>
  <c r="N275" i="9"/>
  <c r="N274" i="9"/>
  <c r="N273" i="9"/>
  <c r="N272" i="9"/>
  <c r="N271" i="9"/>
  <c r="N270" i="9"/>
  <c r="N269" i="9"/>
  <c r="N268" i="9"/>
  <c r="N267" i="9"/>
  <c r="N266" i="9"/>
  <c r="N265" i="9"/>
  <c r="N264" i="9"/>
  <c r="N263" i="9"/>
  <c r="N262" i="9"/>
  <c r="N261" i="9"/>
  <c r="N260" i="9"/>
  <c r="N259" i="9"/>
  <c r="N258" i="9"/>
  <c r="N257" i="9"/>
  <c r="N256" i="9"/>
  <c r="N255" i="9"/>
  <c r="N254" i="9"/>
  <c r="N253" i="9"/>
  <c r="N252" i="9"/>
  <c r="N251" i="9"/>
  <c r="N250" i="9"/>
  <c r="N249" i="9"/>
  <c r="N248" i="9"/>
  <c r="N247" i="9"/>
  <c r="N246" i="9"/>
  <c r="N245" i="9"/>
  <c r="N244" i="9"/>
  <c r="N243" i="9"/>
  <c r="N242" i="9"/>
  <c r="N241" i="9"/>
  <c r="N240" i="9"/>
  <c r="N239" i="9"/>
  <c r="N238" i="9"/>
  <c r="N237" i="9"/>
  <c r="N236" i="9"/>
  <c r="N235" i="9"/>
  <c r="N234" i="9"/>
  <c r="N233" i="9"/>
  <c r="N232" i="9"/>
  <c r="N231" i="9"/>
  <c r="N230" i="9"/>
  <c r="N229" i="9"/>
  <c r="N228" i="9"/>
  <c r="N227" i="9"/>
  <c r="N226" i="9"/>
  <c r="N225" i="9"/>
  <c r="N224" i="9"/>
  <c r="J218" i="9"/>
  <c r="J217" i="9"/>
  <c r="J216" i="9"/>
  <c r="N216" i="9"/>
  <c r="H215" i="9"/>
  <c r="J214" i="9"/>
  <c r="H214" i="9"/>
  <c r="J211" i="9"/>
  <c r="N211" i="9"/>
  <c r="M208" i="9"/>
  <c r="L208" i="9"/>
  <c r="J208" i="9"/>
  <c r="M207" i="9"/>
  <c r="L207" i="9"/>
  <c r="M206" i="9"/>
  <c r="L206" i="9"/>
  <c r="M205" i="9"/>
  <c r="L205" i="9"/>
  <c r="M204" i="9"/>
  <c r="L204" i="9"/>
  <c r="M203" i="9"/>
  <c r="L203" i="9"/>
  <c r="L202" i="9"/>
  <c r="J202" i="9"/>
  <c r="M202" i="9"/>
  <c r="M201" i="9"/>
  <c r="L201" i="9"/>
  <c r="J201" i="9"/>
  <c r="M200" i="9"/>
  <c r="L200" i="9"/>
  <c r="M199" i="9"/>
  <c r="L199" i="9"/>
  <c r="M198" i="9"/>
  <c r="L198" i="9"/>
  <c r="L197" i="9"/>
  <c r="J197" i="9"/>
  <c r="M197" i="9"/>
  <c r="M196" i="9"/>
  <c r="L196" i="9"/>
  <c r="M195" i="9"/>
  <c r="L195" i="9"/>
  <c r="M194" i="9"/>
  <c r="L194" i="9"/>
  <c r="L193" i="9"/>
  <c r="J193" i="9"/>
  <c r="N193" i="9"/>
  <c r="L192" i="9"/>
  <c r="J192" i="9"/>
  <c r="N192" i="9"/>
  <c r="M191" i="9"/>
  <c r="L191" i="9"/>
  <c r="M190" i="9"/>
  <c r="L190" i="9"/>
  <c r="L189" i="9"/>
  <c r="J189" i="9"/>
  <c r="M188" i="9"/>
  <c r="L188" i="9"/>
  <c r="J188" i="9"/>
  <c r="L187" i="9"/>
  <c r="J187" i="9"/>
  <c r="M187" i="9"/>
  <c r="M186" i="9"/>
  <c r="L186" i="9"/>
  <c r="M185" i="9"/>
  <c r="L185" i="9"/>
  <c r="L184" i="9"/>
  <c r="J184" i="9"/>
  <c r="M184" i="9"/>
  <c r="M183" i="9"/>
  <c r="L183" i="9"/>
  <c r="M182" i="9"/>
  <c r="L182" i="9"/>
  <c r="J182" i="9"/>
  <c r="M181" i="9"/>
  <c r="L181" i="9"/>
  <c r="J181" i="9"/>
  <c r="M180" i="9"/>
  <c r="L180" i="9"/>
  <c r="M179" i="9"/>
  <c r="L179" i="9"/>
  <c r="L178" i="9"/>
  <c r="J178" i="9"/>
  <c r="N178" i="9"/>
  <c r="M177" i="9"/>
  <c r="L177" i="9"/>
  <c r="M175" i="9"/>
  <c r="L175" i="9"/>
  <c r="J174" i="9"/>
  <c r="H174" i="9"/>
  <c r="M174" i="9"/>
  <c r="L173" i="9"/>
  <c r="J173" i="9"/>
  <c r="H173" i="9"/>
  <c r="M173" i="9"/>
  <c r="L172" i="9"/>
  <c r="J172" i="9"/>
  <c r="H172" i="9"/>
  <c r="J171" i="9"/>
  <c r="H171" i="9"/>
  <c r="L171" i="9"/>
  <c r="M170" i="9"/>
  <c r="L170" i="9"/>
  <c r="M169" i="9"/>
  <c r="L169" i="9"/>
  <c r="M168" i="9"/>
  <c r="L168" i="9"/>
  <c r="M167" i="9"/>
  <c r="L167" i="9"/>
  <c r="M166" i="9"/>
  <c r="L166" i="9"/>
  <c r="M165" i="9"/>
  <c r="L165" i="9"/>
  <c r="J165" i="9"/>
  <c r="M164" i="9"/>
  <c r="L164" i="9"/>
  <c r="M163" i="9"/>
  <c r="L163" i="9"/>
  <c r="M162" i="9"/>
  <c r="L162" i="9"/>
  <c r="M161" i="9"/>
  <c r="L161" i="9"/>
  <c r="M160" i="9"/>
  <c r="L160" i="9"/>
  <c r="M159" i="9"/>
  <c r="L159" i="9"/>
  <c r="M158" i="9"/>
  <c r="L158" i="9"/>
  <c r="M157" i="9"/>
  <c r="L157" i="9"/>
  <c r="L156" i="9"/>
  <c r="M156" i="9"/>
  <c r="L155" i="9"/>
  <c r="M155" i="9"/>
  <c r="L154" i="9"/>
  <c r="M154" i="9"/>
  <c r="J153" i="9"/>
  <c r="N153" i="9"/>
  <c r="H153" i="9"/>
  <c r="L153" i="9"/>
  <c r="L152" i="9"/>
  <c r="J152" i="9"/>
  <c r="N152" i="9"/>
  <c r="L151" i="9"/>
  <c r="M151" i="9"/>
  <c r="L150" i="9"/>
  <c r="M150" i="9"/>
  <c r="D150" i="9"/>
  <c r="L149" i="9"/>
  <c r="M149" i="9"/>
  <c r="L148" i="9"/>
  <c r="J148" i="9"/>
  <c r="N148" i="9"/>
  <c r="L147" i="9"/>
  <c r="M147" i="9"/>
  <c r="L146" i="9"/>
  <c r="M146" i="9"/>
  <c r="L145" i="9"/>
  <c r="M145" i="9"/>
  <c r="L144" i="9"/>
  <c r="M144" i="9"/>
  <c r="L143" i="9"/>
  <c r="M143" i="9"/>
  <c r="L142" i="9"/>
  <c r="M142" i="9"/>
  <c r="L141" i="9"/>
  <c r="L140" i="9"/>
  <c r="M140" i="9"/>
  <c r="M139" i="9"/>
  <c r="L139" i="9"/>
  <c r="L138" i="9"/>
  <c r="M138" i="9"/>
  <c r="L137" i="9"/>
  <c r="J137" i="9"/>
  <c r="N137" i="9"/>
  <c r="L136" i="9"/>
  <c r="M136" i="9"/>
  <c r="L135" i="9"/>
  <c r="M135" i="9"/>
  <c r="L134" i="9"/>
  <c r="M134" i="9"/>
  <c r="L133" i="9"/>
  <c r="M133" i="9"/>
  <c r="L132" i="9"/>
  <c r="M132" i="9"/>
  <c r="L131" i="9"/>
  <c r="M131" i="9"/>
  <c r="L130" i="9"/>
  <c r="M130" i="9"/>
  <c r="L129" i="9"/>
  <c r="M129" i="9"/>
  <c r="L128" i="9"/>
  <c r="M128" i="9"/>
  <c r="L127" i="9"/>
  <c r="M127" i="9"/>
  <c r="J127" i="9"/>
  <c r="L126" i="9"/>
  <c r="M126" i="9"/>
  <c r="L125" i="9"/>
  <c r="M125" i="9"/>
  <c r="L124" i="9"/>
  <c r="M124" i="9"/>
  <c r="L123" i="9"/>
  <c r="M123" i="9"/>
  <c r="L122" i="9"/>
  <c r="M122" i="9"/>
  <c r="L121" i="9"/>
  <c r="M121" i="9"/>
  <c r="L120" i="9"/>
  <c r="J120" i="9"/>
  <c r="N120" i="9"/>
  <c r="L119" i="9"/>
  <c r="M119" i="9"/>
  <c r="L118" i="9"/>
  <c r="M118" i="9"/>
  <c r="L117" i="9"/>
  <c r="M117" i="9"/>
  <c r="L116" i="9"/>
  <c r="M116" i="9"/>
  <c r="L115" i="9"/>
  <c r="M115" i="9"/>
  <c r="L114" i="9"/>
  <c r="M114" i="9"/>
  <c r="L113" i="9"/>
  <c r="M113" i="9"/>
  <c r="L112" i="9"/>
  <c r="J112" i="9"/>
  <c r="N112" i="9"/>
  <c r="L111" i="9"/>
  <c r="M111" i="9"/>
  <c r="L110" i="9"/>
  <c r="M110" i="9"/>
  <c r="L109" i="9"/>
  <c r="J109" i="9"/>
  <c r="N109" i="9"/>
  <c r="L108" i="9"/>
  <c r="M108" i="9"/>
  <c r="L107" i="9"/>
  <c r="J107" i="9"/>
  <c r="N107" i="9"/>
  <c r="L106" i="9"/>
  <c r="M106" i="9"/>
  <c r="L105" i="9"/>
  <c r="M105" i="9"/>
  <c r="L104" i="9"/>
  <c r="M104" i="9"/>
  <c r="L103" i="9"/>
  <c r="M103" i="9"/>
  <c r="L102" i="9"/>
  <c r="M102" i="9"/>
  <c r="M101" i="9"/>
  <c r="L101" i="9"/>
  <c r="M100" i="9"/>
  <c r="L100" i="9"/>
  <c r="M99" i="9"/>
  <c r="L99" i="9"/>
  <c r="M98" i="9"/>
  <c r="L98" i="9"/>
  <c r="J98" i="9"/>
  <c r="N98" i="9"/>
  <c r="M97" i="9"/>
  <c r="L97" i="9"/>
  <c r="M96" i="9"/>
  <c r="L96" i="9"/>
  <c r="M95" i="9"/>
  <c r="L95" i="9"/>
  <c r="M94" i="9"/>
  <c r="L94" i="9"/>
  <c r="M93" i="9"/>
  <c r="L93" i="9"/>
  <c r="M92" i="9"/>
  <c r="L92" i="9"/>
  <c r="M91" i="9"/>
  <c r="L91" i="9"/>
  <c r="M90" i="9"/>
  <c r="L90" i="9"/>
  <c r="M89" i="9"/>
  <c r="L89" i="9"/>
  <c r="M88" i="9"/>
  <c r="L88" i="9"/>
  <c r="J88" i="9"/>
  <c r="N88" i="9"/>
  <c r="M87" i="9"/>
  <c r="L87" i="9"/>
  <c r="M86" i="9"/>
  <c r="L86" i="9"/>
  <c r="M85" i="9"/>
  <c r="L85" i="9"/>
  <c r="J85" i="9"/>
  <c r="N85" i="9"/>
  <c r="M84" i="9"/>
  <c r="L84" i="9"/>
  <c r="M83" i="9"/>
  <c r="L83" i="9"/>
  <c r="M82" i="9"/>
  <c r="L82" i="9"/>
  <c r="M81" i="9"/>
  <c r="L81" i="9"/>
  <c r="M80" i="9"/>
  <c r="L80" i="9"/>
  <c r="M79" i="9"/>
  <c r="L79" i="9"/>
  <c r="J79" i="9"/>
  <c r="N79" i="9"/>
  <c r="M78" i="9"/>
  <c r="L78" i="9"/>
  <c r="J78" i="9"/>
  <c r="N78" i="9"/>
  <c r="M77" i="9"/>
  <c r="L77" i="9"/>
  <c r="M76" i="9"/>
  <c r="L76" i="9"/>
  <c r="M75" i="9"/>
  <c r="L75" i="9"/>
  <c r="J75" i="9"/>
  <c r="N75" i="9"/>
  <c r="M74" i="9"/>
  <c r="L74" i="9"/>
  <c r="M73" i="9"/>
  <c r="L73" i="9"/>
  <c r="M72" i="9"/>
  <c r="L72" i="9"/>
  <c r="M71" i="9"/>
  <c r="L71" i="9"/>
  <c r="M70" i="9"/>
  <c r="L70" i="9"/>
  <c r="J70" i="9"/>
  <c r="N70" i="9"/>
  <c r="M69" i="9"/>
  <c r="L69" i="9"/>
  <c r="M68" i="9"/>
  <c r="L68" i="9"/>
  <c r="J68" i="9"/>
  <c r="N68" i="9"/>
  <c r="M67" i="9"/>
  <c r="L67" i="9"/>
  <c r="J67" i="9"/>
  <c r="M66" i="9"/>
  <c r="L66" i="9"/>
  <c r="J66" i="9"/>
  <c r="N66" i="9"/>
  <c r="M65" i="9"/>
  <c r="L65" i="9"/>
  <c r="M64" i="9"/>
  <c r="L64" i="9"/>
  <c r="M63" i="9"/>
  <c r="L63" i="9"/>
  <c r="M62" i="9"/>
  <c r="L62" i="9"/>
  <c r="M61" i="9"/>
  <c r="L61" i="9"/>
  <c r="M60" i="9"/>
  <c r="L60" i="9"/>
  <c r="J60" i="9"/>
  <c r="N60" i="9"/>
  <c r="M59" i="9"/>
  <c r="L59" i="9"/>
  <c r="J59" i="9"/>
  <c r="N59" i="9"/>
  <c r="M58" i="9"/>
  <c r="L58" i="9"/>
  <c r="M57" i="9"/>
  <c r="L57" i="9"/>
  <c r="M56" i="9"/>
  <c r="L56" i="9"/>
  <c r="J56" i="9"/>
  <c r="N56" i="9"/>
  <c r="M55" i="9"/>
  <c r="L55" i="9"/>
  <c r="M54" i="9"/>
  <c r="L54" i="9"/>
  <c r="M53" i="9"/>
  <c r="L53" i="9"/>
  <c r="M52" i="9"/>
  <c r="L52" i="9"/>
  <c r="M51" i="9"/>
  <c r="L51" i="9"/>
  <c r="J51" i="9"/>
  <c r="N51" i="9"/>
  <c r="M50" i="9"/>
  <c r="L50" i="9"/>
  <c r="M49" i="9"/>
  <c r="L49" i="9"/>
  <c r="M48" i="9"/>
  <c r="L48" i="9"/>
  <c r="M47" i="9"/>
  <c r="L47" i="9"/>
  <c r="M46" i="9"/>
  <c r="L46" i="9"/>
  <c r="M45" i="9"/>
  <c r="L45" i="9"/>
  <c r="J45" i="9"/>
  <c r="N45" i="9"/>
  <c r="M44" i="9"/>
  <c r="L44" i="9"/>
  <c r="J44" i="9"/>
  <c r="N44" i="9"/>
  <c r="M43" i="9"/>
  <c r="L43" i="9"/>
  <c r="M42" i="9"/>
  <c r="L42" i="9"/>
  <c r="M41" i="9"/>
  <c r="L41" i="9"/>
  <c r="M40" i="9"/>
  <c r="L40" i="9"/>
  <c r="M39" i="9"/>
  <c r="L39" i="9"/>
  <c r="J39" i="9"/>
  <c r="N39" i="9"/>
  <c r="M38" i="9"/>
  <c r="L38" i="9"/>
  <c r="J38" i="9"/>
  <c r="N38" i="9"/>
  <c r="M37" i="9"/>
  <c r="L37" i="9"/>
  <c r="J37" i="9"/>
  <c r="N37" i="9"/>
  <c r="M36" i="9"/>
  <c r="L36" i="9"/>
  <c r="J36" i="9"/>
  <c r="N36" i="9"/>
  <c r="M35" i="9"/>
  <c r="L35" i="9"/>
  <c r="M34" i="9"/>
  <c r="L34" i="9"/>
  <c r="M33" i="9"/>
  <c r="L33" i="9"/>
  <c r="J33" i="9"/>
  <c r="N33" i="9"/>
  <c r="M32" i="9"/>
  <c r="L32" i="9"/>
  <c r="J32" i="9"/>
  <c r="N32" i="9"/>
  <c r="M31" i="9"/>
  <c r="L31" i="9"/>
  <c r="J31" i="9"/>
  <c r="N31" i="9"/>
  <c r="M30" i="9"/>
  <c r="L30" i="9"/>
  <c r="M29" i="9"/>
  <c r="L29" i="9"/>
  <c r="J29" i="9"/>
  <c r="N29" i="9"/>
  <c r="M28" i="9"/>
  <c r="L28" i="9"/>
  <c r="M27" i="9"/>
  <c r="L27" i="9"/>
  <c r="M26" i="9"/>
  <c r="L26" i="9"/>
  <c r="M25" i="9"/>
  <c r="L25" i="9"/>
  <c r="J25" i="9"/>
  <c r="N25" i="9"/>
  <c r="M24" i="9"/>
  <c r="L24" i="9"/>
  <c r="J24" i="9"/>
  <c r="N24" i="9"/>
  <c r="M23" i="9"/>
  <c r="L23" i="9"/>
  <c r="M22" i="9"/>
  <c r="L22" i="9"/>
  <c r="M21" i="9"/>
  <c r="L21" i="9"/>
  <c r="M20" i="9"/>
  <c r="L20" i="9"/>
  <c r="M19" i="9"/>
  <c r="L19" i="9"/>
  <c r="M18" i="9"/>
  <c r="L18" i="9"/>
  <c r="M17" i="9"/>
  <c r="L17" i="9"/>
  <c r="M16" i="9"/>
  <c r="L16" i="9"/>
  <c r="M15" i="9"/>
  <c r="L15" i="9"/>
  <c r="M14" i="9"/>
  <c r="L14" i="9"/>
  <c r="M13" i="9"/>
  <c r="L13" i="9"/>
  <c r="M12" i="9"/>
  <c r="L12" i="9"/>
  <c r="M11" i="9"/>
  <c r="L11" i="9"/>
  <c r="M10" i="9"/>
  <c r="L10" i="9"/>
  <c r="J10" i="9"/>
  <c r="N10" i="9"/>
  <c r="M9" i="9"/>
  <c r="L9" i="9"/>
  <c r="J9" i="9"/>
  <c r="N9" i="9"/>
  <c r="M8" i="9"/>
  <c r="L8" i="9"/>
  <c r="M7" i="9"/>
  <c r="L7" i="9"/>
  <c r="J7" i="9"/>
  <c r="N7" i="9"/>
  <c r="M6" i="9"/>
  <c r="L6" i="9"/>
  <c r="M5" i="9"/>
  <c r="L5" i="9"/>
  <c r="M4" i="9"/>
  <c r="L4" i="9"/>
  <c r="J4" i="9"/>
  <c r="N4" i="9"/>
  <c r="M3" i="9"/>
  <c r="L3" i="9"/>
  <c r="M103" i="8"/>
  <c r="P103" i="8"/>
  <c r="G20" i="2"/>
  <c r="N102" i="8"/>
  <c r="M99" i="8"/>
  <c r="P99" i="8"/>
  <c r="M98" i="8"/>
  <c r="M96" i="8"/>
  <c r="M97" i="8"/>
  <c r="M94" i="8"/>
  <c r="M93" i="8"/>
  <c r="M95" i="8"/>
  <c r="M92" i="8"/>
  <c r="M91" i="8"/>
  <c r="M90" i="8"/>
  <c r="M89" i="8"/>
  <c r="M87" i="8"/>
  <c r="M85" i="8"/>
  <c r="M79" i="8"/>
  <c r="M77" i="8"/>
  <c r="P77" i="8"/>
  <c r="M76" i="8"/>
  <c r="N75" i="8"/>
  <c r="H75" i="8"/>
  <c r="M73" i="8"/>
  <c r="P73" i="8"/>
  <c r="M72" i="8"/>
  <c r="P72" i="8"/>
  <c r="M71" i="8"/>
  <c r="P71" i="8"/>
  <c r="M70" i="8"/>
  <c r="P70" i="8"/>
  <c r="M69" i="8"/>
  <c r="P69" i="8"/>
  <c r="M68" i="8"/>
  <c r="P68" i="8"/>
  <c r="M66" i="8"/>
  <c r="P66" i="8"/>
  <c r="M65" i="8"/>
  <c r="P65" i="8"/>
  <c r="M64" i="8"/>
  <c r="P64" i="8"/>
  <c r="M62" i="8"/>
  <c r="M60" i="8"/>
  <c r="H59" i="8"/>
  <c r="M53" i="8"/>
  <c r="P53" i="8"/>
  <c r="M52" i="8"/>
  <c r="P52" i="8"/>
  <c r="M51" i="8"/>
  <c r="P51" i="8"/>
  <c r="M50" i="8"/>
  <c r="P50" i="8"/>
  <c r="M49" i="8"/>
  <c r="P49" i="8"/>
  <c r="M47" i="8"/>
  <c r="P47" i="8"/>
  <c r="M46" i="8"/>
  <c r="P46" i="8"/>
  <c r="M45" i="8"/>
  <c r="P45" i="8"/>
  <c r="M44" i="8"/>
  <c r="L44" i="8"/>
  <c r="J44" i="8"/>
  <c r="L43" i="8"/>
  <c r="J43" i="8"/>
  <c r="L42" i="8"/>
  <c r="J42" i="8"/>
  <c r="L41" i="8"/>
  <c r="J41" i="8"/>
  <c r="L40" i="8"/>
  <c r="J40" i="8"/>
  <c r="L39" i="8"/>
  <c r="J39" i="8"/>
  <c r="L38" i="8"/>
  <c r="J38" i="8"/>
  <c r="L37" i="8"/>
  <c r="J37" i="8"/>
  <c r="L36" i="8"/>
  <c r="J36" i="8"/>
  <c r="L35" i="8"/>
  <c r="J35" i="8"/>
  <c r="L34" i="8"/>
  <c r="J34" i="8"/>
  <c r="L33" i="8"/>
  <c r="J33" i="8"/>
  <c r="L32" i="8"/>
  <c r="J32" i="8"/>
  <c r="L31" i="8"/>
  <c r="J31" i="8"/>
  <c r="L30" i="8"/>
  <c r="J30" i="8"/>
  <c r="L29" i="8"/>
  <c r="J29" i="8"/>
  <c r="M28" i="8"/>
  <c r="L28" i="8"/>
  <c r="J28" i="8"/>
  <c r="L27" i="8"/>
  <c r="J27" i="8"/>
  <c r="L26" i="8"/>
  <c r="J26" i="8"/>
  <c r="M25" i="8"/>
  <c r="L25" i="8"/>
  <c r="J25" i="8"/>
  <c r="L24" i="8"/>
  <c r="J24" i="8"/>
  <c r="L23" i="8"/>
  <c r="J23" i="8"/>
  <c r="L22" i="8"/>
  <c r="J22" i="8"/>
  <c r="L21" i="8"/>
  <c r="J21" i="8"/>
  <c r="L20" i="8"/>
  <c r="J20" i="8"/>
  <c r="L19" i="8"/>
  <c r="J19" i="8"/>
  <c r="L18" i="8"/>
  <c r="J18" i="8"/>
  <c r="L17" i="8"/>
  <c r="J17" i="8"/>
  <c r="L16" i="8"/>
  <c r="J16" i="8"/>
  <c r="L15" i="8"/>
  <c r="J15" i="8"/>
  <c r="L14" i="8"/>
  <c r="J14" i="8"/>
  <c r="L13" i="8"/>
  <c r="J13" i="8"/>
  <c r="L12" i="8"/>
  <c r="J12" i="8"/>
  <c r="L11" i="8"/>
  <c r="J11" i="8"/>
  <c r="L10" i="8"/>
  <c r="J10" i="8"/>
  <c r="L9" i="8"/>
  <c r="J9" i="8"/>
  <c r="O8" i="8"/>
  <c r="L8" i="8"/>
  <c r="J8" i="8"/>
  <c r="M7" i="8"/>
  <c r="L7" i="8"/>
  <c r="J7" i="8"/>
  <c r="L6" i="8"/>
  <c r="N6" i="8"/>
  <c r="P6" i="8"/>
  <c r="L5" i="8"/>
  <c r="J5" i="8"/>
  <c r="L4" i="8"/>
  <c r="I4" i="8"/>
  <c r="M3" i="8"/>
  <c r="L3" i="8"/>
  <c r="J3" i="8"/>
  <c r="M2" i="8"/>
  <c r="L2" i="8"/>
  <c r="J2" i="8"/>
  <c r="F7" i="2"/>
  <c r="G7" i="2"/>
  <c r="E7" i="2"/>
  <c r="E20" i="2"/>
  <c r="M153" i="9"/>
  <c r="P1" i="9" a="1"/>
  <c r="P1" i="9"/>
  <c r="M100" i="8"/>
  <c r="P100" i="8"/>
  <c r="P98" i="8"/>
  <c r="M82" i="8"/>
  <c r="P82" i="8"/>
  <c r="P79" i="8"/>
  <c r="F20" i="2"/>
  <c r="M109" i="9"/>
  <c r="M148" i="9"/>
  <c r="M152" i="9"/>
  <c r="M107" i="9"/>
  <c r="M120" i="9"/>
  <c r="Q1" i="9" a="1"/>
  <c r="Q1" i="9" s="1"/>
  <c r="R1" i="9" s="1"/>
  <c r="M137" i="9"/>
  <c r="M189" i="9"/>
  <c r="N189" i="9"/>
  <c r="M112" i="9"/>
  <c r="M178" i="9"/>
  <c r="M192" i="9"/>
  <c r="M78" i="8"/>
  <c r="P78" i="8"/>
  <c r="M67" i="8"/>
  <c r="P67" i="8"/>
  <c r="R1" i="11"/>
  <c r="M172" i="11"/>
  <c r="L173" i="11"/>
  <c r="L153" i="11"/>
  <c r="M153" i="11"/>
  <c r="L171" i="11"/>
  <c r="L174" i="9"/>
  <c r="M171" i="9"/>
  <c r="M193" i="9"/>
  <c r="M172" i="9"/>
  <c r="M74" i="8"/>
  <c r="P74" i="8"/>
  <c r="M48" i="8"/>
  <c r="P48" i="8"/>
  <c r="O527" i="8"/>
  <c r="M4" i="8"/>
  <c r="J4" i="8"/>
  <c r="M58" i="8"/>
  <c r="P58" i="8"/>
  <c r="P4" i="8"/>
  <c r="B20" i="2"/>
  <c r="B7" i="2"/>
  <c r="P525" i="8"/>
  <c r="M5" i="8"/>
  <c r="M101" i="8"/>
  <c r="P5" i="8"/>
  <c r="P108" i="8"/>
  <c r="P109" i="8"/>
  <c r="P101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4" i="8"/>
  <c r="P125" i="8"/>
  <c r="P126" i="8"/>
  <c r="P127" i="8"/>
  <c r="P128" i="8"/>
  <c r="P129" i="8"/>
  <c r="P130" i="8"/>
  <c r="P131" i="8"/>
  <c r="P132" i="8"/>
  <c r="P133" i="8"/>
  <c r="P134" i="8"/>
  <c r="P135" i="8"/>
  <c r="P136" i="8"/>
  <c r="P137" i="8"/>
  <c r="P138" i="8"/>
  <c r="P139" i="8"/>
  <c r="P140" i="8"/>
  <c r="P141" i="8"/>
  <c r="P142" i="8"/>
  <c r="P143" i="8"/>
  <c r="P144" i="8"/>
  <c r="P145" i="8"/>
  <c r="P146" i="8"/>
  <c r="P147" i="8"/>
  <c r="P148" i="8"/>
  <c r="P149" i="8"/>
  <c r="P150" i="8"/>
  <c r="P151" i="8"/>
  <c r="P152" i="8"/>
  <c r="P153" i="8"/>
  <c r="P154" i="8"/>
  <c r="P155" i="8"/>
  <c r="P156" i="8"/>
  <c r="P157" i="8"/>
  <c r="P158" i="8"/>
  <c r="P159" i="8"/>
  <c r="P160" i="8"/>
  <c r="P161" i="8"/>
  <c r="P162" i="8"/>
  <c r="P163" i="8"/>
  <c r="P164" i="8"/>
  <c r="P165" i="8"/>
  <c r="P166" i="8"/>
  <c r="P167" i="8"/>
  <c r="P168" i="8"/>
  <c r="P169" i="8"/>
  <c r="P170" i="8"/>
  <c r="P171" i="8"/>
  <c r="P172" i="8"/>
  <c r="P173" i="8"/>
  <c r="P174" i="8"/>
  <c r="P175" i="8"/>
  <c r="P176" i="8"/>
  <c r="P177" i="8"/>
  <c r="P178" i="8"/>
  <c r="P179" i="8"/>
  <c r="P180" i="8"/>
  <c r="P181" i="8"/>
  <c r="P182" i="8"/>
  <c r="P183" i="8"/>
  <c r="P184" i="8"/>
  <c r="P185" i="8"/>
  <c r="P186" i="8"/>
  <c r="P187" i="8"/>
  <c r="P188" i="8"/>
  <c r="P189" i="8"/>
  <c r="P190" i="8"/>
  <c r="P191" i="8"/>
  <c r="P192" i="8"/>
  <c r="P193" i="8"/>
  <c r="P194" i="8"/>
  <c r="P195" i="8"/>
  <c r="P196" i="8"/>
  <c r="P197" i="8"/>
  <c r="P198" i="8"/>
  <c r="P199" i="8"/>
  <c r="P200" i="8"/>
  <c r="P201" i="8"/>
  <c r="P202" i="8"/>
  <c r="P203" i="8"/>
  <c r="P204" i="8"/>
  <c r="P205" i="8"/>
  <c r="P206" i="8"/>
  <c r="P207" i="8"/>
  <c r="P208" i="8"/>
  <c r="P209" i="8"/>
  <c r="P210" i="8"/>
  <c r="P211" i="8"/>
  <c r="P212" i="8"/>
  <c r="P213" i="8"/>
  <c r="P214" i="8"/>
  <c r="P215" i="8"/>
  <c r="P216" i="8"/>
  <c r="P217" i="8"/>
  <c r="P218" i="8"/>
  <c r="P219" i="8"/>
  <c r="P220" i="8"/>
  <c r="P221" i="8"/>
  <c r="P222" i="8"/>
  <c r="P223" i="8"/>
  <c r="P224" i="8"/>
  <c r="P225" i="8"/>
  <c r="P226" i="8"/>
  <c r="P227" i="8"/>
  <c r="P228" i="8"/>
  <c r="P229" i="8"/>
  <c r="P230" i="8"/>
  <c r="P231" i="8"/>
  <c r="P232" i="8"/>
  <c r="P233" i="8"/>
  <c r="P234" i="8"/>
  <c r="P235" i="8"/>
  <c r="P236" i="8"/>
  <c r="P237" i="8"/>
  <c r="P238" i="8"/>
  <c r="P239" i="8"/>
  <c r="P240" i="8"/>
  <c r="P241" i="8"/>
  <c r="P242" i="8"/>
  <c r="P243" i="8"/>
  <c r="P244" i="8"/>
  <c r="P245" i="8"/>
  <c r="P246" i="8"/>
  <c r="P247" i="8"/>
  <c r="P248" i="8"/>
  <c r="P249" i="8"/>
  <c r="P250" i="8"/>
  <c r="P251" i="8"/>
  <c r="P252" i="8"/>
  <c r="P253" i="8"/>
  <c r="P254" i="8"/>
  <c r="P255" i="8"/>
  <c r="P256" i="8"/>
  <c r="P257" i="8"/>
  <c r="P258" i="8"/>
  <c r="P259" i="8"/>
  <c r="P260" i="8"/>
  <c r="P261" i="8"/>
  <c r="P262" i="8"/>
  <c r="P263" i="8"/>
  <c r="P264" i="8"/>
  <c r="P265" i="8"/>
  <c r="P266" i="8"/>
  <c r="P267" i="8"/>
  <c r="P268" i="8"/>
  <c r="P269" i="8"/>
  <c r="P270" i="8"/>
  <c r="P271" i="8"/>
  <c r="P272" i="8"/>
  <c r="P273" i="8"/>
  <c r="P274" i="8"/>
  <c r="P275" i="8"/>
  <c r="P276" i="8"/>
  <c r="P277" i="8"/>
  <c r="P278" i="8"/>
  <c r="P279" i="8"/>
  <c r="P280" i="8"/>
  <c r="P281" i="8"/>
  <c r="P282" i="8"/>
  <c r="P283" i="8"/>
  <c r="P284" i="8"/>
  <c r="P285" i="8"/>
  <c r="P286" i="8"/>
  <c r="P287" i="8"/>
  <c r="P288" i="8"/>
  <c r="P289" i="8"/>
  <c r="P290" i="8"/>
  <c r="P291" i="8"/>
  <c r="P292" i="8"/>
  <c r="P293" i="8"/>
  <c r="P294" i="8"/>
  <c r="P295" i="8"/>
  <c r="P296" i="8"/>
  <c r="P297" i="8"/>
  <c r="P298" i="8"/>
  <c r="P299" i="8"/>
  <c r="P300" i="8"/>
  <c r="P301" i="8"/>
  <c r="P302" i="8"/>
  <c r="P303" i="8"/>
  <c r="P304" i="8"/>
  <c r="P305" i="8"/>
  <c r="P306" i="8"/>
  <c r="P307" i="8"/>
  <c r="P308" i="8"/>
  <c r="P309" i="8"/>
  <c r="P310" i="8"/>
  <c r="P311" i="8"/>
  <c r="P312" i="8"/>
  <c r="P313" i="8"/>
  <c r="P314" i="8"/>
  <c r="P315" i="8"/>
  <c r="P316" i="8"/>
  <c r="P317" i="8"/>
  <c r="P318" i="8"/>
  <c r="P319" i="8"/>
  <c r="P320" i="8"/>
  <c r="P321" i="8"/>
  <c r="P322" i="8"/>
  <c r="P323" i="8"/>
  <c r="P324" i="8"/>
  <c r="P325" i="8"/>
  <c r="P326" i="8"/>
  <c r="P327" i="8"/>
  <c r="P328" i="8"/>
  <c r="P329" i="8"/>
  <c r="P330" i="8"/>
  <c r="P331" i="8"/>
  <c r="P332" i="8"/>
  <c r="P333" i="8"/>
  <c r="P334" i="8"/>
  <c r="P335" i="8"/>
  <c r="P336" i="8"/>
  <c r="P337" i="8"/>
  <c r="P338" i="8"/>
  <c r="P339" i="8"/>
  <c r="P340" i="8"/>
  <c r="P341" i="8"/>
  <c r="P342" i="8"/>
  <c r="P343" i="8"/>
  <c r="P344" i="8"/>
  <c r="P345" i="8"/>
  <c r="P346" i="8"/>
  <c r="P347" i="8"/>
  <c r="P348" i="8"/>
  <c r="P349" i="8"/>
  <c r="P350" i="8"/>
  <c r="P351" i="8"/>
  <c r="P352" i="8"/>
  <c r="P353" i="8"/>
  <c r="P354" i="8"/>
  <c r="P355" i="8"/>
  <c r="P356" i="8"/>
  <c r="P357" i="8"/>
  <c r="P358" i="8"/>
  <c r="P359" i="8"/>
  <c r="P360" i="8"/>
  <c r="P361" i="8"/>
  <c r="P362" i="8"/>
  <c r="P363" i="8"/>
  <c r="P364" i="8"/>
  <c r="P365" i="8"/>
  <c r="P366" i="8"/>
  <c r="P367" i="8"/>
  <c r="P368" i="8"/>
  <c r="P369" i="8"/>
  <c r="P370" i="8"/>
  <c r="P371" i="8"/>
  <c r="P372" i="8"/>
  <c r="P373" i="8"/>
  <c r="P374" i="8"/>
  <c r="P375" i="8"/>
  <c r="P376" i="8"/>
  <c r="P377" i="8"/>
  <c r="P378" i="8"/>
  <c r="P379" i="8"/>
  <c r="P380" i="8"/>
  <c r="P381" i="8"/>
  <c r="P382" i="8"/>
  <c r="P383" i="8"/>
  <c r="P384" i="8"/>
  <c r="P385" i="8"/>
  <c r="P386" i="8"/>
  <c r="P387" i="8"/>
  <c r="P388" i="8"/>
  <c r="P389" i="8"/>
  <c r="P390" i="8"/>
  <c r="P391" i="8"/>
  <c r="P392" i="8"/>
  <c r="P393" i="8"/>
  <c r="P394" i="8"/>
  <c r="P395" i="8"/>
  <c r="P396" i="8"/>
  <c r="P397" i="8"/>
  <c r="P398" i="8"/>
  <c r="P399" i="8"/>
  <c r="P400" i="8"/>
  <c r="P401" i="8"/>
  <c r="P402" i="8"/>
  <c r="P403" i="8"/>
  <c r="P404" i="8"/>
  <c r="P405" i="8"/>
  <c r="P406" i="8"/>
  <c r="P407" i="8"/>
  <c r="P408" i="8"/>
  <c r="P409" i="8"/>
  <c r="P410" i="8"/>
  <c r="P411" i="8"/>
  <c r="P412" i="8"/>
  <c r="P413" i="8"/>
  <c r="P414" i="8"/>
  <c r="P415" i="8"/>
  <c r="P416" i="8"/>
  <c r="P417" i="8"/>
  <c r="P418" i="8"/>
  <c r="P419" i="8"/>
  <c r="P420" i="8"/>
  <c r="P421" i="8"/>
  <c r="P422" i="8"/>
  <c r="P423" i="8"/>
  <c r="P424" i="8"/>
  <c r="P425" i="8"/>
  <c r="P426" i="8"/>
  <c r="P427" i="8"/>
  <c r="P428" i="8"/>
  <c r="P429" i="8"/>
  <c r="P430" i="8"/>
  <c r="P431" i="8"/>
  <c r="P432" i="8"/>
  <c r="P433" i="8"/>
  <c r="P434" i="8"/>
  <c r="P435" i="8"/>
  <c r="P436" i="8"/>
  <c r="P437" i="8"/>
  <c r="P438" i="8"/>
  <c r="P439" i="8"/>
  <c r="P440" i="8"/>
  <c r="P441" i="8"/>
  <c r="P442" i="8"/>
  <c r="P443" i="8"/>
  <c r="P444" i="8"/>
  <c r="P445" i="8"/>
  <c r="P446" i="8"/>
  <c r="P447" i="8"/>
  <c r="P448" i="8"/>
  <c r="P449" i="8"/>
  <c r="P450" i="8"/>
  <c r="P451" i="8"/>
  <c r="P452" i="8"/>
  <c r="P453" i="8"/>
  <c r="P454" i="8"/>
  <c r="P455" i="8"/>
  <c r="P456" i="8"/>
  <c r="P457" i="8"/>
  <c r="P458" i="8"/>
  <c r="P459" i="8"/>
  <c r="P460" i="8"/>
  <c r="P461" i="8"/>
  <c r="P462" i="8"/>
  <c r="P463" i="8"/>
  <c r="P464" i="8"/>
  <c r="P465" i="8"/>
  <c r="P466" i="8"/>
  <c r="P467" i="8"/>
  <c r="P468" i="8"/>
  <c r="P469" i="8"/>
  <c r="P470" i="8"/>
  <c r="P471" i="8"/>
  <c r="P472" i="8"/>
  <c r="P473" i="8"/>
  <c r="P474" i="8"/>
  <c r="P475" i="8"/>
  <c r="P476" i="8"/>
  <c r="P477" i="8"/>
  <c r="P478" i="8"/>
  <c r="P479" i="8"/>
  <c r="P480" i="8"/>
  <c r="P481" i="8"/>
  <c r="P482" i="8"/>
  <c r="P483" i="8"/>
  <c r="P484" i="8"/>
  <c r="P485" i="8"/>
  <c r="P486" i="8"/>
  <c r="P487" i="8"/>
  <c r="P488" i="8"/>
  <c r="P489" i="8"/>
  <c r="P490" i="8"/>
  <c r="P491" i="8"/>
  <c r="P492" i="8"/>
  <c r="P493" i="8"/>
  <c r="P494" i="8"/>
  <c r="P495" i="8"/>
  <c r="P496" i="8"/>
  <c r="P497" i="8"/>
  <c r="P498" i="8"/>
  <c r="P499" i="8"/>
  <c r="P500" i="8"/>
  <c r="P501" i="8"/>
  <c r="P502" i="8"/>
  <c r="P503" i="8"/>
  <c r="P504" i="8"/>
  <c r="P505" i="8"/>
  <c r="P506" i="8"/>
  <c r="P507" i="8"/>
  <c r="P508" i="8"/>
  <c r="P509" i="8"/>
  <c r="P510" i="8"/>
  <c r="P511" i="8"/>
  <c r="P512" i="8"/>
  <c r="P513" i="8"/>
  <c r="P514" i="8"/>
  <c r="P515" i="8"/>
  <c r="P516" i="8"/>
  <c r="P517" i="8"/>
  <c r="P518" i="8"/>
  <c r="P519" i="8"/>
  <c r="P520" i="8"/>
  <c r="P521" i="8"/>
  <c r="P522" i="8"/>
  <c r="P523" i="8"/>
  <c r="P524" i="8"/>
  <c r="F627" i="7"/>
  <c r="F626" i="7"/>
  <c r="F625" i="7"/>
  <c r="G625" i="7"/>
  <c r="F624" i="7"/>
  <c r="G624" i="7"/>
  <c r="F623" i="7"/>
  <c r="G623" i="7"/>
  <c r="F622" i="7"/>
  <c r="G622" i="7"/>
  <c r="F621" i="7"/>
  <c r="G621" i="7"/>
  <c r="F620" i="7"/>
  <c r="G620" i="7"/>
  <c r="F619" i="7"/>
  <c r="G619" i="7"/>
  <c r="F618" i="7"/>
  <c r="G618" i="7"/>
  <c r="F617" i="7"/>
  <c r="G617" i="7"/>
  <c r="F616" i="7"/>
  <c r="G616" i="7"/>
  <c r="F615" i="7"/>
  <c r="G615" i="7"/>
  <c r="F614" i="7"/>
  <c r="G614" i="7"/>
  <c r="F613" i="7"/>
  <c r="G613" i="7"/>
  <c r="F612" i="7"/>
  <c r="G612" i="7"/>
  <c r="F611" i="7"/>
  <c r="G611" i="7"/>
  <c r="F610" i="7"/>
  <c r="G610" i="7"/>
  <c r="F609" i="7"/>
  <c r="G609" i="7"/>
  <c r="F608" i="7"/>
  <c r="G608" i="7"/>
  <c r="F607" i="7"/>
  <c r="G607" i="7"/>
  <c r="F606" i="7"/>
  <c r="G606" i="7"/>
  <c r="F605" i="7"/>
  <c r="G605" i="7"/>
  <c r="F604" i="7"/>
  <c r="G604" i="7"/>
  <c r="F603" i="7"/>
  <c r="G603" i="7"/>
  <c r="F602" i="7"/>
  <c r="G602" i="7"/>
  <c r="F601" i="7"/>
  <c r="G601" i="7"/>
  <c r="F600" i="7"/>
  <c r="G600" i="7"/>
  <c r="F599" i="7"/>
  <c r="G599" i="7"/>
  <c r="F598" i="7"/>
  <c r="G598" i="7"/>
  <c r="F597" i="7"/>
  <c r="G597" i="7"/>
  <c r="F596" i="7"/>
  <c r="G596" i="7"/>
  <c r="F595" i="7"/>
  <c r="G595" i="7"/>
  <c r="F594" i="7"/>
  <c r="G594" i="7"/>
  <c r="F593" i="7"/>
  <c r="G593" i="7"/>
  <c r="F592" i="7"/>
  <c r="G592" i="7"/>
  <c r="F591" i="7"/>
  <c r="G591" i="7"/>
  <c r="F590" i="7"/>
  <c r="G590" i="7"/>
  <c r="F589" i="7"/>
  <c r="G589" i="7"/>
  <c r="F588" i="7"/>
  <c r="G588" i="7"/>
  <c r="F587" i="7"/>
  <c r="G587" i="7"/>
  <c r="F586" i="7"/>
  <c r="G586" i="7"/>
  <c r="F585" i="7"/>
  <c r="G585" i="7"/>
  <c r="E583" i="7"/>
  <c r="F582" i="7"/>
  <c r="E581" i="7"/>
  <c r="F580" i="7"/>
  <c r="G580" i="7"/>
  <c r="F579" i="7"/>
  <c r="G579" i="7"/>
  <c r="F578" i="7"/>
  <c r="G578" i="7"/>
  <c r="F577" i="7"/>
  <c r="G577" i="7"/>
  <c r="F576" i="7"/>
  <c r="G576" i="7"/>
  <c r="F575" i="7"/>
  <c r="G575" i="7"/>
  <c r="F574" i="7"/>
  <c r="G574" i="7"/>
  <c r="F573" i="7"/>
  <c r="G573" i="7"/>
  <c r="F572" i="7"/>
  <c r="G572" i="7"/>
  <c r="F571" i="7"/>
  <c r="G571" i="7"/>
  <c r="F570" i="7"/>
  <c r="G570" i="7"/>
  <c r="F569" i="7"/>
  <c r="G569" i="7"/>
  <c r="F568" i="7"/>
  <c r="G568" i="7"/>
  <c r="F567" i="7"/>
  <c r="G567" i="7"/>
  <c r="F566" i="7"/>
  <c r="G566" i="7"/>
  <c r="F565" i="7"/>
  <c r="G565" i="7"/>
  <c r="E564" i="7"/>
  <c r="F563" i="7"/>
  <c r="G563" i="7"/>
  <c r="F562" i="7"/>
  <c r="G562" i="7"/>
  <c r="F561" i="7"/>
  <c r="G561" i="7"/>
  <c r="F560" i="7"/>
  <c r="G560" i="7"/>
  <c r="F559" i="7"/>
  <c r="G559" i="7"/>
  <c r="F558" i="7"/>
  <c r="G558" i="7"/>
  <c r="F557" i="7"/>
  <c r="G557" i="7"/>
  <c r="F556" i="7"/>
  <c r="G556" i="7"/>
  <c r="F555" i="7"/>
  <c r="G555" i="7"/>
  <c r="F554" i="7"/>
  <c r="G554" i="7"/>
  <c r="F553" i="7"/>
  <c r="G553" i="7"/>
  <c r="F552" i="7"/>
  <c r="G552" i="7"/>
  <c r="F551" i="7"/>
  <c r="G551" i="7"/>
  <c r="F550" i="7"/>
  <c r="G550" i="7"/>
  <c r="F549" i="7"/>
  <c r="G549" i="7"/>
  <c r="F548" i="7"/>
  <c r="G548" i="7"/>
  <c r="F547" i="7"/>
  <c r="G547" i="7"/>
  <c r="F546" i="7"/>
  <c r="G546" i="7"/>
  <c r="F545" i="7"/>
  <c r="G545" i="7"/>
  <c r="F544" i="7"/>
  <c r="G544" i="7"/>
  <c r="E543" i="7"/>
  <c r="F542" i="7"/>
  <c r="G542" i="7"/>
  <c r="F541" i="7"/>
  <c r="G541" i="7"/>
  <c r="F540" i="7"/>
  <c r="G540" i="7"/>
  <c r="F539" i="7"/>
  <c r="G539" i="7"/>
  <c r="F538" i="7"/>
  <c r="G538" i="7"/>
  <c r="F537" i="7"/>
  <c r="G537" i="7"/>
  <c r="F536" i="7"/>
  <c r="G536" i="7"/>
  <c r="F535" i="7"/>
  <c r="G535" i="7"/>
  <c r="F534" i="7"/>
  <c r="G534" i="7"/>
  <c r="F533" i="7"/>
  <c r="G533" i="7"/>
  <c r="F532" i="7"/>
  <c r="G532" i="7"/>
  <c r="F531" i="7"/>
  <c r="F530" i="7"/>
  <c r="G530" i="7"/>
  <c r="F529" i="7"/>
  <c r="G529" i="7"/>
  <c r="F528" i="7"/>
  <c r="G528" i="7"/>
  <c r="F527" i="7"/>
  <c r="G527" i="7"/>
  <c r="F526" i="7"/>
  <c r="G526" i="7"/>
  <c r="F525" i="7"/>
  <c r="G525" i="7"/>
  <c r="F524" i="7"/>
  <c r="G524" i="7"/>
  <c r="E523" i="7"/>
  <c r="F522" i="7"/>
  <c r="G522" i="7"/>
  <c r="E521" i="7"/>
  <c r="F520" i="7"/>
  <c r="G520" i="7"/>
  <c r="E519" i="7"/>
  <c r="F518" i="7"/>
  <c r="G518" i="7"/>
  <c r="F517" i="7"/>
  <c r="G517" i="7"/>
  <c r="F516" i="7"/>
  <c r="G516" i="7"/>
  <c r="F515" i="7"/>
  <c r="G515" i="7"/>
  <c r="F514" i="7"/>
  <c r="G514" i="7"/>
  <c r="F513" i="7"/>
  <c r="G513" i="7"/>
  <c r="F512" i="7"/>
  <c r="G512" i="7"/>
  <c r="F511" i="7"/>
  <c r="G511" i="7"/>
  <c r="F510" i="7"/>
  <c r="G510" i="7"/>
  <c r="F509" i="7"/>
  <c r="G509" i="7"/>
  <c r="F508" i="7"/>
  <c r="G508" i="7"/>
  <c r="F507" i="7"/>
  <c r="G507" i="7"/>
  <c r="F506" i="7"/>
  <c r="G506" i="7"/>
  <c r="F505" i="7"/>
  <c r="E504" i="7"/>
  <c r="F503" i="7"/>
  <c r="G503" i="7"/>
  <c r="F502" i="7"/>
  <c r="G502" i="7"/>
  <c r="F501" i="7"/>
  <c r="G501" i="7"/>
  <c r="F500" i="7"/>
  <c r="G500" i="7"/>
  <c r="F499" i="7"/>
  <c r="G499" i="7"/>
  <c r="F498" i="7"/>
  <c r="G498" i="7"/>
  <c r="F497" i="7"/>
  <c r="G497" i="7"/>
  <c r="F496" i="7"/>
  <c r="G496" i="7"/>
  <c r="F495" i="7"/>
  <c r="G495" i="7"/>
  <c r="F494" i="7"/>
  <c r="G494" i="7"/>
  <c r="F493" i="7"/>
  <c r="G493" i="7"/>
  <c r="F492" i="7"/>
  <c r="G492" i="7"/>
  <c r="E491" i="7"/>
  <c r="F490" i="7"/>
  <c r="G490" i="7"/>
  <c r="E489" i="7"/>
  <c r="F488" i="7"/>
  <c r="G488" i="7"/>
  <c r="F487" i="7"/>
  <c r="G487" i="7"/>
  <c r="F486" i="7"/>
  <c r="G486" i="7"/>
  <c r="F485" i="7"/>
  <c r="G485" i="7"/>
  <c r="F484" i="7"/>
  <c r="G484" i="7"/>
  <c r="F483" i="7"/>
  <c r="G483" i="7"/>
  <c r="F482" i="7"/>
  <c r="G482" i="7"/>
  <c r="F481" i="7"/>
  <c r="G481" i="7"/>
  <c r="F480" i="7"/>
  <c r="G480" i="7"/>
  <c r="F479" i="7"/>
  <c r="G479" i="7"/>
  <c r="F478" i="7"/>
  <c r="G478" i="7"/>
  <c r="F477" i="7"/>
  <c r="G477" i="7"/>
  <c r="F476" i="7"/>
  <c r="G476" i="7"/>
  <c r="F475" i="7"/>
  <c r="G475" i="7"/>
  <c r="F474" i="7"/>
  <c r="G474" i="7"/>
  <c r="F473" i="7"/>
  <c r="G473" i="7"/>
  <c r="F472" i="7"/>
  <c r="G472" i="7"/>
  <c r="E471" i="7"/>
  <c r="F470" i="7"/>
  <c r="G470" i="7"/>
  <c r="E469" i="7"/>
  <c r="F468" i="7"/>
  <c r="E467" i="7"/>
  <c r="F466" i="7"/>
  <c r="G466" i="7"/>
  <c r="E465" i="7"/>
  <c r="F464" i="7"/>
  <c r="G464" i="7"/>
  <c r="F463" i="7"/>
  <c r="G463" i="7"/>
  <c r="F462" i="7"/>
  <c r="G462" i="7"/>
  <c r="F461" i="7"/>
  <c r="G461" i="7"/>
  <c r="F460" i="7"/>
  <c r="G460" i="7"/>
  <c r="F459" i="7"/>
  <c r="G459" i="7"/>
  <c r="F458" i="7"/>
  <c r="G458" i="7"/>
  <c r="F457" i="7"/>
  <c r="G457" i="7"/>
  <c r="F456" i="7"/>
  <c r="G456" i="7"/>
  <c r="F455" i="7"/>
  <c r="G455" i="7"/>
  <c r="F454" i="7"/>
  <c r="G454" i="7"/>
  <c r="F453" i="7"/>
  <c r="G453" i="7"/>
  <c r="F452" i="7"/>
  <c r="G452" i="7"/>
  <c r="F451" i="7"/>
  <c r="G451" i="7"/>
  <c r="F450" i="7"/>
  <c r="G450" i="7"/>
  <c r="F449" i="7"/>
  <c r="G449" i="7"/>
  <c r="F448" i="7"/>
  <c r="G448" i="7"/>
  <c r="F447" i="7"/>
  <c r="G447" i="7"/>
  <c r="F446" i="7"/>
  <c r="G446" i="7"/>
  <c r="E445" i="7"/>
  <c r="F444" i="7"/>
  <c r="E443" i="7"/>
  <c r="F442" i="7"/>
  <c r="G442" i="7"/>
  <c r="F441" i="7"/>
  <c r="G441" i="7"/>
  <c r="F440" i="7"/>
  <c r="G440" i="7"/>
  <c r="F439" i="7"/>
  <c r="G439" i="7"/>
  <c r="F438" i="7"/>
  <c r="G438" i="7"/>
  <c r="F437" i="7"/>
  <c r="G437" i="7"/>
  <c r="F436" i="7"/>
  <c r="G436" i="7"/>
  <c r="F435" i="7"/>
  <c r="G435" i="7"/>
  <c r="F434" i="7"/>
  <c r="G434" i="7"/>
  <c r="F433" i="7"/>
  <c r="G433" i="7"/>
  <c r="F432" i="7"/>
  <c r="E431" i="7"/>
  <c r="F430" i="7"/>
  <c r="F429" i="7"/>
  <c r="G429" i="7"/>
  <c r="E414" i="7"/>
  <c r="F413" i="7"/>
  <c r="G413" i="7"/>
  <c r="F412" i="7"/>
  <c r="G412" i="7"/>
  <c r="F411" i="7"/>
  <c r="G411" i="7"/>
  <c r="F410" i="7"/>
  <c r="G410" i="7"/>
  <c r="F409" i="7"/>
  <c r="G409" i="7"/>
  <c r="F408" i="7"/>
  <c r="G408" i="7"/>
  <c r="F407" i="7"/>
  <c r="G407" i="7"/>
  <c r="F406" i="7"/>
  <c r="G406" i="7"/>
  <c r="F405" i="7"/>
  <c r="G405" i="7"/>
  <c r="F404" i="7"/>
  <c r="G404" i="7"/>
  <c r="F403" i="7"/>
  <c r="G403" i="7"/>
  <c r="F402" i="7"/>
  <c r="G402" i="7"/>
  <c r="E401" i="7"/>
  <c r="F400" i="7"/>
  <c r="F399" i="7"/>
  <c r="E398" i="7"/>
  <c r="F397" i="7"/>
  <c r="G397" i="7"/>
  <c r="F396" i="7"/>
  <c r="G396" i="7"/>
  <c r="F395" i="7"/>
  <c r="G395" i="7"/>
  <c r="F394" i="7"/>
  <c r="G394" i="7"/>
  <c r="F393" i="7"/>
  <c r="G393" i="7"/>
  <c r="F392" i="7"/>
  <c r="G392" i="7"/>
  <c r="F391" i="7"/>
  <c r="G391" i="7"/>
  <c r="F390" i="7"/>
  <c r="G390" i="7"/>
  <c r="F389" i="7"/>
  <c r="G389" i="7"/>
  <c r="F388" i="7"/>
  <c r="G388" i="7"/>
  <c r="F387" i="7"/>
  <c r="G387" i="7"/>
  <c r="F386" i="7"/>
  <c r="G386" i="7"/>
  <c r="F385" i="7"/>
  <c r="G385" i="7"/>
  <c r="F384" i="7"/>
  <c r="G384" i="7"/>
  <c r="F383" i="7"/>
  <c r="G383" i="7"/>
  <c r="F382" i="7"/>
  <c r="G382" i="7"/>
  <c r="F381" i="7"/>
  <c r="G381" i="7"/>
  <c r="F380" i="7"/>
  <c r="G380" i="7"/>
  <c r="F379" i="7"/>
  <c r="G379" i="7"/>
  <c r="F378" i="7"/>
  <c r="G378" i="7"/>
  <c r="F377" i="7"/>
  <c r="G377" i="7"/>
  <c r="F376" i="7"/>
  <c r="G376" i="7"/>
  <c r="F375" i="7"/>
  <c r="G375" i="7"/>
  <c r="E374" i="7"/>
  <c r="F373" i="7"/>
  <c r="G373" i="7"/>
  <c r="F372" i="7"/>
  <c r="G372" i="7"/>
  <c r="F371" i="7"/>
  <c r="G371" i="7"/>
  <c r="F370" i="7"/>
  <c r="G370" i="7"/>
  <c r="F369" i="7"/>
  <c r="G369" i="7"/>
  <c r="F368" i="7"/>
  <c r="G368" i="7"/>
  <c r="F367" i="7"/>
  <c r="G367" i="7"/>
  <c r="F366" i="7"/>
  <c r="G366" i="7"/>
  <c r="F365" i="7"/>
  <c r="G365" i="7"/>
  <c r="F364" i="7"/>
  <c r="G364" i="7"/>
  <c r="F363" i="7"/>
  <c r="G363" i="7"/>
  <c r="F362" i="7"/>
  <c r="G362" i="7"/>
  <c r="F361" i="7"/>
  <c r="G361" i="7"/>
  <c r="F360" i="7"/>
  <c r="G360" i="7"/>
  <c r="F359" i="7"/>
  <c r="G359" i="7"/>
  <c r="F358" i="7"/>
  <c r="G358" i="7"/>
  <c r="F357" i="7"/>
  <c r="G357" i="7"/>
  <c r="F356" i="7"/>
  <c r="G356" i="7"/>
  <c r="F355" i="7"/>
  <c r="G355" i="7"/>
  <c r="F354" i="7"/>
  <c r="G354" i="7"/>
  <c r="F353" i="7"/>
  <c r="E352" i="7"/>
  <c r="F351" i="7"/>
  <c r="G351" i="7"/>
  <c r="E350" i="7"/>
  <c r="F349" i="7"/>
  <c r="G349" i="7"/>
  <c r="F348" i="7"/>
  <c r="G348" i="7"/>
  <c r="F347" i="7"/>
  <c r="G347" i="7"/>
  <c r="F346" i="7"/>
  <c r="G346" i="7"/>
  <c r="F345" i="7"/>
  <c r="G345" i="7"/>
  <c r="F344" i="7"/>
  <c r="G344" i="7"/>
  <c r="F343" i="7"/>
  <c r="G343" i="7"/>
  <c r="F342" i="7"/>
  <c r="G342" i="7"/>
  <c r="F341" i="7"/>
  <c r="G341" i="7"/>
  <c r="F340" i="7"/>
  <c r="G340" i="7"/>
  <c r="F339" i="7"/>
  <c r="G339" i="7"/>
  <c r="F338" i="7"/>
  <c r="G338" i="7"/>
  <c r="F337" i="7"/>
  <c r="G337" i="7"/>
  <c r="F336" i="7"/>
  <c r="G336" i="7"/>
  <c r="F335" i="7"/>
  <c r="G335" i="7"/>
  <c r="F334" i="7"/>
  <c r="G334" i="7"/>
  <c r="F333" i="7"/>
  <c r="G333" i="7"/>
  <c r="F332" i="7"/>
  <c r="G332" i="7"/>
  <c r="F331" i="7"/>
  <c r="G331" i="7"/>
  <c r="F330" i="7"/>
  <c r="G330" i="7"/>
  <c r="F329" i="7"/>
  <c r="G329" i="7"/>
  <c r="F328" i="7"/>
  <c r="G328" i="7"/>
  <c r="F327" i="7"/>
  <c r="G327" i="7"/>
  <c r="E326" i="7"/>
  <c r="F325" i="7"/>
  <c r="G325" i="7"/>
  <c r="F324" i="7"/>
  <c r="G324" i="7"/>
  <c r="F323" i="7"/>
  <c r="G323" i="7"/>
  <c r="F322" i="7"/>
  <c r="G322" i="7"/>
  <c r="F321" i="7"/>
  <c r="G321" i="7"/>
  <c r="F320" i="7"/>
  <c r="G320" i="7"/>
  <c r="F319" i="7"/>
  <c r="G319" i="7"/>
  <c r="F318" i="7"/>
  <c r="G318" i="7"/>
  <c r="F317" i="7"/>
  <c r="G317" i="7"/>
  <c r="F316" i="7"/>
  <c r="G316" i="7"/>
  <c r="F315" i="7"/>
  <c r="G315" i="7"/>
  <c r="E314" i="7"/>
  <c r="F313" i="7"/>
  <c r="G313" i="7"/>
  <c r="F312" i="7"/>
  <c r="G312" i="7"/>
  <c r="F311" i="7"/>
  <c r="G311" i="7"/>
  <c r="F310" i="7"/>
  <c r="G310" i="7"/>
  <c r="F309" i="7"/>
  <c r="G309" i="7"/>
  <c r="F308" i="7"/>
  <c r="G308" i="7"/>
  <c r="F307" i="7"/>
  <c r="G307" i="7"/>
  <c r="F306" i="7"/>
  <c r="G306" i="7"/>
  <c r="F305" i="7"/>
  <c r="G305" i="7"/>
  <c r="F304" i="7"/>
  <c r="E303" i="7"/>
  <c r="F302" i="7"/>
  <c r="G302" i="7"/>
  <c r="F301" i="7"/>
  <c r="G301" i="7"/>
  <c r="F300" i="7"/>
  <c r="G300" i="7"/>
  <c r="F299" i="7"/>
  <c r="G299" i="7"/>
  <c r="F298" i="7"/>
  <c r="G298" i="7"/>
  <c r="F297" i="7"/>
  <c r="G297" i="7"/>
  <c r="F296" i="7"/>
  <c r="G296" i="7"/>
  <c r="F295" i="7"/>
  <c r="G295" i="7"/>
  <c r="F294" i="7"/>
  <c r="G294" i="7"/>
  <c r="F293" i="7"/>
  <c r="G293" i="7"/>
  <c r="F292" i="7"/>
  <c r="G292" i="7"/>
  <c r="F291" i="7"/>
  <c r="G291" i="7"/>
  <c r="F290" i="7"/>
  <c r="G290" i="7"/>
  <c r="F289" i="7"/>
  <c r="G289" i="7"/>
  <c r="F288" i="7"/>
  <c r="G288" i="7"/>
  <c r="F287" i="7"/>
  <c r="G287" i="7"/>
  <c r="F286" i="7"/>
  <c r="G286" i="7"/>
  <c r="F285" i="7"/>
  <c r="G285" i="7"/>
  <c r="F284" i="7"/>
  <c r="G284" i="7"/>
  <c r="F283" i="7"/>
  <c r="G283" i="7"/>
  <c r="F282" i="7"/>
  <c r="G282" i="7"/>
  <c r="F281" i="7"/>
  <c r="G281" i="7"/>
  <c r="F280" i="7"/>
  <c r="G280" i="7"/>
  <c r="F279" i="7"/>
  <c r="G279" i="7"/>
  <c r="F278" i="7"/>
  <c r="G278" i="7"/>
  <c r="F277" i="7"/>
  <c r="G277" i="7"/>
  <c r="F276" i="7"/>
  <c r="G276" i="7"/>
  <c r="F275" i="7"/>
  <c r="G275" i="7"/>
  <c r="F274" i="7"/>
  <c r="G274" i="7"/>
  <c r="F273" i="7"/>
  <c r="G273" i="7"/>
  <c r="F272" i="7"/>
  <c r="G272" i="7"/>
  <c r="F271" i="7"/>
  <c r="G271" i="7"/>
  <c r="F270" i="7"/>
  <c r="G270" i="7"/>
  <c r="F269" i="7"/>
  <c r="G269" i="7"/>
  <c r="F268" i="7"/>
  <c r="G268" i="7"/>
  <c r="F267" i="7"/>
  <c r="G267" i="7"/>
  <c r="F266" i="7"/>
  <c r="G266" i="7"/>
  <c r="F265" i="7"/>
  <c r="G265" i="7"/>
  <c r="F264" i="7"/>
  <c r="G264" i="7"/>
  <c r="F263" i="7"/>
  <c r="G263" i="7"/>
  <c r="F262" i="7"/>
  <c r="G262" i="7"/>
  <c r="F261" i="7"/>
  <c r="G261" i="7"/>
  <c r="F260" i="7"/>
  <c r="G260" i="7"/>
  <c r="F259" i="7"/>
  <c r="G259" i="7"/>
  <c r="F258" i="7"/>
  <c r="G258" i="7"/>
  <c r="F257" i="7"/>
  <c r="G257" i="7"/>
  <c r="F256" i="7"/>
  <c r="G256" i="7"/>
  <c r="F255" i="7"/>
  <c r="G255" i="7"/>
  <c r="F254" i="7"/>
  <c r="G254" i="7"/>
  <c r="F253" i="7"/>
  <c r="G253" i="7"/>
  <c r="F252" i="7"/>
  <c r="G252" i="7"/>
  <c r="F251" i="7"/>
  <c r="G251" i="7"/>
  <c r="F250" i="7"/>
  <c r="G250" i="7"/>
  <c r="F249" i="7"/>
  <c r="G249" i="7"/>
  <c r="F248" i="7"/>
  <c r="G248" i="7"/>
  <c r="F247" i="7"/>
  <c r="G247" i="7"/>
  <c r="F246" i="7"/>
  <c r="G246" i="7"/>
  <c r="F245" i="7"/>
  <c r="G245" i="7"/>
  <c r="F244" i="7"/>
  <c r="G244" i="7"/>
  <c r="F243" i="7"/>
  <c r="G243" i="7"/>
  <c r="F242" i="7"/>
  <c r="G242" i="7"/>
  <c r="F241" i="7"/>
  <c r="G241" i="7"/>
  <c r="F240" i="7"/>
  <c r="G240" i="7"/>
  <c r="F239" i="7"/>
  <c r="G239" i="7"/>
  <c r="F238" i="7"/>
  <c r="E237" i="7"/>
  <c r="F236" i="7"/>
  <c r="G236" i="7"/>
  <c r="F235" i="7"/>
  <c r="G235" i="7"/>
  <c r="F234" i="7"/>
  <c r="G234" i="7"/>
  <c r="F233" i="7"/>
  <c r="G233" i="7"/>
  <c r="F232" i="7"/>
  <c r="G232" i="7"/>
  <c r="F231" i="7"/>
  <c r="G231" i="7"/>
  <c r="F230" i="7"/>
  <c r="G230" i="7"/>
  <c r="F229" i="7"/>
  <c r="G229" i="7"/>
  <c r="F228" i="7"/>
  <c r="G228" i="7"/>
  <c r="F227" i="7"/>
  <c r="G227" i="7"/>
  <c r="F226" i="7"/>
  <c r="G226" i="7"/>
  <c r="F225" i="7"/>
  <c r="G225" i="7"/>
  <c r="F224" i="7"/>
  <c r="G224" i="7"/>
  <c r="F223" i="7"/>
  <c r="G223" i="7"/>
  <c r="F222" i="7"/>
  <c r="G222" i="7"/>
  <c r="F221" i="7"/>
  <c r="G221" i="7"/>
  <c r="F220" i="7"/>
  <c r="G220" i="7"/>
  <c r="F219" i="7"/>
  <c r="G219" i="7"/>
  <c r="F218" i="7"/>
  <c r="G218" i="7"/>
  <c r="F217" i="7"/>
  <c r="G217" i="7"/>
  <c r="F216" i="7"/>
  <c r="G216" i="7"/>
  <c r="F215" i="7"/>
  <c r="G215" i="7"/>
  <c r="F214" i="7"/>
  <c r="G214" i="7"/>
  <c r="F213" i="7"/>
  <c r="G213" i="7"/>
  <c r="F212" i="7"/>
  <c r="G212" i="7"/>
  <c r="F211" i="7"/>
  <c r="G211" i="7"/>
  <c r="F210" i="7"/>
  <c r="G210" i="7"/>
  <c r="F209" i="7"/>
  <c r="G209" i="7"/>
  <c r="F208" i="7"/>
  <c r="G208" i="7"/>
  <c r="F207" i="7"/>
  <c r="G207" i="7"/>
  <c r="F206" i="7"/>
  <c r="G206" i="7"/>
  <c r="F205" i="7"/>
  <c r="G205" i="7"/>
  <c r="F204" i="7"/>
  <c r="G204" i="7"/>
  <c r="F203" i="7"/>
  <c r="G203" i="7"/>
  <c r="F202" i="7"/>
  <c r="G202" i="7"/>
  <c r="F201" i="7"/>
  <c r="G201" i="7"/>
  <c r="F200" i="7"/>
  <c r="G200" i="7"/>
  <c r="F199" i="7"/>
  <c r="G199" i="7"/>
  <c r="F198" i="7"/>
  <c r="G198" i="7"/>
  <c r="F197" i="7"/>
  <c r="G197" i="7"/>
  <c r="F196" i="7"/>
  <c r="G196" i="7"/>
  <c r="F195" i="7"/>
  <c r="G195" i="7"/>
  <c r="F194" i="7"/>
  <c r="G194" i="7"/>
  <c r="F193" i="7"/>
  <c r="G193" i="7"/>
  <c r="F192" i="7"/>
  <c r="G192" i="7"/>
  <c r="F191" i="7"/>
  <c r="G191" i="7"/>
  <c r="F190" i="7"/>
  <c r="G190" i="7"/>
  <c r="F189" i="7"/>
  <c r="G189" i="7"/>
  <c r="F188" i="7"/>
  <c r="G188" i="7"/>
  <c r="F187" i="7"/>
  <c r="G187" i="7"/>
  <c r="F186" i="7"/>
  <c r="G186" i="7"/>
  <c r="F185" i="7"/>
  <c r="G185" i="7"/>
  <c r="F184" i="7"/>
  <c r="G184" i="7"/>
  <c r="F183" i="7"/>
  <c r="G183" i="7"/>
  <c r="F182" i="7"/>
  <c r="G182" i="7"/>
  <c r="F181" i="7"/>
  <c r="G181" i="7"/>
  <c r="F180" i="7"/>
  <c r="G180" i="7"/>
  <c r="F179" i="7"/>
  <c r="G179" i="7"/>
  <c r="F178" i="7"/>
  <c r="G178" i="7"/>
  <c r="F177" i="7"/>
  <c r="G177" i="7"/>
  <c r="F176" i="7"/>
  <c r="F175" i="7"/>
  <c r="G175" i="7"/>
  <c r="E174" i="7"/>
  <c r="F173" i="7"/>
  <c r="G173" i="7"/>
  <c r="F172" i="7"/>
  <c r="G172" i="7"/>
  <c r="F171" i="7"/>
  <c r="G171" i="7"/>
  <c r="F170" i="7"/>
  <c r="G170" i="7"/>
  <c r="F169" i="7"/>
  <c r="G169" i="7"/>
  <c r="F168" i="7"/>
  <c r="G168" i="7"/>
  <c r="F167" i="7"/>
  <c r="G167" i="7"/>
  <c r="F166" i="7"/>
  <c r="G166" i="7"/>
  <c r="F165" i="7"/>
  <c r="G165" i="7"/>
  <c r="F164" i="7"/>
  <c r="G164" i="7"/>
  <c r="F163" i="7"/>
  <c r="G163" i="7"/>
  <c r="F162" i="7"/>
  <c r="G162" i="7"/>
  <c r="F161" i="7"/>
  <c r="G161" i="7"/>
  <c r="F160" i="7"/>
  <c r="G160" i="7"/>
  <c r="F159" i="7"/>
  <c r="G159" i="7"/>
  <c r="F158" i="7"/>
  <c r="G158" i="7"/>
  <c r="F157" i="7"/>
  <c r="G157" i="7"/>
  <c r="F156" i="7"/>
  <c r="G156" i="7"/>
  <c r="F155" i="7"/>
  <c r="G155" i="7"/>
  <c r="F154" i="7"/>
  <c r="G154" i="7"/>
  <c r="F153" i="7"/>
  <c r="G153" i="7"/>
  <c r="F152" i="7"/>
  <c r="G152" i="7"/>
  <c r="F151" i="7"/>
  <c r="G151" i="7"/>
  <c r="F150" i="7"/>
  <c r="G150" i="7"/>
  <c r="F149" i="7"/>
  <c r="G149" i="7"/>
  <c r="F148" i="7"/>
  <c r="G148" i="7"/>
  <c r="F147" i="7"/>
  <c r="G147" i="7"/>
  <c r="F146" i="7"/>
  <c r="G146" i="7"/>
  <c r="F145" i="7"/>
  <c r="G145" i="7"/>
  <c r="F144" i="7"/>
  <c r="G144" i="7"/>
  <c r="F143" i="7"/>
  <c r="G143" i="7"/>
  <c r="F142" i="7"/>
  <c r="G142" i="7"/>
  <c r="F141" i="7"/>
  <c r="G141" i="7"/>
  <c r="F140" i="7"/>
  <c r="G140" i="7"/>
  <c r="F139" i="7"/>
  <c r="G139" i="7"/>
  <c r="F138" i="7"/>
  <c r="G138" i="7"/>
  <c r="F137" i="7"/>
  <c r="G137" i="7"/>
  <c r="F136" i="7"/>
  <c r="G136" i="7"/>
  <c r="F135" i="7"/>
  <c r="G135" i="7"/>
  <c r="F134" i="7"/>
  <c r="G134" i="7"/>
  <c r="F133" i="7"/>
  <c r="G133" i="7"/>
  <c r="F132" i="7"/>
  <c r="G132" i="7"/>
  <c r="F131" i="7"/>
  <c r="G131" i="7"/>
  <c r="F130" i="7"/>
  <c r="E129" i="7"/>
  <c r="F128" i="7"/>
  <c r="G128" i="7"/>
  <c r="F127" i="7"/>
  <c r="G127" i="7"/>
  <c r="F126" i="7"/>
  <c r="G126" i="7"/>
  <c r="F125" i="7"/>
  <c r="G125" i="7"/>
  <c r="F124" i="7"/>
  <c r="G124" i="7"/>
  <c r="F123" i="7"/>
  <c r="G123" i="7"/>
  <c r="F122" i="7"/>
  <c r="G122" i="7"/>
  <c r="F121" i="7"/>
  <c r="G121" i="7"/>
  <c r="F120" i="7"/>
  <c r="G120" i="7"/>
  <c r="F119" i="7"/>
  <c r="G119" i="7"/>
  <c r="F118" i="7"/>
  <c r="G118" i="7"/>
  <c r="F117" i="7"/>
  <c r="G117" i="7"/>
  <c r="F116" i="7"/>
  <c r="G116" i="7"/>
  <c r="F115" i="7"/>
  <c r="G115" i="7"/>
  <c r="F114" i="7"/>
  <c r="G114" i="7"/>
  <c r="F113" i="7"/>
  <c r="G113" i="7"/>
  <c r="F112" i="7"/>
  <c r="G112" i="7"/>
  <c r="F111" i="7"/>
  <c r="G111" i="7"/>
  <c r="F110" i="7"/>
  <c r="G110" i="7"/>
  <c r="F109" i="7"/>
  <c r="G109" i="7"/>
  <c r="F108" i="7"/>
  <c r="G108" i="7"/>
  <c r="F107" i="7"/>
  <c r="G107" i="7"/>
  <c r="F106" i="7"/>
  <c r="G106" i="7"/>
  <c r="F105" i="7"/>
  <c r="G105" i="7"/>
  <c r="F104" i="7"/>
  <c r="G104" i="7"/>
  <c r="F103" i="7"/>
  <c r="G103" i="7"/>
  <c r="F102" i="7"/>
  <c r="G102" i="7"/>
  <c r="F101" i="7"/>
  <c r="G101" i="7"/>
  <c r="F100" i="7"/>
  <c r="G100" i="7"/>
  <c r="F99" i="7"/>
  <c r="G99" i="7"/>
  <c r="F98" i="7"/>
  <c r="G98" i="7"/>
  <c r="F97" i="7"/>
  <c r="G97" i="7"/>
  <c r="F96" i="7"/>
  <c r="G96" i="7"/>
  <c r="F95" i="7"/>
  <c r="G95" i="7"/>
  <c r="F94" i="7"/>
  <c r="G94" i="7"/>
  <c r="F93" i="7"/>
  <c r="G93" i="7"/>
  <c r="F92" i="7"/>
  <c r="G92" i="7"/>
  <c r="F91" i="7"/>
  <c r="G91" i="7"/>
  <c r="F90" i="7"/>
  <c r="G90" i="7"/>
  <c r="F89" i="7"/>
  <c r="G89" i="7"/>
  <c r="F88" i="7"/>
  <c r="G88" i="7"/>
  <c r="F87" i="7"/>
  <c r="G87" i="7"/>
  <c r="F86" i="7"/>
  <c r="G86" i="7"/>
  <c r="F85" i="7"/>
  <c r="G85" i="7"/>
  <c r="F84" i="7"/>
  <c r="G84" i="7"/>
  <c r="F83" i="7"/>
  <c r="G83" i="7"/>
  <c r="F82" i="7"/>
  <c r="G82" i="7"/>
  <c r="F81" i="7"/>
  <c r="G81" i="7"/>
  <c r="F80" i="7"/>
  <c r="F79" i="7"/>
  <c r="G79" i="7"/>
  <c r="E78" i="7"/>
  <c r="F77" i="7"/>
  <c r="G77" i="7"/>
  <c r="F76" i="7"/>
  <c r="G76" i="7"/>
  <c r="F75" i="7"/>
  <c r="G75" i="7"/>
  <c r="F74" i="7"/>
  <c r="G74" i="7"/>
  <c r="F73" i="7"/>
  <c r="G73" i="7"/>
  <c r="F72" i="7"/>
  <c r="G72" i="7"/>
  <c r="F71" i="7"/>
  <c r="G71" i="7"/>
  <c r="F70" i="7"/>
  <c r="G70" i="7"/>
  <c r="F69" i="7"/>
  <c r="G69" i="7"/>
  <c r="F68" i="7"/>
  <c r="G68" i="7"/>
  <c r="F67" i="7"/>
  <c r="G67" i="7"/>
  <c r="F66" i="7"/>
  <c r="G66" i="7"/>
  <c r="F65" i="7"/>
  <c r="G65" i="7"/>
  <c r="F64" i="7"/>
  <c r="G64" i="7"/>
  <c r="F63" i="7"/>
  <c r="G63" i="7"/>
  <c r="F62" i="7"/>
  <c r="G62" i="7"/>
  <c r="F61" i="7"/>
  <c r="G61" i="7"/>
  <c r="F60" i="7"/>
  <c r="G60" i="7"/>
  <c r="F59" i="7"/>
  <c r="G59" i="7"/>
  <c r="F58" i="7"/>
  <c r="G58" i="7"/>
  <c r="F57" i="7"/>
  <c r="G57" i="7"/>
  <c r="F56" i="7"/>
  <c r="G56" i="7"/>
  <c r="F55" i="7"/>
  <c r="G55" i="7"/>
  <c r="F54" i="7"/>
  <c r="G54" i="7"/>
  <c r="F53" i="7"/>
  <c r="G53" i="7"/>
  <c r="F52" i="7"/>
  <c r="G52" i="7"/>
  <c r="F51" i="7"/>
  <c r="G51" i="7"/>
  <c r="F50" i="7"/>
  <c r="G50" i="7"/>
  <c r="F49" i="7"/>
  <c r="E48" i="7"/>
  <c r="F47" i="7"/>
  <c r="G47" i="7"/>
  <c r="F46" i="7"/>
  <c r="G46" i="7"/>
  <c r="F45" i="7"/>
  <c r="G45" i="7"/>
  <c r="F44" i="7"/>
  <c r="G44" i="7"/>
  <c r="F43" i="7"/>
  <c r="G43" i="7"/>
  <c r="F42" i="7"/>
  <c r="G42" i="7"/>
  <c r="F41" i="7"/>
  <c r="G41" i="7"/>
  <c r="F40" i="7"/>
  <c r="G40" i="7"/>
  <c r="F39" i="7"/>
  <c r="G39" i="7"/>
  <c r="F38" i="7"/>
  <c r="G38" i="7"/>
  <c r="F37" i="7"/>
  <c r="G37" i="7"/>
  <c r="F36" i="7"/>
  <c r="G36" i="7"/>
  <c r="F35" i="7"/>
  <c r="G35" i="7"/>
  <c r="F34" i="7"/>
  <c r="G34" i="7"/>
  <c r="F33" i="7"/>
  <c r="G33" i="7"/>
  <c r="F32" i="7"/>
  <c r="G32" i="7"/>
  <c r="F31" i="7"/>
  <c r="G31" i="7"/>
  <c r="F30" i="7"/>
  <c r="G30" i="7"/>
  <c r="F29" i="7"/>
  <c r="G29" i="7"/>
  <c r="F28" i="7"/>
  <c r="G28" i="7"/>
  <c r="F27" i="7"/>
  <c r="G27" i="7"/>
  <c r="F26" i="7"/>
  <c r="G26" i="7"/>
  <c r="F25" i="7"/>
  <c r="G25" i="7"/>
  <c r="F24" i="7"/>
  <c r="G24" i="7"/>
  <c r="F23" i="7"/>
  <c r="G23" i="7"/>
  <c r="F22" i="7"/>
  <c r="G22" i="7"/>
  <c r="F21" i="7"/>
  <c r="G21" i="7"/>
  <c r="F20" i="7"/>
  <c r="G20" i="7"/>
  <c r="F19" i="7"/>
  <c r="G19" i="7"/>
  <c r="F18" i="7"/>
  <c r="G18" i="7"/>
  <c r="F17" i="7"/>
  <c r="E16" i="7"/>
  <c r="F15" i="7"/>
  <c r="G15" i="7"/>
  <c r="E14" i="7"/>
  <c r="F13" i="7"/>
  <c r="G13" i="7"/>
  <c r="F12" i="7"/>
  <c r="G12" i="7"/>
  <c r="F11" i="7"/>
  <c r="G11" i="7"/>
  <c r="F10" i="7"/>
  <c r="G10" i="7"/>
  <c r="F9" i="7"/>
  <c r="G9" i="7"/>
  <c r="F8" i="7"/>
  <c r="G8" i="7"/>
  <c r="F7" i="7"/>
  <c r="G7" i="7"/>
  <c r="F6" i="7"/>
  <c r="G6" i="7"/>
  <c r="F5" i="7"/>
  <c r="G5" i="7"/>
  <c r="F4" i="7"/>
  <c r="G4" i="7"/>
  <c r="F3" i="7"/>
  <c r="G3" i="7"/>
  <c r="F2" i="7"/>
  <c r="N806" i="6"/>
  <c r="P806" i="6"/>
  <c r="P805" i="6"/>
  <c r="P804" i="6"/>
  <c r="N803" i="6"/>
  <c r="P803" i="6"/>
  <c r="N802" i="6"/>
  <c r="P802" i="6"/>
  <c r="N801" i="6"/>
  <c r="P801" i="6"/>
  <c r="N800" i="6"/>
  <c r="P800" i="6"/>
  <c r="N799" i="6"/>
  <c r="P799" i="6"/>
  <c r="N798" i="6"/>
  <c r="P798" i="6"/>
  <c r="N797" i="6"/>
  <c r="P797" i="6"/>
  <c r="N796" i="6"/>
  <c r="P796" i="6"/>
  <c r="N795" i="6"/>
  <c r="P795" i="6"/>
  <c r="N794" i="6"/>
  <c r="P794" i="6"/>
  <c r="N793" i="6"/>
  <c r="P793" i="6"/>
  <c r="N792" i="6"/>
  <c r="H792" i="6"/>
  <c r="P792" i="6"/>
  <c r="N791" i="6"/>
  <c r="H791" i="6"/>
  <c r="P791" i="6"/>
  <c r="N790" i="6"/>
  <c r="H790" i="6"/>
  <c r="P790" i="6"/>
  <c r="N789" i="6"/>
  <c r="H789" i="6"/>
  <c r="P789" i="6"/>
  <c r="N788" i="6"/>
  <c r="H788" i="6"/>
  <c r="P788" i="6"/>
  <c r="N787" i="6"/>
  <c r="H787" i="6"/>
  <c r="P787" i="6"/>
  <c r="N786" i="6"/>
  <c r="H786" i="6"/>
  <c r="P786" i="6"/>
  <c r="N785" i="6"/>
  <c r="H785" i="6"/>
  <c r="P785" i="6"/>
  <c r="N784" i="6"/>
  <c r="H784" i="6"/>
  <c r="P784" i="6"/>
  <c r="N783" i="6"/>
  <c r="H783" i="6"/>
  <c r="P783" i="6"/>
  <c r="N782" i="6"/>
  <c r="H782" i="6"/>
  <c r="P782" i="6"/>
  <c r="H781" i="6"/>
  <c r="P781" i="6"/>
  <c r="N780" i="6"/>
  <c r="H780" i="6"/>
  <c r="P780" i="6"/>
  <c r="N779" i="6"/>
  <c r="H779" i="6"/>
  <c r="P779" i="6"/>
  <c r="H778" i="6"/>
  <c r="P778" i="6"/>
  <c r="N777" i="6"/>
  <c r="H777" i="6"/>
  <c r="P777" i="6"/>
  <c r="H776" i="6"/>
  <c r="P776" i="6"/>
  <c r="H775" i="6"/>
  <c r="P775" i="6"/>
  <c r="N774" i="6"/>
  <c r="H774" i="6"/>
  <c r="P774" i="6"/>
  <c r="N773" i="6"/>
  <c r="H773" i="6"/>
  <c r="P773" i="6"/>
  <c r="N772" i="6"/>
  <c r="H772" i="6"/>
  <c r="P772" i="6"/>
  <c r="N771" i="6"/>
  <c r="H771" i="6"/>
  <c r="P771" i="6"/>
  <c r="N770" i="6"/>
  <c r="H770" i="6"/>
  <c r="P770" i="6"/>
  <c r="N769" i="6"/>
  <c r="H769" i="6"/>
  <c r="P769" i="6"/>
  <c r="H768" i="6"/>
  <c r="P768" i="6"/>
  <c r="N767" i="6"/>
  <c r="H767" i="6"/>
  <c r="P767" i="6"/>
  <c r="N766" i="6"/>
  <c r="H766" i="6"/>
  <c r="P766" i="6"/>
  <c r="N765" i="6"/>
  <c r="H765" i="6"/>
  <c r="P765" i="6"/>
  <c r="N764" i="6"/>
  <c r="H764" i="6"/>
  <c r="P764" i="6"/>
  <c r="H763" i="6"/>
  <c r="P763" i="6"/>
  <c r="H762" i="6"/>
  <c r="P762" i="6"/>
  <c r="H761" i="6"/>
  <c r="P761" i="6"/>
  <c r="N760" i="6"/>
  <c r="H760" i="6"/>
  <c r="P760" i="6"/>
  <c r="N759" i="6"/>
  <c r="H759" i="6"/>
  <c r="P759" i="6"/>
  <c r="N758" i="6"/>
  <c r="H758" i="6"/>
  <c r="P758" i="6"/>
  <c r="N757" i="6"/>
  <c r="H757" i="6"/>
  <c r="P757" i="6"/>
  <c r="N756" i="6"/>
  <c r="H756" i="6"/>
  <c r="P756" i="6"/>
  <c r="N755" i="6"/>
  <c r="H755" i="6"/>
  <c r="P755" i="6"/>
  <c r="H754" i="6"/>
  <c r="P754" i="6"/>
  <c r="N753" i="6"/>
  <c r="H753" i="6"/>
  <c r="P753" i="6"/>
  <c r="N752" i="6"/>
  <c r="H752" i="6"/>
  <c r="P752" i="6"/>
  <c r="N751" i="6"/>
  <c r="H751" i="6"/>
  <c r="P751" i="6"/>
  <c r="N750" i="6"/>
  <c r="H750" i="6"/>
  <c r="P750" i="6"/>
  <c r="N749" i="6"/>
  <c r="H749" i="6"/>
  <c r="P749" i="6"/>
  <c r="N748" i="6"/>
  <c r="H748" i="6"/>
  <c r="P748" i="6"/>
  <c r="N747" i="6"/>
  <c r="H747" i="6"/>
  <c r="P747" i="6"/>
  <c r="N746" i="6"/>
  <c r="H746" i="6"/>
  <c r="P746" i="6"/>
  <c r="H745" i="6"/>
  <c r="P745" i="6"/>
  <c r="N744" i="6"/>
  <c r="H744" i="6"/>
  <c r="P744" i="6"/>
  <c r="N743" i="6"/>
  <c r="H743" i="6"/>
  <c r="P743" i="6"/>
  <c r="N742" i="6"/>
  <c r="H742" i="6"/>
  <c r="P742" i="6"/>
  <c r="N741" i="6"/>
  <c r="H741" i="6"/>
  <c r="P741" i="6"/>
  <c r="N740" i="6"/>
  <c r="H740" i="6"/>
  <c r="P740" i="6"/>
  <c r="H739" i="6"/>
  <c r="P739" i="6"/>
  <c r="N738" i="6"/>
  <c r="H738" i="6"/>
  <c r="P738" i="6"/>
  <c r="N737" i="6"/>
  <c r="H737" i="6"/>
  <c r="P737" i="6"/>
  <c r="N736" i="6"/>
  <c r="H736" i="6"/>
  <c r="P736" i="6"/>
  <c r="H735" i="6"/>
  <c r="P735" i="6"/>
  <c r="N734" i="6"/>
  <c r="H734" i="6"/>
  <c r="P734" i="6"/>
  <c r="N733" i="6"/>
  <c r="H733" i="6"/>
  <c r="P733" i="6"/>
  <c r="N732" i="6"/>
  <c r="H732" i="6"/>
  <c r="P732" i="6"/>
  <c r="H731" i="6"/>
  <c r="P731" i="6"/>
  <c r="N730" i="6"/>
  <c r="H730" i="6"/>
  <c r="P730" i="6"/>
  <c r="H729" i="6"/>
  <c r="P729" i="6"/>
  <c r="N728" i="6"/>
  <c r="H728" i="6"/>
  <c r="P728" i="6"/>
  <c r="H727" i="6"/>
  <c r="P727" i="6"/>
  <c r="N726" i="6"/>
  <c r="H726" i="6"/>
  <c r="P726" i="6"/>
  <c r="N725" i="6"/>
  <c r="H725" i="6"/>
  <c r="P725" i="6"/>
  <c r="N724" i="6"/>
  <c r="H723" i="6"/>
  <c r="P723" i="6"/>
  <c r="H722" i="6"/>
  <c r="P722" i="6"/>
  <c r="N721" i="6"/>
  <c r="N720" i="6"/>
  <c r="H720" i="6"/>
  <c r="P720" i="6"/>
  <c r="N719" i="6"/>
  <c r="H719" i="6"/>
  <c r="P719" i="6"/>
  <c r="N718" i="6"/>
  <c r="H718" i="6"/>
  <c r="P718" i="6"/>
  <c r="H717" i="6"/>
  <c r="P717" i="6"/>
  <c r="N716" i="6"/>
  <c r="H716" i="6"/>
  <c r="P716" i="6"/>
  <c r="N715" i="6"/>
  <c r="H715" i="6"/>
  <c r="P715" i="6"/>
  <c r="N714" i="6"/>
  <c r="H714" i="6"/>
  <c r="P714" i="6"/>
  <c r="N713" i="6"/>
  <c r="H713" i="6"/>
  <c r="P713" i="6"/>
  <c r="H712" i="6"/>
  <c r="P712" i="6"/>
  <c r="N711" i="6"/>
  <c r="H711" i="6"/>
  <c r="P711" i="6"/>
  <c r="N710" i="6"/>
  <c r="H710" i="6"/>
  <c r="P710" i="6"/>
  <c r="N709" i="6"/>
  <c r="H709" i="6"/>
  <c r="P709" i="6"/>
  <c r="H708" i="6"/>
  <c r="P708" i="6"/>
  <c r="N707" i="6"/>
  <c r="H707" i="6"/>
  <c r="P707" i="6"/>
  <c r="N706" i="6"/>
  <c r="H706" i="6"/>
  <c r="P706" i="6"/>
  <c r="N705" i="6"/>
  <c r="H705" i="6"/>
  <c r="P705" i="6"/>
  <c r="N704" i="6"/>
  <c r="H704" i="6"/>
  <c r="H703" i="6"/>
  <c r="H702" i="6"/>
  <c r="N701" i="6"/>
  <c r="H701" i="6"/>
  <c r="N700" i="6"/>
  <c r="H700" i="6"/>
  <c r="N699" i="6"/>
  <c r="H699" i="6"/>
  <c r="N698" i="6"/>
  <c r="H698" i="6"/>
  <c r="N697" i="6"/>
  <c r="H697" i="6"/>
  <c r="N696" i="6"/>
  <c r="H696" i="6"/>
  <c r="N695" i="6"/>
  <c r="H695" i="6"/>
  <c r="N694" i="6"/>
  <c r="H694" i="6"/>
  <c r="N693" i="6"/>
  <c r="H693" i="6"/>
  <c r="H692" i="6"/>
  <c r="N691" i="6"/>
  <c r="H691" i="6"/>
  <c r="N690" i="6"/>
  <c r="H690" i="6"/>
  <c r="N689" i="6"/>
  <c r="H689" i="6"/>
  <c r="N688" i="6"/>
  <c r="H688" i="6"/>
  <c r="N687" i="6"/>
  <c r="H687" i="6"/>
  <c r="N686" i="6"/>
  <c r="H686" i="6"/>
  <c r="N685" i="6"/>
  <c r="H685" i="6"/>
  <c r="N684" i="6"/>
  <c r="H684" i="6"/>
  <c r="N683" i="6"/>
  <c r="H683" i="6"/>
  <c r="N682" i="6"/>
  <c r="H682" i="6"/>
  <c r="N681" i="6"/>
  <c r="H681" i="6"/>
  <c r="N680" i="6"/>
  <c r="H680" i="6"/>
  <c r="N679" i="6"/>
  <c r="H679" i="6"/>
  <c r="N678" i="6"/>
  <c r="H678" i="6"/>
  <c r="N677" i="6"/>
  <c r="H677" i="6"/>
  <c r="N676" i="6"/>
  <c r="H676" i="6"/>
  <c r="N675" i="6"/>
  <c r="H675" i="6"/>
  <c r="N674" i="6"/>
  <c r="H674" i="6"/>
  <c r="H673" i="6"/>
  <c r="N672" i="6"/>
  <c r="H672" i="6"/>
  <c r="H671" i="6"/>
  <c r="N670" i="6"/>
  <c r="H670" i="6"/>
  <c r="P670" i="6"/>
  <c r="H669" i="6"/>
  <c r="P669" i="6"/>
  <c r="N668" i="6"/>
  <c r="H668" i="6"/>
  <c r="P668" i="6"/>
  <c r="N667" i="6"/>
  <c r="H667" i="6"/>
  <c r="P667" i="6"/>
  <c r="N666" i="6"/>
  <c r="H666" i="6"/>
  <c r="P666" i="6"/>
  <c r="H665" i="6"/>
  <c r="P665" i="6"/>
  <c r="N664" i="6"/>
  <c r="H664" i="6"/>
  <c r="P664" i="6"/>
  <c r="N663" i="6"/>
  <c r="H663" i="6"/>
  <c r="P663" i="6"/>
  <c r="N662" i="6"/>
  <c r="H662" i="6"/>
  <c r="P662" i="6"/>
  <c r="N661" i="6"/>
  <c r="H661" i="6"/>
  <c r="P661" i="6"/>
  <c r="N660" i="6"/>
  <c r="H660" i="6"/>
  <c r="P660" i="6"/>
  <c r="N659" i="6"/>
  <c r="H659" i="6"/>
  <c r="P659" i="6"/>
  <c r="N658" i="6"/>
  <c r="H658" i="6"/>
  <c r="P658" i="6"/>
  <c r="N657" i="6"/>
  <c r="H657" i="6"/>
  <c r="P657" i="6"/>
  <c r="H656" i="6"/>
  <c r="P656" i="6"/>
  <c r="N655" i="6"/>
  <c r="H655" i="6"/>
  <c r="P655" i="6"/>
  <c r="N654" i="6"/>
  <c r="H654" i="6"/>
  <c r="P654" i="6"/>
  <c r="N653" i="6"/>
  <c r="H653" i="6"/>
  <c r="P653" i="6"/>
  <c r="H652" i="6"/>
  <c r="P652" i="6"/>
  <c r="N651" i="6"/>
  <c r="H651" i="6"/>
  <c r="P651" i="6"/>
  <c r="N650" i="6"/>
  <c r="H650" i="6"/>
  <c r="P650" i="6"/>
  <c r="H649" i="6"/>
  <c r="P649" i="6"/>
  <c r="N648" i="6"/>
  <c r="H648" i="6"/>
  <c r="P648" i="6"/>
  <c r="N647" i="6"/>
  <c r="H647" i="6"/>
  <c r="P647" i="6"/>
  <c r="H646" i="6"/>
  <c r="P646" i="6"/>
  <c r="H645" i="6"/>
  <c r="P645" i="6"/>
  <c r="N644" i="6"/>
  <c r="H644" i="6"/>
  <c r="P644" i="6"/>
  <c r="N643" i="6"/>
  <c r="H643" i="6"/>
  <c r="P643" i="6"/>
  <c r="N642" i="6"/>
  <c r="H642" i="6"/>
  <c r="P642" i="6"/>
  <c r="N641" i="6"/>
  <c r="H641" i="6"/>
  <c r="P641" i="6"/>
  <c r="H640" i="6"/>
  <c r="P640" i="6"/>
  <c r="N639" i="6"/>
  <c r="H639" i="6"/>
  <c r="P639" i="6"/>
  <c r="N638" i="6"/>
  <c r="H638" i="6"/>
  <c r="P638" i="6"/>
  <c r="N637" i="6"/>
  <c r="H637" i="6"/>
  <c r="P637" i="6"/>
  <c r="N636" i="6"/>
  <c r="H636" i="6"/>
  <c r="P636" i="6"/>
  <c r="N635" i="6"/>
  <c r="H635" i="6"/>
  <c r="P635" i="6"/>
  <c r="H634" i="6"/>
  <c r="P634" i="6"/>
  <c r="H633" i="6"/>
  <c r="P633" i="6"/>
  <c r="N632" i="6"/>
  <c r="H632" i="6"/>
  <c r="P632" i="6"/>
  <c r="N631" i="6"/>
  <c r="H631" i="6"/>
  <c r="P631" i="6"/>
  <c r="N630" i="6"/>
  <c r="H630" i="6"/>
  <c r="P630" i="6"/>
  <c r="N629" i="6"/>
  <c r="H629" i="6"/>
  <c r="P629" i="6"/>
  <c r="N628" i="6"/>
  <c r="H628" i="6"/>
  <c r="P628" i="6"/>
  <c r="N627" i="6"/>
  <c r="H627" i="6"/>
  <c r="P627" i="6"/>
  <c r="N626" i="6"/>
  <c r="H626" i="6"/>
  <c r="P626" i="6"/>
  <c r="H625" i="6"/>
  <c r="P625" i="6"/>
  <c r="N624" i="6"/>
  <c r="H624" i="6"/>
  <c r="P624" i="6"/>
  <c r="N623" i="6"/>
  <c r="H623" i="6"/>
  <c r="P623" i="6"/>
  <c r="N622" i="6"/>
  <c r="H622" i="6"/>
  <c r="P622" i="6"/>
  <c r="H621" i="6"/>
  <c r="P621" i="6"/>
  <c r="N620" i="6"/>
  <c r="H620" i="6"/>
  <c r="P620" i="6"/>
  <c r="H619" i="6"/>
  <c r="P619" i="6"/>
  <c r="H618" i="6"/>
  <c r="P618" i="6"/>
  <c r="N617" i="6"/>
  <c r="H617" i="6"/>
  <c r="P617" i="6"/>
  <c r="N616" i="6"/>
  <c r="H616" i="6"/>
  <c r="P616" i="6"/>
  <c r="N615" i="6"/>
  <c r="H615" i="6"/>
  <c r="P615" i="6"/>
  <c r="N614" i="6"/>
  <c r="H614" i="6"/>
  <c r="P614" i="6"/>
  <c r="N613" i="6"/>
  <c r="H613" i="6"/>
  <c r="P613" i="6"/>
  <c r="H612" i="6"/>
  <c r="P612" i="6"/>
  <c r="H611" i="6"/>
  <c r="P611" i="6"/>
  <c r="H610" i="6"/>
  <c r="P610" i="6"/>
  <c r="H609" i="6"/>
  <c r="P609" i="6"/>
  <c r="N608" i="6"/>
  <c r="H608" i="6"/>
  <c r="P608" i="6"/>
  <c r="N607" i="6"/>
  <c r="H607" i="6"/>
  <c r="P607" i="6"/>
  <c r="N606" i="6"/>
  <c r="H606" i="6"/>
  <c r="P606" i="6"/>
  <c r="N605" i="6"/>
  <c r="H605" i="6"/>
  <c r="P605" i="6"/>
  <c r="N604" i="6"/>
  <c r="H604" i="6"/>
  <c r="P604" i="6"/>
  <c r="H603" i="6"/>
  <c r="P603" i="6"/>
  <c r="N602" i="6"/>
  <c r="H602" i="6"/>
  <c r="P602" i="6"/>
  <c r="H601" i="6"/>
  <c r="P601" i="6"/>
  <c r="N600" i="6"/>
  <c r="H600" i="6"/>
  <c r="P600" i="6"/>
  <c r="N599" i="6"/>
  <c r="H599" i="6"/>
  <c r="P599" i="6"/>
  <c r="N598" i="6"/>
  <c r="H598" i="6"/>
  <c r="P598" i="6"/>
  <c r="H597" i="6"/>
  <c r="P597" i="6"/>
  <c r="N596" i="6"/>
  <c r="H596" i="6"/>
  <c r="P596" i="6"/>
  <c r="H595" i="6"/>
  <c r="P595" i="6"/>
  <c r="H594" i="6"/>
  <c r="P594" i="6"/>
  <c r="N593" i="6"/>
  <c r="H593" i="6"/>
  <c r="P593" i="6"/>
  <c r="N592" i="6"/>
  <c r="H592" i="6"/>
  <c r="P592" i="6"/>
  <c r="N591" i="6"/>
  <c r="H591" i="6"/>
  <c r="P591" i="6"/>
  <c r="N590" i="6"/>
  <c r="H590" i="6"/>
  <c r="P590" i="6"/>
  <c r="N589" i="6"/>
  <c r="H589" i="6"/>
  <c r="P589" i="6"/>
  <c r="N588" i="6"/>
  <c r="H588" i="6"/>
  <c r="P588" i="6"/>
  <c r="N587" i="6"/>
  <c r="H587" i="6"/>
  <c r="P587" i="6"/>
  <c r="N586" i="6"/>
  <c r="H586" i="6"/>
  <c r="P586" i="6"/>
  <c r="N585" i="6"/>
  <c r="H585" i="6"/>
  <c r="P585" i="6"/>
  <c r="N584" i="6"/>
  <c r="H584" i="6"/>
  <c r="P584" i="6"/>
  <c r="N583" i="6"/>
  <c r="H582" i="6"/>
  <c r="P582" i="6"/>
  <c r="N581" i="6"/>
  <c r="H581" i="6"/>
  <c r="P581" i="6"/>
  <c r="N580" i="6"/>
  <c r="H580" i="6"/>
  <c r="P580" i="6"/>
  <c r="N579" i="6"/>
  <c r="H579" i="6"/>
  <c r="P579" i="6"/>
  <c r="N578" i="6"/>
  <c r="H578" i="6"/>
  <c r="P578" i="6"/>
  <c r="N577" i="6"/>
  <c r="H577" i="6"/>
  <c r="P577" i="6"/>
  <c r="N576" i="6"/>
  <c r="N575" i="6"/>
  <c r="H575" i="6"/>
  <c r="P575" i="6"/>
  <c r="N574" i="6"/>
  <c r="H574" i="6"/>
  <c r="P574" i="6"/>
  <c r="N573" i="6"/>
  <c r="H573" i="6"/>
  <c r="P573" i="6"/>
  <c r="N572" i="6"/>
  <c r="H572" i="6"/>
  <c r="P572" i="6"/>
  <c r="H571" i="6"/>
  <c r="P571" i="6"/>
  <c r="N570" i="6"/>
  <c r="H570" i="6"/>
  <c r="P570" i="6"/>
  <c r="N569" i="6"/>
  <c r="H569" i="6"/>
  <c r="P569" i="6"/>
  <c r="N568" i="6"/>
  <c r="H568" i="6"/>
  <c r="P568" i="6"/>
  <c r="N567" i="6"/>
  <c r="H567" i="6"/>
  <c r="P567" i="6"/>
  <c r="N566" i="6"/>
  <c r="H566" i="6"/>
  <c r="P566" i="6"/>
  <c r="H565" i="6"/>
  <c r="P565" i="6"/>
  <c r="N564" i="6"/>
  <c r="H564" i="6"/>
  <c r="P564" i="6"/>
  <c r="H563" i="6"/>
  <c r="P563" i="6"/>
  <c r="N562" i="6"/>
  <c r="H562" i="6"/>
  <c r="P562" i="6"/>
  <c r="H561" i="6"/>
  <c r="P561" i="6"/>
  <c r="N560" i="6"/>
  <c r="H560" i="6"/>
  <c r="P560" i="6"/>
  <c r="N559" i="6"/>
  <c r="H559" i="6"/>
  <c r="P559" i="6"/>
  <c r="N558" i="6"/>
  <c r="H558" i="6"/>
  <c r="P558" i="6"/>
  <c r="H557" i="6"/>
  <c r="P557" i="6"/>
  <c r="N556" i="6"/>
  <c r="H556" i="6"/>
  <c r="P556" i="6"/>
  <c r="N555" i="6"/>
  <c r="H555" i="6"/>
  <c r="P555" i="6"/>
  <c r="N554" i="6"/>
  <c r="H554" i="6"/>
  <c r="P554" i="6"/>
  <c r="N553" i="6"/>
  <c r="H553" i="6"/>
  <c r="P553" i="6"/>
  <c r="N552" i="6"/>
  <c r="H552" i="6"/>
  <c r="P552" i="6"/>
  <c r="N551" i="6"/>
  <c r="H551" i="6"/>
  <c r="P551" i="6"/>
  <c r="N550" i="6"/>
  <c r="H550" i="6"/>
  <c r="P550" i="6"/>
  <c r="N549" i="6"/>
  <c r="H549" i="6"/>
  <c r="P549" i="6"/>
  <c r="N548" i="6"/>
  <c r="H548" i="6"/>
  <c r="P548" i="6"/>
  <c r="N547" i="6"/>
  <c r="H547" i="6"/>
  <c r="P547" i="6"/>
  <c r="N546" i="6"/>
  <c r="H546" i="6"/>
  <c r="P546" i="6"/>
  <c r="N545" i="6"/>
  <c r="H545" i="6"/>
  <c r="P545" i="6"/>
  <c r="H544" i="6"/>
  <c r="P544" i="6"/>
  <c r="H543" i="6"/>
  <c r="P543" i="6"/>
  <c r="H542" i="6"/>
  <c r="P542" i="6"/>
  <c r="N541" i="6"/>
  <c r="H541" i="6"/>
  <c r="P541" i="6"/>
  <c r="N540" i="6"/>
  <c r="H540" i="6"/>
  <c r="P540" i="6"/>
  <c r="N539" i="6"/>
  <c r="H539" i="6"/>
  <c r="P539" i="6"/>
  <c r="N538" i="6"/>
  <c r="H538" i="6"/>
  <c r="P538" i="6"/>
  <c r="N537" i="6"/>
  <c r="H537" i="6"/>
  <c r="P537" i="6"/>
  <c r="H536" i="6"/>
  <c r="P536" i="6"/>
  <c r="H535" i="6"/>
  <c r="P535" i="6"/>
  <c r="N534" i="6"/>
  <c r="H534" i="6"/>
  <c r="P534" i="6"/>
  <c r="N533" i="6"/>
  <c r="H533" i="6"/>
  <c r="P533" i="6"/>
  <c r="N532" i="6"/>
  <c r="H532" i="6"/>
  <c r="P532" i="6"/>
  <c r="N531" i="6"/>
  <c r="H531" i="6"/>
  <c r="P531" i="6"/>
  <c r="N530" i="6"/>
  <c r="H530" i="6"/>
  <c r="P530" i="6"/>
  <c r="N529" i="6"/>
  <c r="H529" i="6"/>
  <c r="P529" i="6"/>
  <c r="N528" i="6"/>
  <c r="H528" i="6"/>
  <c r="P528" i="6"/>
  <c r="N527" i="6"/>
  <c r="H527" i="6"/>
  <c r="P527" i="6"/>
  <c r="H526" i="6"/>
  <c r="P526" i="6"/>
  <c r="N525" i="6"/>
  <c r="H525" i="6"/>
  <c r="P525" i="6"/>
  <c r="N524" i="6"/>
  <c r="H524" i="6"/>
  <c r="P524" i="6"/>
  <c r="N523" i="6"/>
  <c r="H523" i="6"/>
  <c r="P523" i="6"/>
  <c r="H522" i="6"/>
  <c r="P522" i="6"/>
  <c r="N521" i="6"/>
  <c r="H521" i="6"/>
  <c r="P521" i="6"/>
  <c r="N520" i="6"/>
  <c r="N519" i="6"/>
  <c r="H519" i="6"/>
  <c r="P519" i="6"/>
  <c r="N518" i="6"/>
  <c r="H518" i="6"/>
  <c r="P518" i="6"/>
  <c r="H517" i="6"/>
  <c r="P517" i="6"/>
  <c r="H516" i="6"/>
  <c r="P516" i="6"/>
  <c r="N515" i="6"/>
  <c r="H515" i="6"/>
  <c r="P515" i="6"/>
  <c r="N514" i="6"/>
  <c r="H514" i="6"/>
  <c r="P514" i="6"/>
  <c r="H513" i="6"/>
  <c r="P513" i="6"/>
  <c r="N512" i="6"/>
  <c r="H512" i="6"/>
  <c r="P512" i="6"/>
  <c r="N511" i="6"/>
  <c r="H511" i="6"/>
  <c r="P511" i="6"/>
  <c r="H510" i="6"/>
  <c r="P510" i="6"/>
  <c r="H509" i="6"/>
  <c r="P509" i="6"/>
  <c r="H508" i="6"/>
  <c r="P508" i="6"/>
  <c r="N507" i="6"/>
  <c r="H507" i="6"/>
  <c r="P507" i="6"/>
  <c r="N506" i="6"/>
  <c r="H506" i="6"/>
  <c r="P506" i="6"/>
  <c r="H505" i="6"/>
  <c r="P505" i="6"/>
  <c r="N504" i="6"/>
  <c r="H504" i="6"/>
  <c r="P504" i="6"/>
  <c r="N503" i="6"/>
  <c r="H503" i="6"/>
  <c r="P503" i="6"/>
  <c r="N502" i="6"/>
  <c r="H502" i="6"/>
  <c r="P502" i="6"/>
  <c r="N501" i="6"/>
  <c r="H501" i="6"/>
  <c r="P501" i="6"/>
  <c r="N500" i="6"/>
  <c r="H500" i="6"/>
  <c r="P500" i="6"/>
  <c r="N499" i="6"/>
  <c r="H499" i="6"/>
  <c r="P499" i="6"/>
  <c r="N498" i="6"/>
  <c r="H498" i="6"/>
  <c r="P498" i="6"/>
  <c r="N497" i="6"/>
  <c r="H497" i="6"/>
  <c r="P497" i="6"/>
  <c r="N496" i="6"/>
  <c r="H496" i="6"/>
  <c r="P496" i="6"/>
  <c r="N495" i="6"/>
  <c r="H495" i="6"/>
  <c r="P495" i="6"/>
  <c r="N494" i="6"/>
  <c r="H494" i="6"/>
  <c r="P494" i="6"/>
  <c r="N493" i="6"/>
  <c r="H493" i="6"/>
  <c r="P493" i="6"/>
  <c r="H492" i="6"/>
  <c r="P492" i="6"/>
  <c r="N491" i="6"/>
  <c r="H491" i="6"/>
  <c r="P491" i="6"/>
  <c r="N490" i="6"/>
  <c r="H490" i="6"/>
  <c r="P490" i="6"/>
  <c r="H489" i="6"/>
  <c r="P489" i="6"/>
  <c r="N488" i="6"/>
  <c r="H488" i="6"/>
  <c r="P488" i="6"/>
  <c r="N487" i="6"/>
  <c r="H487" i="6"/>
  <c r="P487" i="6"/>
  <c r="N486" i="6"/>
  <c r="H486" i="6"/>
  <c r="P486" i="6"/>
  <c r="N485" i="6"/>
  <c r="H485" i="6"/>
  <c r="P485" i="6"/>
  <c r="N484" i="6"/>
  <c r="H484" i="6"/>
  <c r="P484" i="6"/>
  <c r="N483" i="6"/>
  <c r="H483" i="6"/>
  <c r="P483" i="6"/>
  <c r="N482" i="6"/>
  <c r="H482" i="6"/>
  <c r="P482" i="6"/>
  <c r="N481" i="6"/>
  <c r="H481" i="6"/>
  <c r="P481" i="6"/>
  <c r="H480" i="6"/>
  <c r="P480" i="6"/>
  <c r="N479" i="6"/>
  <c r="N478" i="6"/>
  <c r="H478" i="6"/>
  <c r="P478" i="6"/>
  <c r="N477" i="6"/>
  <c r="H477" i="6"/>
  <c r="P477" i="6"/>
  <c r="H476" i="6"/>
  <c r="P476" i="6"/>
  <c r="N475" i="6"/>
  <c r="H475" i="6"/>
  <c r="P475" i="6"/>
  <c r="N474" i="6"/>
  <c r="H474" i="6"/>
  <c r="P474" i="6"/>
  <c r="H473" i="6"/>
  <c r="P473" i="6"/>
  <c r="N472" i="6"/>
  <c r="H472" i="6"/>
  <c r="P472" i="6"/>
  <c r="N471" i="6"/>
  <c r="H471" i="6"/>
  <c r="P471" i="6"/>
  <c r="N470" i="6"/>
  <c r="H470" i="6"/>
  <c r="P470" i="6"/>
  <c r="N469" i="6"/>
  <c r="H469" i="6"/>
  <c r="P469" i="6"/>
  <c r="N468" i="6"/>
  <c r="H468" i="6"/>
  <c r="P468" i="6"/>
  <c r="H467" i="6"/>
  <c r="P467" i="6"/>
  <c r="N466" i="6"/>
  <c r="H466" i="6"/>
  <c r="P466" i="6"/>
  <c r="N465" i="6"/>
  <c r="H465" i="6"/>
  <c r="P465" i="6"/>
  <c r="N464" i="6"/>
  <c r="H464" i="6"/>
  <c r="P464" i="6"/>
  <c r="N463" i="6"/>
  <c r="H463" i="6"/>
  <c r="P463" i="6"/>
  <c r="H462" i="6"/>
  <c r="P462" i="6"/>
  <c r="N461" i="6"/>
  <c r="N460" i="6"/>
  <c r="H460" i="6"/>
  <c r="P460" i="6"/>
  <c r="N459" i="6"/>
  <c r="H459" i="6"/>
  <c r="P459" i="6"/>
  <c r="N458" i="6"/>
  <c r="H458" i="6"/>
  <c r="P458" i="6"/>
  <c r="N457" i="6"/>
  <c r="H457" i="6"/>
  <c r="P457" i="6"/>
  <c r="N456" i="6"/>
  <c r="H456" i="6"/>
  <c r="P456" i="6"/>
  <c r="N455" i="6"/>
  <c r="H455" i="6"/>
  <c r="P455" i="6"/>
  <c r="N454" i="6"/>
  <c r="H454" i="6"/>
  <c r="P454" i="6"/>
  <c r="N453" i="6"/>
  <c r="H453" i="6"/>
  <c r="P453" i="6"/>
  <c r="H451" i="6"/>
  <c r="P451" i="6"/>
  <c r="N450" i="6"/>
  <c r="H450" i="6"/>
  <c r="P450" i="6"/>
  <c r="N449" i="6"/>
  <c r="H449" i="6"/>
  <c r="P449" i="6"/>
  <c r="H448" i="6"/>
  <c r="P448" i="6"/>
  <c r="N447" i="6"/>
  <c r="H447" i="6"/>
  <c r="P447" i="6"/>
  <c r="N446" i="6"/>
  <c r="H446" i="6"/>
  <c r="P446" i="6"/>
  <c r="N445" i="6"/>
  <c r="H445" i="6"/>
  <c r="P445" i="6"/>
  <c r="N444" i="6"/>
  <c r="H444" i="6"/>
  <c r="P444" i="6"/>
  <c r="N443" i="6"/>
  <c r="H443" i="6"/>
  <c r="P443" i="6"/>
  <c r="N442" i="6"/>
  <c r="H442" i="6"/>
  <c r="P442" i="6"/>
  <c r="H441" i="6"/>
  <c r="P441" i="6"/>
  <c r="N440" i="6"/>
  <c r="H440" i="6"/>
  <c r="P440" i="6"/>
  <c r="N439" i="6"/>
  <c r="H439" i="6"/>
  <c r="P439" i="6"/>
  <c r="N438" i="6"/>
  <c r="H438" i="6"/>
  <c r="P438" i="6"/>
  <c r="H437" i="6"/>
  <c r="P437" i="6"/>
  <c r="H436" i="6"/>
  <c r="P436" i="6"/>
  <c r="N435" i="6"/>
  <c r="H435" i="6"/>
  <c r="P435" i="6"/>
  <c r="N434" i="6"/>
  <c r="H434" i="6"/>
  <c r="P434" i="6"/>
  <c r="H433" i="6"/>
  <c r="P433" i="6"/>
  <c r="N432" i="6"/>
  <c r="H432" i="6"/>
  <c r="P432" i="6"/>
  <c r="N431" i="6"/>
  <c r="H431" i="6"/>
  <c r="P431" i="6"/>
  <c r="N430" i="6"/>
  <c r="H430" i="6"/>
  <c r="P430" i="6"/>
  <c r="N429" i="6"/>
  <c r="H429" i="6"/>
  <c r="P429" i="6"/>
  <c r="N428" i="6"/>
  <c r="H428" i="6"/>
  <c r="P428" i="6"/>
  <c r="H427" i="6"/>
  <c r="P427" i="6"/>
  <c r="N426" i="6"/>
  <c r="H426" i="6"/>
  <c r="P426" i="6"/>
  <c r="N425" i="6"/>
  <c r="H425" i="6"/>
  <c r="P425" i="6"/>
  <c r="N424" i="6"/>
  <c r="N423" i="6"/>
  <c r="H423" i="6"/>
  <c r="P423" i="6"/>
  <c r="H422" i="6"/>
  <c r="P422" i="6"/>
  <c r="N421" i="6"/>
  <c r="H421" i="6"/>
  <c r="P421" i="6"/>
  <c r="N420" i="6"/>
  <c r="H420" i="6"/>
  <c r="P420" i="6"/>
  <c r="N419" i="6"/>
  <c r="H419" i="6"/>
  <c r="P419" i="6"/>
  <c r="N418" i="6"/>
  <c r="H418" i="6"/>
  <c r="P418" i="6"/>
  <c r="N417" i="6"/>
  <c r="H417" i="6"/>
  <c r="P417" i="6"/>
  <c r="H416" i="6"/>
  <c r="P416" i="6"/>
  <c r="H415" i="6"/>
  <c r="P415" i="6"/>
  <c r="N414" i="6"/>
  <c r="H414" i="6"/>
  <c r="P414" i="6"/>
  <c r="H413" i="6"/>
  <c r="P413" i="6"/>
  <c r="H412" i="6"/>
  <c r="P412" i="6"/>
  <c r="H411" i="6"/>
  <c r="P411" i="6"/>
  <c r="N410" i="6"/>
  <c r="H410" i="6"/>
  <c r="P410" i="6"/>
  <c r="N409" i="6"/>
  <c r="H409" i="6"/>
  <c r="P409" i="6"/>
  <c r="N408" i="6"/>
  <c r="H408" i="6"/>
  <c r="P408" i="6"/>
  <c r="N407" i="6"/>
  <c r="H407" i="6"/>
  <c r="P407" i="6"/>
  <c r="N406" i="6"/>
  <c r="H406" i="6"/>
  <c r="P406" i="6"/>
  <c r="H405" i="6"/>
  <c r="P405" i="6"/>
  <c r="N404" i="6"/>
  <c r="H404" i="6"/>
  <c r="P404" i="6"/>
  <c r="N403" i="6"/>
  <c r="N402" i="6"/>
  <c r="H402" i="6"/>
  <c r="P402" i="6"/>
  <c r="N401" i="6"/>
  <c r="H401" i="6"/>
  <c r="P401" i="6"/>
  <c r="N400" i="6"/>
  <c r="H400" i="6"/>
  <c r="P400" i="6"/>
  <c r="N399" i="6"/>
  <c r="H399" i="6"/>
  <c r="P399" i="6"/>
  <c r="N398" i="6"/>
  <c r="H398" i="6"/>
  <c r="P398" i="6"/>
  <c r="H397" i="6"/>
  <c r="P397" i="6"/>
  <c r="N396" i="6"/>
  <c r="H396" i="6"/>
  <c r="P396" i="6"/>
  <c r="H395" i="6"/>
  <c r="P395" i="6"/>
  <c r="N394" i="6"/>
  <c r="H394" i="6"/>
  <c r="P394" i="6"/>
  <c r="N393" i="6"/>
  <c r="H393" i="6"/>
  <c r="P393" i="6"/>
  <c r="N392" i="6"/>
  <c r="H392" i="6"/>
  <c r="P392" i="6"/>
  <c r="N391" i="6"/>
  <c r="H391" i="6"/>
  <c r="P391" i="6"/>
  <c r="H390" i="6"/>
  <c r="P390" i="6"/>
  <c r="N389" i="6"/>
  <c r="H389" i="6"/>
  <c r="P389" i="6"/>
  <c r="N388" i="6"/>
  <c r="H388" i="6"/>
  <c r="P388" i="6"/>
  <c r="N387" i="6"/>
  <c r="H387" i="6"/>
  <c r="P387" i="6"/>
  <c r="N386" i="6"/>
  <c r="H386" i="6"/>
  <c r="P386" i="6"/>
  <c r="N385" i="6"/>
  <c r="H385" i="6"/>
  <c r="P385" i="6"/>
  <c r="H384" i="6"/>
  <c r="P384" i="6"/>
  <c r="H383" i="6"/>
  <c r="P383" i="6"/>
  <c r="H382" i="6"/>
  <c r="P382" i="6"/>
  <c r="N381" i="6"/>
  <c r="H381" i="6"/>
  <c r="P381" i="6"/>
  <c r="N380" i="6"/>
  <c r="H380" i="6"/>
  <c r="P380" i="6"/>
  <c r="N379" i="6"/>
  <c r="H379" i="6"/>
  <c r="P379" i="6"/>
  <c r="N378" i="6"/>
  <c r="H378" i="6"/>
  <c r="P378" i="6"/>
  <c r="N377" i="6"/>
  <c r="H377" i="6"/>
  <c r="P377" i="6"/>
  <c r="N376" i="6"/>
  <c r="H376" i="6"/>
  <c r="P376" i="6"/>
  <c r="N375" i="6"/>
  <c r="H375" i="6"/>
  <c r="P375" i="6"/>
  <c r="H374" i="6"/>
  <c r="P374" i="6"/>
  <c r="N373" i="6"/>
  <c r="H373" i="6"/>
  <c r="P373" i="6"/>
  <c r="N372" i="6"/>
  <c r="H372" i="6"/>
  <c r="P372" i="6"/>
  <c r="N371" i="6"/>
  <c r="H371" i="6"/>
  <c r="P371" i="6"/>
  <c r="N370" i="6"/>
  <c r="H370" i="6"/>
  <c r="P370" i="6"/>
  <c r="N369" i="6"/>
  <c r="H369" i="6"/>
  <c r="P369" i="6"/>
  <c r="H368" i="6"/>
  <c r="P368" i="6"/>
  <c r="H367" i="6"/>
  <c r="P367" i="6"/>
  <c r="H366" i="6"/>
  <c r="P366" i="6"/>
  <c r="N365" i="6"/>
  <c r="H365" i="6"/>
  <c r="P365" i="6"/>
  <c r="H364" i="6"/>
  <c r="P364" i="6"/>
  <c r="N363" i="6"/>
  <c r="H363" i="6"/>
  <c r="P363" i="6"/>
  <c r="N362" i="6"/>
  <c r="H362" i="6"/>
  <c r="P362" i="6"/>
  <c r="N361" i="6"/>
  <c r="H361" i="6"/>
  <c r="P361" i="6"/>
  <c r="N360" i="6"/>
  <c r="H360" i="6"/>
  <c r="P360" i="6"/>
  <c r="N359" i="6"/>
  <c r="H359" i="6"/>
  <c r="P359" i="6"/>
  <c r="N358" i="6"/>
  <c r="H358" i="6"/>
  <c r="P358" i="6"/>
  <c r="H357" i="6"/>
  <c r="P357" i="6"/>
  <c r="N356" i="6"/>
  <c r="H356" i="6"/>
  <c r="P356" i="6"/>
  <c r="N355" i="6"/>
  <c r="H355" i="6"/>
  <c r="P355" i="6"/>
  <c r="N354" i="6"/>
  <c r="H354" i="6"/>
  <c r="P354" i="6"/>
  <c r="N353" i="6"/>
  <c r="H353" i="6"/>
  <c r="P353" i="6"/>
  <c r="N352" i="6"/>
  <c r="H352" i="6"/>
  <c r="P352" i="6"/>
  <c r="N351" i="6"/>
  <c r="H351" i="6"/>
  <c r="P351" i="6"/>
  <c r="H350" i="6"/>
  <c r="P350" i="6"/>
  <c r="N349" i="6"/>
  <c r="H349" i="6"/>
  <c r="P349" i="6"/>
  <c r="H348" i="6"/>
  <c r="P348" i="6"/>
  <c r="N347" i="6"/>
  <c r="H347" i="6"/>
  <c r="P347" i="6"/>
  <c r="N346" i="6"/>
  <c r="H346" i="6"/>
  <c r="P346" i="6"/>
  <c r="N345" i="6"/>
  <c r="N344" i="6"/>
  <c r="H344" i="6"/>
  <c r="P344" i="6"/>
  <c r="N343" i="6"/>
  <c r="H343" i="6"/>
  <c r="P343" i="6"/>
  <c r="N342" i="6"/>
  <c r="H342" i="6"/>
  <c r="P342" i="6"/>
  <c r="N341" i="6"/>
  <c r="H341" i="6"/>
  <c r="P341" i="6"/>
  <c r="H340" i="6"/>
  <c r="P340" i="6"/>
  <c r="H339" i="6"/>
  <c r="P339" i="6"/>
  <c r="N338" i="6"/>
  <c r="H338" i="6"/>
  <c r="P338" i="6"/>
  <c r="N337" i="6"/>
  <c r="H337" i="6"/>
  <c r="P337" i="6"/>
  <c r="N336" i="6"/>
  <c r="H336" i="6"/>
  <c r="P336" i="6"/>
  <c r="H335" i="6"/>
  <c r="P335" i="6"/>
  <c r="H334" i="6"/>
  <c r="P334" i="6"/>
  <c r="H333" i="6"/>
  <c r="P333" i="6"/>
  <c r="N332" i="6"/>
  <c r="H332" i="6"/>
  <c r="P332" i="6"/>
  <c r="N331" i="6"/>
  <c r="H331" i="6"/>
  <c r="P331" i="6"/>
  <c r="N330" i="6"/>
  <c r="H330" i="6"/>
  <c r="P330" i="6"/>
  <c r="N329" i="6"/>
  <c r="H329" i="6"/>
  <c r="P329" i="6"/>
  <c r="N328" i="6"/>
  <c r="H328" i="6"/>
  <c r="P328" i="6"/>
  <c r="N327" i="6"/>
  <c r="H327" i="6"/>
  <c r="P327" i="6"/>
  <c r="H326" i="6"/>
  <c r="P326" i="6"/>
  <c r="H325" i="6"/>
  <c r="P325" i="6"/>
  <c r="N324" i="6"/>
  <c r="H324" i="6"/>
  <c r="P324" i="6"/>
  <c r="N323" i="6"/>
  <c r="H323" i="6"/>
  <c r="P323" i="6"/>
  <c r="N322" i="6"/>
  <c r="H322" i="6"/>
  <c r="P322" i="6"/>
  <c r="N321" i="6"/>
  <c r="H321" i="6"/>
  <c r="P321" i="6"/>
  <c r="N320" i="6"/>
  <c r="H320" i="6"/>
  <c r="P320" i="6"/>
  <c r="N319" i="6"/>
  <c r="H319" i="6"/>
  <c r="P319" i="6"/>
  <c r="N318" i="6"/>
  <c r="H318" i="6"/>
  <c r="P318" i="6"/>
  <c r="N317" i="6"/>
  <c r="H317" i="6"/>
  <c r="P317" i="6"/>
  <c r="H316" i="6"/>
  <c r="P316" i="6"/>
  <c r="N315" i="6"/>
  <c r="H315" i="6"/>
  <c r="P315" i="6"/>
  <c r="N314" i="6"/>
  <c r="H314" i="6"/>
  <c r="P314" i="6"/>
  <c r="N313" i="6"/>
  <c r="H313" i="6"/>
  <c r="P313" i="6"/>
  <c r="N312" i="6"/>
  <c r="N311" i="6"/>
  <c r="H311" i="6"/>
  <c r="P311" i="6"/>
  <c r="N310" i="6"/>
  <c r="H310" i="6"/>
  <c r="P310" i="6"/>
  <c r="N309" i="6"/>
  <c r="H309" i="6"/>
  <c r="P309" i="6"/>
  <c r="H308" i="6"/>
  <c r="P308" i="6"/>
  <c r="N307" i="6"/>
  <c r="H307" i="6"/>
  <c r="P307" i="6"/>
  <c r="H306" i="6"/>
  <c r="P306" i="6"/>
  <c r="H305" i="6"/>
  <c r="P305" i="6"/>
  <c r="N304" i="6"/>
  <c r="H304" i="6"/>
  <c r="P304" i="6"/>
  <c r="H303" i="6"/>
  <c r="P303" i="6"/>
  <c r="N302" i="6"/>
  <c r="H302" i="6"/>
  <c r="P302" i="6"/>
  <c r="N301" i="6"/>
  <c r="H301" i="6"/>
  <c r="P301" i="6"/>
  <c r="N300" i="6"/>
  <c r="H300" i="6"/>
  <c r="P300" i="6"/>
  <c r="N299" i="6"/>
  <c r="H299" i="6"/>
  <c r="P299" i="6"/>
  <c r="N298" i="6"/>
  <c r="H298" i="6"/>
  <c r="P298" i="6"/>
  <c r="N297" i="6"/>
  <c r="H297" i="6"/>
  <c r="P297" i="6"/>
  <c r="N296" i="6"/>
  <c r="H296" i="6"/>
  <c r="P296" i="6"/>
  <c r="N295" i="6"/>
  <c r="H295" i="6"/>
  <c r="P295" i="6"/>
  <c r="H294" i="6"/>
  <c r="P294" i="6"/>
  <c r="H293" i="6"/>
  <c r="P293" i="6"/>
  <c r="N292" i="6"/>
  <c r="H292" i="6"/>
  <c r="P292" i="6"/>
  <c r="N291" i="6"/>
  <c r="H291" i="6"/>
  <c r="P291" i="6"/>
  <c r="N290" i="6"/>
  <c r="H290" i="6"/>
  <c r="P290" i="6"/>
  <c r="H289" i="6"/>
  <c r="P289" i="6"/>
  <c r="H288" i="6"/>
  <c r="P288" i="6"/>
  <c r="N287" i="6"/>
  <c r="H287" i="6"/>
  <c r="P287" i="6"/>
  <c r="N286" i="6"/>
  <c r="H286" i="6"/>
  <c r="P286" i="6"/>
  <c r="N285" i="6"/>
  <c r="H285" i="6"/>
  <c r="P285" i="6"/>
  <c r="N284" i="6"/>
  <c r="H284" i="6"/>
  <c r="P284" i="6"/>
  <c r="H283" i="6"/>
  <c r="P283" i="6"/>
  <c r="N282" i="6"/>
  <c r="H282" i="6"/>
  <c r="P282" i="6"/>
  <c r="N281" i="6"/>
  <c r="H281" i="6"/>
  <c r="P281" i="6"/>
  <c r="H280" i="6"/>
  <c r="P280" i="6"/>
  <c r="N279" i="6"/>
  <c r="H279" i="6"/>
  <c r="P279" i="6"/>
  <c r="N278" i="6"/>
  <c r="H278" i="6"/>
  <c r="P278" i="6"/>
  <c r="N277" i="6"/>
  <c r="H277" i="6"/>
  <c r="P277" i="6"/>
  <c r="H276" i="6"/>
  <c r="P276" i="6"/>
  <c r="N275" i="6"/>
  <c r="H275" i="6"/>
  <c r="P275" i="6"/>
  <c r="N274" i="6"/>
  <c r="H274" i="6"/>
  <c r="P274" i="6"/>
  <c r="N273" i="6"/>
  <c r="H273" i="6"/>
  <c r="P273" i="6"/>
  <c r="H272" i="6"/>
  <c r="P272" i="6"/>
  <c r="H271" i="6"/>
  <c r="P271" i="6"/>
  <c r="H270" i="6"/>
  <c r="P270" i="6"/>
  <c r="H269" i="6"/>
  <c r="P269" i="6"/>
  <c r="N268" i="6"/>
  <c r="H268" i="6"/>
  <c r="P268" i="6"/>
  <c r="N267" i="6"/>
  <c r="N266" i="6"/>
  <c r="H266" i="6"/>
  <c r="P266" i="6"/>
  <c r="N265" i="6"/>
  <c r="H265" i="6"/>
  <c r="P265" i="6"/>
  <c r="N264" i="6"/>
  <c r="H264" i="6"/>
  <c r="P264" i="6"/>
  <c r="H263" i="6"/>
  <c r="P263" i="6"/>
  <c r="N262" i="6"/>
  <c r="H262" i="6"/>
  <c r="P262" i="6"/>
  <c r="H261" i="6"/>
  <c r="P261" i="6"/>
  <c r="N260" i="6"/>
  <c r="H260" i="6"/>
  <c r="P260" i="6"/>
  <c r="N259" i="6"/>
  <c r="H259" i="6"/>
  <c r="P259" i="6"/>
  <c r="H258" i="6"/>
  <c r="P258" i="6"/>
  <c r="H257" i="6"/>
  <c r="P257" i="6"/>
  <c r="N256" i="6"/>
  <c r="H256" i="6"/>
  <c r="P256" i="6"/>
  <c r="N255" i="6"/>
  <c r="H255" i="6"/>
  <c r="P255" i="6"/>
  <c r="N254" i="6"/>
  <c r="H254" i="6"/>
  <c r="P254" i="6"/>
  <c r="N253" i="6"/>
  <c r="H253" i="6"/>
  <c r="P253" i="6"/>
  <c r="N252" i="6"/>
  <c r="H252" i="6"/>
  <c r="P252" i="6"/>
  <c r="N251" i="6"/>
  <c r="H251" i="6"/>
  <c r="P251" i="6"/>
  <c r="N250" i="6"/>
  <c r="H250" i="6"/>
  <c r="P250" i="6"/>
  <c r="N249" i="6"/>
  <c r="H249" i="6"/>
  <c r="P249" i="6"/>
  <c r="N248" i="6"/>
  <c r="H248" i="6"/>
  <c r="P248" i="6"/>
  <c r="H247" i="6"/>
  <c r="P247" i="6"/>
  <c r="N246" i="6"/>
  <c r="H246" i="6"/>
  <c r="P246" i="6"/>
  <c r="N245" i="6"/>
  <c r="H245" i="6"/>
  <c r="P245" i="6"/>
  <c r="N244" i="6"/>
  <c r="H244" i="6"/>
  <c r="P244" i="6"/>
  <c r="H243" i="6"/>
  <c r="P243" i="6"/>
  <c r="N242" i="6"/>
  <c r="H242" i="6"/>
  <c r="P242" i="6"/>
  <c r="N241" i="6"/>
  <c r="H241" i="6"/>
  <c r="P241" i="6"/>
  <c r="H240" i="6"/>
  <c r="P240" i="6"/>
  <c r="H239" i="6"/>
  <c r="P239" i="6"/>
  <c r="N238" i="6"/>
  <c r="H238" i="6"/>
  <c r="P238" i="6"/>
  <c r="N237" i="6"/>
  <c r="H237" i="6"/>
  <c r="P237" i="6"/>
  <c r="N236" i="6"/>
  <c r="H236" i="6"/>
  <c r="P236" i="6"/>
  <c r="H235" i="6"/>
  <c r="P235" i="6"/>
  <c r="H234" i="6"/>
  <c r="P234" i="6"/>
  <c r="N233" i="6"/>
  <c r="H233" i="6"/>
  <c r="P233" i="6"/>
  <c r="N232" i="6"/>
  <c r="H232" i="6"/>
  <c r="P232" i="6"/>
  <c r="N231" i="6"/>
  <c r="H231" i="6"/>
  <c r="P231" i="6"/>
  <c r="N230" i="6"/>
  <c r="H230" i="6"/>
  <c r="P230" i="6"/>
  <c r="N229" i="6"/>
  <c r="H229" i="6"/>
  <c r="P229" i="6"/>
  <c r="N228" i="6"/>
  <c r="H228" i="6"/>
  <c r="P228" i="6"/>
  <c r="N227" i="6"/>
  <c r="N226" i="6"/>
  <c r="H226" i="6"/>
  <c r="P226" i="6"/>
  <c r="N225" i="6"/>
  <c r="H225" i="6"/>
  <c r="P225" i="6"/>
  <c r="N224" i="6"/>
  <c r="H224" i="6"/>
  <c r="P224" i="6"/>
  <c r="N223" i="6"/>
  <c r="H223" i="6"/>
  <c r="P223" i="6"/>
  <c r="N222" i="6"/>
  <c r="H222" i="6"/>
  <c r="P222" i="6"/>
  <c r="N221" i="6"/>
  <c r="H221" i="6"/>
  <c r="P221" i="6"/>
  <c r="H220" i="6"/>
  <c r="P220" i="6"/>
  <c r="H219" i="6"/>
  <c r="P219" i="6"/>
  <c r="N218" i="6"/>
  <c r="N217" i="6"/>
  <c r="H217" i="6"/>
  <c r="P217" i="6"/>
  <c r="N216" i="6"/>
  <c r="H216" i="6"/>
  <c r="P216" i="6"/>
  <c r="N215" i="6"/>
  <c r="H215" i="6"/>
  <c r="P215" i="6"/>
  <c r="N214" i="6"/>
  <c r="H214" i="6"/>
  <c r="P214" i="6"/>
  <c r="N213" i="6"/>
  <c r="H213" i="6"/>
  <c r="P213" i="6"/>
  <c r="N212" i="6"/>
  <c r="H212" i="6"/>
  <c r="P212" i="6"/>
  <c r="N211" i="6"/>
  <c r="H211" i="6"/>
  <c r="P211" i="6"/>
  <c r="N210" i="6"/>
  <c r="H210" i="6"/>
  <c r="P210" i="6"/>
  <c r="N209" i="6"/>
  <c r="H209" i="6"/>
  <c r="P209" i="6"/>
  <c r="N208" i="6"/>
  <c r="H208" i="6"/>
  <c r="P208" i="6"/>
  <c r="H207" i="6"/>
  <c r="P207" i="6"/>
  <c r="N206" i="6"/>
  <c r="H206" i="6"/>
  <c r="P206" i="6"/>
  <c r="N205" i="6"/>
  <c r="H205" i="6"/>
  <c r="P205" i="6"/>
  <c r="N204" i="6"/>
  <c r="H204" i="6"/>
  <c r="P204" i="6"/>
  <c r="N203" i="6"/>
  <c r="H203" i="6"/>
  <c r="P203" i="6"/>
  <c r="H202" i="6"/>
  <c r="P202" i="6"/>
  <c r="H201" i="6"/>
  <c r="P201" i="6"/>
  <c r="H200" i="6"/>
  <c r="P200" i="6"/>
  <c r="H199" i="6"/>
  <c r="P199" i="6"/>
  <c r="N198" i="6"/>
  <c r="H198" i="6"/>
  <c r="P198" i="6"/>
  <c r="N197" i="6"/>
  <c r="H197" i="6"/>
  <c r="P197" i="6"/>
  <c r="H196" i="6"/>
  <c r="P196" i="6"/>
  <c r="N195" i="6"/>
  <c r="H195" i="6"/>
  <c r="P195" i="6"/>
  <c r="N194" i="6"/>
  <c r="H194" i="6"/>
  <c r="P194" i="6"/>
  <c r="N193" i="6"/>
  <c r="H193" i="6"/>
  <c r="P193" i="6"/>
  <c r="H192" i="6"/>
  <c r="P192" i="6"/>
  <c r="N191" i="6"/>
  <c r="H191" i="6"/>
  <c r="P191" i="6"/>
  <c r="N190" i="6"/>
  <c r="H190" i="6"/>
  <c r="P190" i="6"/>
  <c r="N189" i="6"/>
  <c r="H189" i="6"/>
  <c r="P189" i="6"/>
  <c r="H188" i="6"/>
  <c r="P188" i="6"/>
  <c r="N187" i="6"/>
  <c r="H187" i="6"/>
  <c r="P187" i="6"/>
  <c r="H186" i="6"/>
  <c r="P186" i="6"/>
  <c r="N185" i="6"/>
  <c r="H185" i="6"/>
  <c r="P185" i="6"/>
  <c r="N184" i="6"/>
  <c r="H184" i="6"/>
  <c r="P184" i="6"/>
  <c r="N183" i="6"/>
  <c r="H183" i="6"/>
  <c r="P183" i="6"/>
  <c r="N182" i="6"/>
  <c r="H182" i="6"/>
  <c r="P182" i="6"/>
  <c r="H181" i="6"/>
  <c r="P181" i="6"/>
  <c r="N180" i="6"/>
  <c r="H180" i="6"/>
  <c r="P180" i="6"/>
  <c r="N179" i="6"/>
  <c r="H179" i="6"/>
  <c r="P179" i="6"/>
  <c r="N178" i="6"/>
  <c r="H178" i="6"/>
  <c r="P178" i="6"/>
  <c r="N177" i="6"/>
  <c r="H177" i="6"/>
  <c r="P177" i="6"/>
  <c r="H176" i="6"/>
  <c r="P176" i="6"/>
  <c r="N175" i="6"/>
  <c r="H175" i="6"/>
  <c r="P175" i="6"/>
  <c r="N174" i="6"/>
  <c r="H174" i="6"/>
  <c r="P174" i="6"/>
  <c r="H173" i="6"/>
  <c r="P173" i="6"/>
  <c r="H172" i="6"/>
  <c r="P172" i="6"/>
  <c r="N171" i="6"/>
  <c r="H171" i="6"/>
  <c r="P171" i="6"/>
  <c r="N170" i="6"/>
  <c r="H170" i="6"/>
  <c r="P170" i="6"/>
  <c r="H169" i="6"/>
  <c r="P169" i="6"/>
  <c r="N168" i="6"/>
  <c r="N167" i="6"/>
  <c r="H166" i="6"/>
  <c r="P166" i="6"/>
  <c r="N165" i="6"/>
  <c r="H165" i="6"/>
  <c r="P165" i="6"/>
  <c r="N164" i="6"/>
  <c r="H164" i="6"/>
  <c r="P164" i="6"/>
  <c r="N163" i="6"/>
  <c r="H163" i="6"/>
  <c r="P163" i="6"/>
  <c r="N162" i="6"/>
  <c r="H162" i="6"/>
  <c r="P162" i="6"/>
  <c r="H161" i="6"/>
  <c r="P161" i="6"/>
  <c r="H160" i="6"/>
  <c r="P160" i="6"/>
  <c r="N159" i="6"/>
  <c r="H159" i="6"/>
  <c r="P159" i="6"/>
  <c r="N158" i="6"/>
  <c r="H158" i="6"/>
  <c r="P158" i="6"/>
  <c r="H157" i="6"/>
  <c r="P157" i="6"/>
  <c r="H156" i="6"/>
  <c r="P156" i="6"/>
  <c r="N155" i="6"/>
  <c r="H155" i="6"/>
  <c r="P155" i="6"/>
  <c r="N154" i="6"/>
  <c r="H154" i="6"/>
  <c r="P154" i="6"/>
  <c r="N153" i="6"/>
  <c r="H153" i="6"/>
  <c r="P153" i="6"/>
  <c r="N152" i="6"/>
  <c r="H152" i="6"/>
  <c r="P152" i="6"/>
  <c r="N151" i="6"/>
  <c r="H151" i="6"/>
  <c r="P151" i="6"/>
  <c r="H150" i="6"/>
  <c r="P150" i="6"/>
  <c r="N149" i="6"/>
  <c r="N148" i="6"/>
  <c r="H148" i="6"/>
  <c r="P148" i="6"/>
  <c r="N147" i="6"/>
  <c r="H147" i="6"/>
  <c r="P147" i="6"/>
  <c r="N146" i="6"/>
  <c r="H146" i="6"/>
  <c r="P146" i="6"/>
  <c r="N145" i="6"/>
  <c r="H145" i="6"/>
  <c r="P145" i="6"/>
  <c r="N144" i="6"/>
  <c r="H144" i="6"/>
  <c r="P144" i="6"/>
  <c r="N143" i="6"/>
  <c r="N142" i="6"/>
  <c r="G142" i="6"/>
  <c r="H142" i="6"/>
  <c r="P142" i="6"/>
  <c r="N141" i="6"/>
  <c r="H141" i="6"/>
  <c r="P141" i="6"/>
  <c r="N140" i="6"/>
  <c r="H140" i="6"/>
  <c r="P140" i="6"/>
  <c r="N139" i="6"/>
  <c r="H139" i="6"/>
  <c r="P139" i="6"/>
  <c r="N138" i="6"/>
  <c r="H138" i="6"/>
  <c r="P138" i="6"/>
  <c r="N137" i="6"/>
  <c r="H137" i="6"/>
  <c r="P137" i="6"/>
  <c r="N136" i="6"/>
  <c r="H136" i="6"/>
  <c r="P136" i="6"/>
  <c r="N135" i="6"/>
  <c r="H135" i="6"/>
  <c r="P135" i="6"/>
  <c r="N134" i="6"/>
  <c r="H134" i="6"/>
  <c r="P134" i="6"/>
  <c r="N133" i="6"/>
  <c r="N132" i="6"/>
  <c r="H132" i="6"/>
  <c r="P132" i="6"/>
  <c r="N131" i="6"/>
  <c r="H131" i="6"/>
  <c r="P131" i="6"/>
  <c r="N130" i="6"/>
  <c r="H130" i="6"/>
  <c r="P130" i="6"/>
  <c r="N129" i="6"/>
  <c r="H129" i="6"/>
  <c r="P129" i="6"/>
  <c r="N128" i="6"/>
  <c r="H128" i="6"/>
  <c r="P128" i="6"/>
  <c r="N127" i="6"/>
  <c r="H127" i="6"/>
  <c r="P127" i="6"/>
  <c r="N126" i="6"/>
  <c r="H126" i="6"/>
  <c r="P126" i="6"/>
  <c r="N125" i="6"/>
  <c r="H125" i="6"/>
  <c r="P125" i="6"/>
  <c r="N123" i="6"/>
  <c r="H123" i="6"/>
  <c r="P123" i="6"/>
  <c r="N122" i="6"/>
  <c r="N121" i="6"/>
  <c r="H121" i="6"/>
  <c r="P121" i="6"/>
  <c r="N120" i="6"/>
  <c r="H120" i="6"/>
  <c r="P120" i="6"/>
  <c r="H119" i="6"/>
  <c r="P119" i="6"/>
  <c r="H118" i="6"/>
  <c r="P118" i="6"/>
  <c r="N117" i="6"/>
  <c r="H117" i="6"/>
  <c r="P117" i="6"/>
  <c r="H115" i="6"/>
  <c r="P115" i="6"/>
  <c r="N114" i="6"/>
  <c r="H114" i="6"/>
  <c r="P114" i="6"/>
  <c r="N113" i="6"/>
  <c r="H113" i="6"/>
  <c r="P113" i="6"/>
  <c r="N112" i="6"/>
  <c r="H111" i="6"/>
  <c r="P111" i="6"/>
  <c r="N110" i="6"/>
  <c r="H110" i="6"/>
  <c r="P110" i="6"/>
  <c r="N109" i="6"/>
  <c r="H109" i="6"/>
  <c r="P109" i="6"/>
  <c r="N108" i="6"/>
  <c r="N107" i="6"/>
  <c r="H107" i="6"/>
  <c r="P107" i="6"/>
  <c r="N106" i="6"/>
  <c r="H106" i="6"/>
  <c r="P106" i="6"/>
  <c r="N105" i="6"/>
  <c r="H105" i="6"/>
  <c r="P105" i="6"/>
  <c r="H104" i="6"/>
  <c r="P104" i="6"/>
  <c r="H103" i="6"/>
  <c r="P103" i="6"/>
  <c r="F103" i="6"/>
  <c r="N536" i="6"/>
  <c r="N102" i="6"/>
  <c r="H102" i="6"/>
  <c r="P102" i="6"/>
  <c r="N101" i="6"/>
  <c r="H101" i="6"/>
  <c r="P101" i="6"/>
  <c r="N100" i="6"/>
  <c r="H100" i="6"/>
  <c r="P100" i="6"/>
  <c r="N99" i="6"/>
  <c r="H99" i="6"/>
  <c r="P99" i="6"/>
  <c r="N98" i="6"/>
  <c r="H98" i="6"/>
  <c r="P98" i="6"/>
  <c r="N97" i="6"/>
  <c r="H97" i="6"/>
  <c r="P97" i="6"/>
  <c r="N96" i="6"/>
  <c r="H96" i="6"/>
  <c r="P96" i="6"/>
  <c r="N95" i="6"/>
  <c r="H95" i="6"/>
  <c r="P95" i="6"/>
  <c r="N94" i="6"/>
  <c r="H94" i="6"/>
  <c r="P94" i="6"/>
  <c r="N93" i="6"/>
  <c r="H93" i="6"/>
  <c r="P93" i="6"/>
  <c r="N92" i="6"/>
  <c r="H92" i="6"/>
  <c r="P92" i="6"/>
  <c r="N91" i="6"/>
  <c r="H91" i="6"/>
  <c r="P91" i="6"/>
  <c r="N90" i="6"/>
  <c r="H90" i="6"/>
  <c r="P90" i="6"/>
  <c r="N89" i="6"/>
  <c r="H89" i="6"/>
  <c r="P89" i="6"/>
  <c r="N88" i="6"/>
  <c r="H88" i="6"/>
  <c r="P88" i="6"/>
  <c r="N87" i="6"/>
  <c r="G87" i="6"/>
  <c r="H87" i="6"/>
  <c r="P87" i="6"/>
  <c r="N86" i="6"/>
  <c r="N85" i="6"/>
  <c r="N83" i="6"/>
  <c r="N81" i="6"/>
  <c r="I81" i="6"/>
  <c r="N80" i="6"/>
  <c r="I80" i="6"/>
  <c r="N79" i="6"/>
  <c r="I79" i="6"/>
  <c r="H79" i="6"/>
  <c r="P79" i="6"/>
  <c r="N78" i="6"/>
  <c r="I78" i="6"/>
  <c r="H78" i="6"/>
  <c r="P78" i="6"/>
  <c r="N77" i="6"/>
  <c r="I77" i="6"/>
  <c r="H77" i="6"/>
  <c r="P77" i="6"/>
  <c r="N76" i="6"/>
  <c r="I76" i="6"/>
  <c r="H76" i="6"/>
  <c r="P76" i="6"/>
  <c r="N75" i="6"/>
  <c r="I75" i="6"/>
  <c r="H75" i="6"/>
  <c r="P75" i="6"/>
  <c r="N74" i="6"/>
  <c r="I74" i="6"/>
  <c r="H74" i="6"/>
  <c r="P74" i="6"/>
  <c r="N73" i="6"/>
  <c r="I73" i="6"/>
  <c r="H73" i="6"/>
  <c r="P73" i="6"/>
  <c r="N72" i="6"/>
  <c r="I72" i="6"/>
  <c r="H72" i="6"/>
  <c r="P72" i="6"/>
  <c r="N71" i="6"/>
  <c r="I71" i="6"/>
  <c r="H71" i="6"/>
  <c r="P71" i="6"/>
  <c r="N70" i="6"/>
  <c r="I70" i="6"/>
  <c r="H70" i="6"/>
  <c r="P70" i="6"/>
  <c r="I69" i="6"/>
  <c r="E69" i="6"/>
  <c r="N172" i="6"/>
  <c r="I68" i="6"/>
  <c r="E68" i="6"/>
  <c r="I67" i="6"/>
  <c r="E67" i="6"/>
  <c r="N16" i="6"/>
  <c r="I66" i="6"/>
  <c r="E66" i="6"/>
  <c r="N561" i="6"/>
  <c r="I65" i="6"/>
  <c r="E65" i="6"/>
  <c r="N258" i="6"/>
  <c r="N64" i="6"/>
  <c r="I64" i="6"/>
  <c r="H64" i="6"/>
  <c r="P64" i="6"/>
  <c r="N63" i="6"/>
  <c r="I63" i="6"/>
  <c r="H63" i="6"/>
  <c r="P63" i="6"/>
  <c r="N62" i="6"/>
  <c r="N61" i="6"/>
  <c r="N60" i="6"/>
  <c r="N59" i="6"/>
  <c r="N58" i="6"/>
  <c r="H58" i="6"/>
  <c r="P58" i="6"/>
  <c r="N57" i="6"/>
  <c r="N56" i="6"/>
  <c r="N55" i="6"/>
  <c r="I55" i="6"/>
  <c r="N54" i="6"/>
  <c r="I54" i="6"/>
  <c r="H54" i="6"/>
  <c r="P54" i="6"/>
  <c r="N53" i="6"/>
  <c r="I53" i="6"/>
  <c r="H53" i="6"/>
  <c r="P53" i="6"/>
  <c r="N52" i="6"/>
  <c r="I52" i="6"/>
  <c r="H52" i="6"/>
  <c r="P52" i="6"/>
  <c r="N51" i="6"/>
  <c r="I51" i="6"/>
  <c r="H51" i="6"/>
  <c r="P51" i="6"/>
  <c r="N50" i="6"/>
  <c r="I50" i="6"/>
  <c r="H50" i="6"/>
  <c r="P50" i="6"/>
  <c r="N49" i="6"/>
  <c r="I49" i="6"/>
  <c r="H49" i="6"/>
  <c r="P49" i="6"/>
  <c r="N48" i="6"/>
  <c r="I48" i="6"/>
  <c r="H48" i="6"/>
  <c r="P48" i="6"/>
  <c r="N47" i="6"/>
  <c r="I47" i="6"/>
  <c r="H47" i="6"/>
  <c r="P47" i="6"/>
  <c r="N46" i="6"/>
  <c r="I46" i="6"/>
  <c r="H46" i="6"/>
  <c r="P46" i="6"/>
  <c r="N45" i="6"/>
  <c r="I45" i="6"/>
  <c r="H45" i="6"/>
  <c r="P45" i="6"/>
  <c r="I44" i="6"/>
  <c r="H44" i="6"/>
  <c r="P44" i="6"/>
  <c r="I43" i="6"/>
  <c r="H43" i="6"/>
  <c r="P43" i="6"/>
  <c r="I42" i="6"/>
  <c r="H42" i="6"/>
  <c r="P42" i="6"/>
  <c r="N41" i="6"/>
  <c r="I41" i="6"/>
  <c r="H41" i="6"/>
  <c r="P41" i="6"/>
  <c r="N40" i="6"/>
  <c r="I40" i="6"/>
  <c r="H40" i="6"/>
  <c r="P40" i="6"/>
  <c r="N39" i="6"/>
  <c r="I39" i="6"/>
  <c r="H39" i="6"/>
  <c r="P39" i="6"/>
  <c r="N38" i="6"/>
  <c r="I38" i="6"/>
  <c r="H38" i="6"/>
  <c r="P38" i="6"/>
  <c r="N37" i="6"/>
  <c r="H37" i="6"/>
  <c r="P37" i="6"/>
  <c r="G37" i="6"/>
  <c r="I37" i="6"/>
  <c r="N36" i="6"/>
  <c r="I36" i="6"/>
  <c r="H36" i="6"/>
  <c r="P36" i="6"/>
  <c r="N35" i="6"/>
  <c r="I35" i="6"/>
  <c r="H35" i="6"/>
  <c r="P35" i="6"/>
  <c r="N34" i="6"/>
  <c r="I34" i="6"/>
  <c r="H34" i="6"/>
  <c r="P34" i="6"/>
  <c r="N33" i="6"/>
  <c r="I33" i="6"/>
  <c r="N32" i="6"/>
  <c r="I32" i="6"/>
  <c r="H32" i="6"/>
  <c r="P32" i="6"/>
  <c r="N31" i="6"/>
  <c r="I31" i="6"/>
  <c r="H31" i="6"/>
  <c r="P31" i="6"/>
  <c r="N30" i="6"/>
  <c r="I30" i="6"/>
  <c r="H30" i="6"/>
  <c r="P30" i="6"/>
  <c r="N29" i="6"/>
  <c r="I29" i="6"/>
  <c r="H29" i="6"/>
  <c r="P29" i="6"/>
  <c r="N28" i="6"/>
  <c r="I28" i="6"/>
  <c r="H28" i="6"/>
  <c r="P28" i="6"/>
  <c r="N27" i="6"/>
  <c r="I27" i="6"/>
  <c r="H27" i="6"/>
  <c r="P27" i="6"/>
  <c r="N26" i="6"/>
  <c r="I26" i="6"/>
  <c r="H26" i="6"/>
  <c r="P26" i="6"/>
  <c r="N25" i="6"/>
  <c r="I25" i="6"/>
  <c r="H25" i="6"/>
  <c r="P25" i="6"/>
  <c r="N24" i="6"/>
  <c r="I24" i="6"/>
  <c r="H24" i="6"/>
  <c r="P24" i="6"/>
  <c r="N23" i="6"/>
  <c r="I23" i="6"/>
  <c r="H23" i="6"/>
  <c r="P23" i="6"/>
  <c r="N22" i="6"/>
  <c r="I22" i="6"/>
  <c r="H22" i="6"/>
  <c r="P22" i="6"/>
  <c r="N21" i="6"/>
  <c r="H21" i="6"/>
  <c r="P21" i="6"/>
  <c r="G21" i="6"/>
  <c r="I21" i="6"/>
  <c r="N20" i="6"/>
  <c r="I20" i="6"/>
  <c r="H20" i="6"/>
  <c r="P20" i="6"/>
  <c r="N19" i="6"/>
  <c r="I19" i="6"/>
  <c r="H19" i="6"/>
  <c r="P19" i="6"/>
  <c r="N18" i="6"/>
  <c r="I18" i="6"/>
  <c r="H18" i="6"/>
  <c r="P18" i="6"/>
  <c r="N17" i="6"/>
  <c r="I17" i="6"/>
  <c r="H17" i="6"/>
  <c r="P17" i="6"/>
  <c r="I16" i="6"/>
  <c r="H16" i="6"/>
  <c r="P16" i="6"/>
  <c r="N15" i="6"/>
  <c r="I15" i="6"/>
  <c r="H15" i="6"/>
  <c r="P15" i="6"/>
  <c r="I14" i="6"/>
  <c r="H14" i="6"/>
  <c r="P14" i="6"/>
  <c r="I13" i="6"/>
  <c r="H13" i="6"/>
  <c r="P13" i="6"/>
  <c r="N12" i="6"/>
  <c r="I12" i="6"/>
  <c r="H12" i="6"/>
  <c r="P12" i="6"/>
  <c r="N11" i="6"/>
  <c r="I11" i="6"/>
  <c r="H11" i="6"/>
  <c r="P11" i="6"/>
  <c r="N10" i="6"/>
  <c r="I10" i="6"/>
  <c r="H10" i="6"/>
  <c r="P10" i="6"/>
  <c r="N9" i="6"/>
  <c r="I9" i="6"/>
  <c r="H9" i="6"/>
  <c r="P9" i="6"/>
  <c r="N8" i="6"/>
  <c r="I8" i="6"/>
  <c r="H8" i="6"/>
  <c r="P8" i="6"/>
  <c r="N7" i="6"/>
  <c r="I7" i="6"/>
  <c r="H7" i="6"/>
  <c r="P7" i="6"/>
  <c r="N6" i="6"/>
  <c r="H6" i="6"/>
  <c r="N5" i="6"/>
  <c r="H5" i="6"/>
  <c r="N4" i="6"/>
  <c r="H4" i="6"/>
  <c r="P4" i="6"/>
  <c r="N3" i="6"/>
  <c r="H3" i="6"/>
  <c r="P3" i="6"/>
  <c r="W55" i="4"/>
  <c r="X158" i="4"/>
  <c r="F467" i="7"/>
  <c r="G467" i="7"/>
  <c r="F543" i="7"/>
  <c r="G543" i="7"/>
  <c r="G531" i="7"/>
  <c r="E584" i="7"/>
  <c r="F519" i="7"/>
  <c r="G519" i="7"/>
  <c r="G505" i="7"/>
  <c r="G2" i="7"/>
  <c r="B19" i="2"/>
  <c r="B6" i="2"/>
  <c r="G17" i="7"/>
  <c r="D6" i="2"/>
  <c r="F352" i="7"/>
  <c r="G352" i="7"/>
  <c r="F401" i="7"/>
  <c r="G401" i="7"/>
  <c r="G400" i="7"/>
  <c r="F431" i="7"/>
  <c r="G431" i="7"/>
  <c r="G430" i="7"/>
  <c r="F583" i="7"/>
  <c r="G583" i="7"/>
  <c r="G582" i="7"/>
  <c r="F445" i="7"/>
  <c r="G445" i="7"/>
  <c r="G444" i="7"/>
  <c r="F521" i="7"/>
  <c r="G521" i="7"/>
  <c r="G399" i="7"/>
  <c r="F6" i="2"/>
  <c r="F491" i="7"/>
  <c r="G491" i="7"/>
  <c r="F374" i="7"/>
  <c r="G374" i="7"/>
  <c r="G353" i="7"/>
  <c r="F523" i="7"/>
  <c r="G523" i="7"/>
  <c r="F129" i="7"/>
  <c r="F469" i="7"/>
  <c r="G469" i="7"/>
  <c r="G468" i="7"/>
  <c r="E6" i="2"/>
  <c r="F237" i="7"/>
  <c r="F16" i="7"/>
  <c r="G6" i="2"/>
  <c r="F443" i="7"/>
  <c r="G443" i="7"/>
  <c r="G432" i="7"/>
  <c r="N181" i="6"/>
  <c r="N199" i="6"/>
  <c r="N451" i="6"/>
  <c r="N436" i="6"/>
  <c r="N673" i="6"/>
  <c r="N111" i="6"/>
  <c r="N563" i="6"/>
  <c r="N597" i="6"/>
  <c r="N156" i="6"/>
  <c r="N348" i="6"/>
  <c r="N382" i="6"/>
  <c r="N103" i="6"/>
  <c r="N235" i="6"/>
  <c r="N270" i="6"/>
  <c r="N340" i="6"/>
  <c r="N357" i="6"/>
  <c r="N437" i="6"/>
  <c r="N513" i="6"/>
  <c r="N124" i="6"/>
  <c r="N166" i="6"/>
  <c r="N201" i="6"/>
  <c r="N383" i="6"/>
  <c r="N480" i="6"/>
  <c r="N522" i="6"/>
  <c r="N633" i="6"/>
  <c r="N727" i="6"/>
  <c r="N763" i="6"/>
  <c r="N804" i="6"/>
  <c r="N176" i="6"/>
  <c r="N271" i="6"/>
  <c r="N288" i="6"/>
  <c r="N305" i="6"/>
  <c r="N366" i="6"/>
  <c r="N505" i="6"/>
  <c r="N565" i="6"/>
  <c r="N582" i="6"/>
  <c r="N13" i="6"/>
  <c r="N150" i="6"/>
  <c r="N202" i="6"/>
  <c r="N219" i="6"/>
  <c r="N489" i="6"/>
  <c r="N557" i="6"/>
  <c r="N634" i="6"/>
  <c r="N781" i="6"/>
  <c r="N805" i="6"/>
  <c r="N263" i="6"/>
  <c r="N289" i="6"/>
  <c r="N473" i="6"/>
  <c r="N656" i="6"/>
  <c r="N339" i="6"/>
  <c r="N364" i="6"/>
  <c r="N334" i="6"/>
  <c r="N652" i="6"/>
  <c r="N160" i="6"/>
  <c r="N186" i="6"/>
  <c r="N247" i="6"/>
  <c r="N516" i="6"/>
  <c r="N542" i="6"/>
  <c r="N609" i="6"/>
  <c r="N441" i="6"/>
  <c r="N517" i="6"/>
  <c r="N610" i="6"/>
  <c r="N645" i="6"/>
  <c r="N722" i="6"/>
  <c r="N544" i="6"/>
  <c r="N775" i="6"/>
  <c r="N188" i="6"/>
  <c r="N476" i="6"/>
  <c r="N510" i="6"/>
  <c r="N595" i="6"/>
  <c r="N603" i="6"/>
  <c r="N621" i="6"/>
  <c r="N646" i="6"/>
  <c r="N723" i="6"/>
  <c r="H65" i="6"/>
  <c r="P65" i="6"/>
  <c r="N243" i="6"/>
  <c r="N303" i="6"/>
  <c r="N169" i="6"/>
  <c r="N413" i="6"/>
  <c r="N448" i="6"/>
  <c r="N601" i="6"/>
  <c r="N703" i="6"/>
  <c r="N118" i="6"/>
  <c r="N283" i="6"/>
  <c r="N405" i="6"/>
  <c r="N467" i="6"/>
  <c r="N42" i="6"/>
  <c r="N84" i="6"/>
  <c r="N276" i="6"/>
  <c r="N768" i="6"/>
  <c r="I5" i="6"/>
  <c r="P5" i="6"/>
  <c r="G4" i="2"/>
  <c r="P704" i="6"/>
  <c r="I6" i="6"/>
  <c r="P6" i="6"/>
  <c r="F4" i="2"/>
  <c r="E4" i="2"/>
  <c r="I3" i="6"/>
  <c r="B4" i="2"/>
  <c r="F314" i="7"/>
  <c r="G304" i="7"/>
  <c r="E19" i="2"/>
  <c r="F174" i="7"/>
  <c r="G49" i="7"/>
  <c r="F78" i="7"/>
  <c r="G130" i="7"/>
  <c r="F398" i="7"/>
  <c r="G398" i="7"/>
  <c r="G176" i="7"/>
  <c r="F14" i="7"/>
  <c r="F504" i="7"/>
  <c r="G504" i="7"/>
  <c r="F350" i="7"/>
  <c r="F48" i="7"/>
  <c r="F465" i="7"/>
  <c r="G465" i="7"/>
  <c r="F489" i="7"/>
  <c r="G489" i="7"/>
  <c r="F414" i="7"/>
  <c r="G414" i="7"/>
  <c r="F564" i="7"/>
  <c r="G564" i="7"/>
  <c r="F581" i="7"/>
  <c r="G581" i="7"/>
  <c r="F326" i="7"/>
  <c r="F303" i="7"/>
  <c r="F471" i="7"/>
  <c r="G471" i="7"/>
  <c r="G238" i="7"/>
  <c r="G80" i="7"/>
  <c r="N649" i="6"/>
  <c r="N412" i="6"/>
  <c r="N433" i="6"/>
  <c r="N508" i="6"/>
  <c r="N280" i="6"/>
  <c r="N612" i="6"/>
  <c r="N669" i="6"/>
  <c r="N671" i="6"/>
  <c r="N526" i="6"/>
  <c r="N543" i="6"/>
  <c r="N308" i="6"/>
  <c r="N104" i="6"/>
  <c r="N452" i="6"/>
  <c r="N335" i="6"/>
  <c r="N717" i="6"/>
  <c r="N776" i="6"/>
  <c r="N67" i="6"/>
  <c r="H67" i="6"/>
  <c r="P67" i="6"/>
  <c r="N119" i="6"/>
  <c r="N272" i="6"/>
  <c r="N261" i="6"/>
  <c r="N68" i="6"/>
  <c r="N619" i="6"/>
  <c r="N82" i="6"/>
  <c r="N43" i="6"/>
  <c r="N367" i="6"/>
  <c r="N173" i="6"/>
  <c r="N207" i="6"/>
  <c r="N368" i="6"/>
  <c r="N395" i="6"/>
  <c r="N44" i="6"/>
  <c r="N739" i="6"/>
  <c r="N492" i="6"/>
  <c r="N69" i="6"/>
  <c r="N708" i="6"/>
  <c r="N618" i="6"/>
  <c r="N778" i="6"/>
  <c r="N257" i="6"/>
  <c r="N462" i="6"/>
  <c r="N692" i="6"/>
  <c r="N116" i="6"/>
  <c r="H69" i="6"/>
  <c r="P69" i="6"/>
  <c r="N411" i="6"/>
  <c r="N594" i="6"/>
  <c r="N712" i="6"/>
  <c r="N65" i="6"/>
  <c r="N384" i="6"/>
  <c r="N761" i="6"/>
  <c r="N422" i="6"/>
  <c r="N625" i="6"/>
  <c r="N416" i="6"/>
  <c r="N157" i="6"/>
  <c r="N571" i="6"/>
  <c r="N731" i="6"/>
  <c r="N640" i="6"/>
  <c r="N240" i="6"/>
  <c r="N14" i="6"/>
  <c r="N427" i="6"/>
  <c r="N192" i="6"/>
  <c r="N326" i="6"/>
  <c r="N115" i="6"/>
  <c r="N535" i="6"/>
  <c r="N200" i="6"/>
  <c r="N220" i="6"/>
  <c r="H68" i="6"/>
  <c r="P68" i="6"/>
  <c r="I4" i="6"/>
  <c r="N161" i="6"/>
  <c r="N294" i="6"/>
  <c r="N306" i="6"/>
  <c r="N754" i="6"/>
  <c r="N350" i="6"/>
  <c r="N762" i="6"/>
  <c r="H66" i="6"/>
  <c r="P66" i="6"/>
  <c r="N269" i="6"/>
  <c r="N333" i="6"/>
  <c r="N735" i="6"/>
  <c r="N665" i="6"/>
  <c r="N390" i="6"/>
  <c r="N374" i="6"/>
  <c r="N611" i="6"/>
  <c r="N239" i="6"/>
  <c r="N702" i="6"/>
  <c r="N509" i="6"/>
  <c r="N293" i="6"/>
  <c r="N234" i="6"/>
  <c r="N745" i="6"/>
  <c r="N729" i="6"/>
  <c r="N325" i="6"/>
  <c r="N415" i="6"/>
  <c r="N66" i="6"/>
  <c r="N316" i="6"/>
  <c r="N196" i="6"/>
  <c r="D19" i="2"/>
  <c r="F19" i="2"/>
  <c r="F584" i="7"/>
  <c r="G584" i="7"/>
  <c r="G17" i="2" a="1"/>
  <c r="G17" i="2"/>
  <c r="E17" i="2" a="1"/>
  <c r="E17" i="2"/>
  <c r="B17" i="2" a="1"/>
  <c r="B17" i="2"/>
  <c r="F17" i="2" a="1"/>
  <c r="F17" i="2"/>
  <c r="C17" i="2" a="1"/>
  <c r="C17" i="2"/>
  <c r="D17" i="2" a="1"/>
  <c r="D17" i="2"/>
  <c r="D4" i="2"/>
  <c r="X168" i="4"/>
  <c r="AB168" i="4"/>
  <c r="X186" i="4"/>
  <c r="AB186" i="4"/>
  <c r="X192" i="4"/>
  <c r="AD192" i="4"/>
  <c r="X109" i="4"/>
  <c r="AB109" i="4"/>
  <c r="X115" i="4"/>
  <c r="AB115" i="4"/>
  <c r="AD115" i="4"/>
  <c r="X125" i="4"/>
  <c r="AD125" i="4"/>
  <c r="AB125" i="4"/>
  <c r="X130" i="4"/>
  <c r="AB130" i="4"/>
  <c r="AD130" i="4"/>
  <c r="X138" i="4"/>
  <c r="AD138" i="4"/>
  <c r="X155" i="4"/>
  <c r="AB155" i="4"/>
  <c r="AB158" i="4"/>
  <c r="AD158" i="4"/>
  <c r="AB15" i="4"/>
  <c r="Y16" i="4"/>
  <c r="Z16" i="4"/>
  <c r="AA16" i="4"/>
  <c r="X36" i="4"/>
  <c r="AB36" i="4"/>
  <c r="AD36" i="4"/>
  <c r="B18" i="2"/>
  <c r="B22" i="2"/>
  <c r="AB55" i="4"/>
  <c r="X77" i="4"/>
  <c r="AB77" i="4"/>
  <c r="M192" i="5"/>
  <c r="S192" i="5"/>
  <c r="M186" i="5"/>
  <c r="S186" i="5"/>
  <c r="M168" i="5"/>
  <c r="S168" i="5"/>
  <c r="M158" i="5"/>
  <c r="S158" i="5"/>
  <c r="M155" i="5"/>
  <c r="S155" i="5"/>
  <c r="M138" i="5"/>
  <c r="S138" i="5"/>
  <c r="M130" i="5"/>
  <c r="S130" i="5"/>
  <c r="M125" i="5"/>
  <c r="S125" i="5"/>
  <c r="M115" i="5"/>
  <c r="S115" i="5"/>
  <c r="M109" i="5"/>
  <c r="S109" i="5"/>
  <c r="K57" i="5"/>
  <c r="N77" i="5"/>
  <c r="M55" i="5"/>
  <c r="Q55" i="5"/>
  <c r="S36" i="5"/>
  <c r="Q36" i="5"/>
  <c r="M36" i="5"/>
  <c r="P16" i="5"/>
  <c r="O16" i="5"/>
  <c r="N16" i="5"/>
  <c r="M15" i="5"/>
  <c r="S15" i="5"/>
  <c r="E229" i="3"/>
  <c r="E228" i="3"/>
  <c r="E227" i="3"/>
  <c r="E226" i="3"/>
  <c r="E225" i="3"/>
  <c r="E224" i="3"/>
  <c r="E223" i="3"/>
  <c r="E222" i="3"/>
  <c r="E221" i="3"/>
  <c r="E220" i="3"/>
  <c r="E219" i="3"/>
  <c r="E218" i="3"/>
  <c r="E217" i="3"/>
  <c r="E216" i="3"/>
  <c r="E215" i="3"/>
  <c r="E214" i="3"/>
  <c r="E213" i="3"/>
  <c r="H212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E195" i="3"/>
  <c r="H193" i="3"/>
  <c r="E192" i="3"/>
  <c r="E191" i="3"/>
  <c r="E190" i="3"/>
  <c r="E189" i="3"/>
  <c r="E188" i="3"/>
  <c r="E187" i="3"/>
  <c r="E186" i="3"/>
  <c r="E185" i="3"/>
  <c r="E184" i="3"/>
  <c r="E183" i="3"/>
  <c r="E182" i="3"/>
  <c r="E181" i="3"/>
  <c r="E180" i="3"/>
  <c r="E179" i="3"/>
  <c r="E178" i="3"/>
  <c r="E177" i="3"/>
  <c r="E176" i="3"/>
  <c r="F175" i="3"/>
  <c r="G175" i="3"/>
  <c r="F174" i="3"/>
  <c r="H173" i="3"/>
  <c r="F172" i="3"/>
  <c r="G172" i="3"/>
  <c r="F171" i="3"/>
  <c r="G171" i="3"/>
  <c r="F170" i="3"/>
  <c r="G170" i="3"/>
  <c r="F169" i="3"/>
  <c r="G169" i="3"/>
  <c r="F168" i="3"/>
  <c r="G168" i="3"/>
  <c r="F167" i="3"/>
  <c r="G167" i="3"/>
  <c r="F166" i="3"/>
  <c r="G166" i="3"/>
  <c r="F165" i="3"/>
  <c r="G165" i="3"/>
  <c r="F164" i="3"/>
  <c r="G164" i="3"/>
  <c r="F163" i="3"/>
  <c r="G163" i="3"/>
  <c r="F162" i="3"/>
  <c r="G162" i="3"/>
  <c r="F161" i="3"/>
  <c r="G161" i="3"/>
  <c r="F160" i="3"/>
  <c r="G160" i="3"/>
  <c r="F159" i="3"/>
  <c r="G159" i="3"/>
  <c r="F158" i="3"/>
  <c r="G158" i="3"/>
  <c r="F157" i="3"/>
  <c r="G157" i="3"/>
  <c r="F156" i="3"/>
  <c r="G156" i="3"/>
  <c r="F154" i="3"/>
  <c r="G154" i="3"/>
  <c r="F153" i="3"/>
  <c r="G153" i="3"/>
  <c r="F152" i="3"/>
  <c r="G152" i="3"/>
  <c r="F151" i="3"/>
  <c r="G151" i="3"/>
  <c r="F150" i="3"/>
  <c r="G150" i="3"/>
  <c r="F149" i="3"/>
  <c r="G149" i="3"/>
  <c r="F148" i="3"/>
  <c r="G148" i="3"/>
  <c r="F147" i="3"/>
  <c r="G147" i="3"/>
  <c r="F146" i="3"/>
  <c r="G146" i="3"/>
  <c r="F145" i="3"/>
  <c r="G145" i="3"/>
  <c r="F144" i="3"/>
  <c r="G144" i="3"/>
  <c r="F143" i="3"/>
  <c r="G143" i="3"/>
  <c r="F142" i="3"/>
  <c r="G142" i="3"/>
  <c r="F141" i="3"/>
  <c r="G141" i="3"/>
  <c r="F139" i="3"/>
  <c r="G139" i="3"/>
  <c r="F138" i="3"/>
  <c r="G138" i="3"/>
  <c r="F137" i="3"/>
  <c r="G137" i="3"/>
  <c r="F136" i="3"/>
  <c r="G136" i="3"/>
  <c r="F135" i="3"/>
  <c r="G135" i="3"/>
  <c r="F134" i="3"/>
  <c r="G134" i="3"/>
  <c r="F133" i="3"/>
  <c r="G133" i="3"/>
  <c r="F132" i="3"/>
  <c r="G132" i="3"/>
  <c r="F131" i="3"/>
  <c r="G131" i="3"/>
  <c r="F130" i="3"/>
  <c r="G130" i="3"/>
  <c r="F129" i="3"/>
  <c r="G129" i="3"/>
  <c r="F128" i="3"/>
  <c r="G128" i="3"/>
  <c r="H127" i="3"/>
  <c r="F125" i="3"/>
  <c r="G125" i="3"/>
  <c r="F124" i="3"/>
  <c r="G124" i="3"/>
  <c r="F123" i="3"/>
  <c r="G123" i="3"/>
  <c r="F122" i="3"/>
  <c r="G122" i="3"/>
  <c r="F121" i="3"/>
  <c r="G121" i="3"/>
  <c r="F120" i="3"/>
  <c r="G120" i="3"/>
  <c r="F119" i="3"/>
  <c r="G119" i="3"/>
  <c r="F118" i="3"/>
  <c r="G118" i="3"/>
  <c r="F117" i="3"/>
  <c r="G117" i="3"/>
  <c r="F116" i="3"/>
  <c r="G116" i="3"/>
  <c r="F115" i="3"/>
  <c r="G115" i="3"/>
  <c r="F114" i="3"/>
  <c r="G114" i="3"/>
  <c r="F113" i="3"/>
  <c r="F111" i="3"/>
  <c r="G111" i="3"/>
  <c r="F110" i="3"/>
  <c r="G110" i="3"/>
  <c r="F109" i="3"/>
  <c r="G109" i="3"/>
  <c r="F108" i="3"/>
  <c r="G108" i="3"/>
  <c r="F107" i="3"/>
  <c r="G107" i="3"/>
  <c r="F106" i="3"/>
  <c r="G106" i="3"/>
  <c r="F105" i="3"/>
  <c r="G105" i="3"/>
  <c r="F104" i="3"/>
  <c r="G104" i="3"/>
  <c r="F103" i="3"/>
  <c r="G103" i="3"/>
  <c r="F102" i="3"/>
  <c r="G102" i="3"/>
  <c r="F101" i="3"/>
  <c r="G101" i="3"/>
  <c r="F100" i="3"/>
  <c r="G100" i="3"/>
  <c r="F99" i="3"/>
  <c r="G99" i="3"/>
  <c r="F98" i="3"/>
  <c r="G98" i="3"/>
  <c r="F96" i="3"/>
  <c r="G96" i="3"/>
  <c r="F94" i="3"/>
  <c r="G94" i="3"/>
  <c r="F93" i="3"/>
  <c r="G93" i="3"/>
  <c r="F92" i="3"/>
  <c r="G92" i="3"/>
  <c r="F91" i="3"/>
  <c r="G91" i="3"/>
  <c r="F90" i="3"/>
  <c r="G90" i="3"/>
  <c r="F89" i="3"/>
  <c r="G89" i="3"/>
  <c r="F88" i="3"/>
  <c r="G88" i="3"/>
  <c r="F87" i="3"/>
  <c r="G87" i="3"/>
  <c r="F86" i="3"/>
  <c r="G86" i="3"/>
  <c r="F85" i="3"/>
  <c r="G85" i="3"/>
  <c r="F83" i="3"/>
  <c r="F81" i="3"/>
  <c r="G81" i="3"/>
  <c r="F80" i="3"/>
  <c r="G80" i="3"/>
  <c r="F79" i="3"/>
  <c r="G79" i="3"/>
  <c r="F78" i="3"/>
  <c r="G78" i="3"/>
  <c r="F77" i="3"/>
  <c r="G77" i="3"/>
  <c r="F76" i="3"/>
  <c r="G76" i="3"/>
  <c r="F75" i="3"/>
  <c r="G75" i="3"/>
  <c r="F74" i="3"/>
  <c r="G74" i="3"/>
  <c r="F72" i="3"/>
  <c r="G72" i="3"/>
  <c r="F70" i="3"/>
  <c r="F68" i="3"/>
  <c r="G68" i="3"/>
  <c r="F67" i="3"/>
  <c r="G67" i="3"/>
  <c r="F66" i="3"/>
  <c r="G66" i="3"/>
  <c r="F65" i="3"/>
  <c r="G65" i="3"/>
  <c r="F64" i="3"/>
  <c r="G64" i="3"/>
  <c r="F63" i="3"/>
  <c r="G63" i="3"/>
  <c r="F62" i="3"/>
  <c r="G62" i="3"/>
  <c r="F61" i="3"/>
  <c r="G61" i="3"/>
  <c r="F60" i="3"/>
  <c r="G60" i="3"/>
  <c r="F58" i="3"/>
  <c r="F56" i="3"/>
  <c r="G56" i="3"/>
  <c r="F55" i="3"/>
  <c r="G55" i="3"/>
  <c r="F54" i="3"/>
  <c r="G54" i="3"/>
  <c r="F53" i="3"/>
  <c r="G53" i="3"/>
  <c r="F52" i="3"/>
  <c r="G52" i="3"/>
  <c r="F50" i="3"/>
  <c r="G50" i="3"/>
  <c r="F49" i="3"/>
  <c r="G49" i="3"/>
  <c r="F48" i="3"/>
  <c r="G48" i="3"/>
  <c r="F47" i="3"/>
  <c r="G47" i="3"/>
  <c r="F46" i="3"/>
  <c r="G46" i="3"/>
  <c r="F45" i="3"/>
  <c r="G45" i="3"/>
  <c r="F44" i="3"/>
  <c r="G44" i="3"/>
  <c r="F43" i="3"/>
  <c r="G43" i="3"/>
  <c r="F41" i="3"/>
  <c r="G41" i="3"/>
  <c r="F40" i="3"/>
  <c r="G40" i="3"/>
  <c r="F38" i="3"/>
  <c r="G38" i="3"/>
  <c r="F37" i="3"/>
  <c r="G37" i="3"/>
  <c r="F36" i="3"/>
  <c r="G36" i="3"/>
  <c r="F35" i="3"/>
  <c r="G35" i="3"/>
  <c r="F34" i="3"/>
  <c r="G34" i="3"/>
  <c r="F33" i="3"/>
  <c r="G33" i="3"/>
  <c r="F31" i="3"/>
  <c r="F29" i="3"/>
  <c r="G29" i="3"/>
  <c r="F28" i="3"/>
  <c r="G28" i="3"/>
  <c r="F27" i="3"/>
  <c r="G27" i="3"/>
  <c r="F26" i="3"/>
  <c r="G26" i="3"/>
  <c r="F25" i="3"/>
  <c r="G25" i="3"/>
  <c r="F24" i="3"/>
  <c r="G24" i="3"/>
  <c r="F23" i="3"/>
  <c r="G23" i="3"/>
  <c r="F22" i="3"/>
  <c r="G22" i="3"/>
  <c r="F21" i="3"/>
  <c r="G21" i="3"/>
  <c r="F20" i="3"/>
  <c r="G20" i="3"/>
  <c r="F18" i="3"/>
  <c r="G18" i="3"/>
  <c r="F17" i="3"/>
  <c r="G17" i="3"/>
  <c r="F16" i="3"/>
  <c r="G16" i="3"/>
  <c r="F15" i="3"/>
  <c r="G15" i="3"/>
  <c r="F14" i="3"/>
  <c r="G14" i="3"/>
  <c r="F13" i="3"/>
  <c r="G13" i="3"/>
  <c r="F12" i="3"/>
  <c r="G12" i="3"/>
  <c r="F11" i="3"/>
  <c r="G11" i="3"/>
  <c r="F10" i="3"/>
  <c r="G10" i="3"/>
  <c r="F9" i="3"/>
  <c r="G9" i="3"/>
  <c r="F8" i="3"/>
  <c r="F6" i="3"/>
  <c r="G6" i="3"/>
  <c r="F5" i="3"/>
  <c r="G5" i="3"/>
  <c r="F4" i="3"/>
  <c r="G4" i="3"/>
  <c r="F3" i="3"/>
  <c r="G3" i="3"/>
  <c r="F2" i="3"/>
  <c r="G30" i="1"/>
  <c r="G29" i="1"/>
  <c r="G28" i="1"/>
  <c r="G27" i="1"/>
  <c r="F14" i="1"/>
  <c r="F13" i="1"/>
  <c r="F11" i="1"/>
  <c r="F10" i="1"/>
  <c r="D3" i="2"/>
  <c r="I12" i="2"/>
  <c r="J12" i="2"/>
  <c r="K12" i="2"/>
  <c r="L12" i="2"/>
  <c r="M12" i="2"/>
  <c r="N12" i="2"/>
  <c r="N25" i="2"/>
  <c r="M25" i="2"/>
  <c r="L25" i="2"/>
  <c r="K25" i="2"/>
  <c r="J25" i="2"/>
  <c r="I25" i="2"/>
  <c r="H25" i="2"/>
  <c r="C22" i="2"/>
  <c r="AD186" i="4"/>
  <c r="AB192" i="4"/>
  <c r="G5" i="2"/>
  <c r="D5" i="2"/>
  <c r="AD155" i="4"/>
  <c r="F18" i="2"/>
  <c r="F9" i="2"/>
  <c r="AD109" i="4"/>
  <c r="B9" i="2"/>
  <c r="E5" i="2"/>
  <c r="B5" i="2"/>
  <c r="AB138" i="4"/>
  <c r="F5" i="2"/>
  <c r="E18" i="2"/>
  <c r="E9" i="2"/>
  <c r="AD77" i="4"/>
  <c r="D18" i="2"/>
  <c r="D22" i="2"/>
  <c r="G8" i="3"/>
  <c r="D10" i="2"/>
  <c r="G113" i="3"/>
  <c r="F23" i="2"/>
  <c r="F10" i="2"/>
  <c r="F71" i="3"/>
  <c r="G71" i="3"/>
  <c r="G70" i="3"/>
  <c r="F193" i="3"/>
  <c r="G193" i="3"/>
  <c r="G174" i="3"/>
  <c r="G10" i="2"/>
  <c r="F32" i="3"/>
  <c r="G32" i="3"/>
  <c r="G31" i="3"/>
  <c r="G2" i="3"/>
  <c r="B10" i="2"/>
  <c r="F59" i="3"/>
  <c r="G59" i="3"/>
  <c r="G58" i="3"/>
  <c r="E10" i="2"/>
  <c r="F84" i="3"/>
  <c r="G84" i="3"/>
  <c r="G83" i="3"/>
  <c r="B16" i="2"/>
  <c r="E16" i="2"/>
  <c r="E3" i="2"/>
  <c r="G16" i="2"/>
  <c r="F7" i="3"/>
  <c r="G7" i="3"/>
  <c r="F127" i="3"/>
  <c r="G127" i="3"/>
  <c r="F57" i="3"/>
  <c r="G57" i="3"/>
  <c r="F39" i="3"/>
  <c r="G39" i="3"/>
  <c r="F30" i="3"/>
  <c r="G30" i="3"/>
  <c r="F155" i="3"/>
  <c r="G155" i="3"/>
  <c r="F69" i="3"/>
  <c r="G69" i="3"/>
  <c r="F173" i="3"/>
  <c r="G173" i="3"/>
  <c r="F112" i="3"/>
  <c r="G112" i="3"/>
  <c r="AD168" i="4"/>
  <c r="G18" i="2"/>
  <c r="S77" i="5"/>
  <c r="Q77" i="5"/>
  <c r="Q186" i="5"/>
  <c r="Q192" i="5"/>
  <c r="Q154" i="5"/>
  <c r="Q155" i="5"/>
  <c r="Q15" i="5"/>
  <c r="Q158" i="5"/>
  <c r="Q125" i="5"/>
  <c r="Q168" i="5"/>
  <c r="Q130" i="5"/>
  <c r="Q138" i="5"/>
  <c r="Q109" i="5"/>
  <c r="Q115" i="5"/>
  <c r="F97" i="3"/>
  <c r="G97" i="3"/>
  <c r="F19" i="3"/>
  <c r="G19" i="3"/>
  <c r="F42" i="3"/>
  <c r="G42" i="3"/>
  <c r="F95" i="3"/>
  <c r="G95" i="3"/>
  <c r="F73" i="3"/>
  <c r="G73" i="3"/>
  <c r="F140" i="3"/>
  <c r="G140" i="3"/>
  <c r="F82" i="3"/>
  <c r="G82" i="3"/>
  <c r="F51" i="3"/>
  <c r="G51" i="3"/>
  <c r="C9" i="2"/>
  <c r="F22" i="2"/>
  <c r="G22" i="2"/>
  <c r="G9" i="2"/>
  <c r="E22" i="2"/>
  <c r="E23" i="2"/>
  <c r="D9" i="2"/>
  <c r="B23" i="2"/>
  <c r="D23" i="2"/>
  <c r="D16" i="2"/>
  <c r="F194" i="3"/>
  <c r="G194" i="3"/>
  <c r="G23" i="2" a="1"/>
  <c r="G23" i="2"/>
  <c r="F21" i="1"/>
  <c r="F12" i="1"/>
  <c r="F3" i="1"/>
  <c r="F9" i="1"/>
  <c r="F22" i="1"/>
  <c r="G25" i="2" l="1"/>
  <c r="G23" i="17"/>
  <c r="F8" i="2"/>
  <c r="F12" i="2" s="1"/>
  <c r="N202" i="11"/>
  <c r="E8" i="2"/>
  <c r="E12" i="2" s="1"/>
  <c r="N201" i="11"/>
  <c r="H21" i="2" s="1"/>
  <c r="C8" i="2"/>
  <c r="C12" i="2" s="1"/>
  <c r="D8" i="2"/>
  <c r="D12" i="2" s="1"/>
  <c r="B8" i="2"/>
  <c r="B12" i="2" s="1"/>
  <c r="F21" i="2" a="1"/>
  <c r="F21" i="2" s="1"/>
  <c r="F25" i="2" s="1"/>
  <c r="B21" i="2" a="1"/>
  <c r="B21" i="2" s="1"/>
  <c r="B25" i="2" s="1"/>
  <c r="D21" i="2" a="1"/>
  <c r="D21" i="2" s="1"/>
  <c r="D25" i="2" s="1"/>
  <c r="G8" i="2"/>
  <c r="G12" i="2" s="1"/>
  <c r="H8" i="2"/>
  <c r="H12" i="2" s="1"/>
  <c r="C21" i="2" a="1"/>
  <c r="C21" i="2" s="1"/>
  <c r="C25" i="2" s="1"/>
  <c r="G21" i="2" l="1" a="1"/>
  <c r="G21" i="2" s="1"/>
  <c r="E21" i="2" a="1"/>
  <c r="E21" i="2" s="1"/>
  <c r="E25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Umarxon Nosirxo'jayev</author>
  </authors>
  <commentList>
    <comment ref="B311" authorId="0" shapeId="0" xr:uid="{AF35CFE0-038A-4CA4-8644-FF25509CD795}">
      <text>
        <r>
          <rPr>
            <sz val="9"/>
            <color indexed="81"/>
            <rFont val="Tahoma"/>
            <family val="2"/>
          </rPr>
          <t xml:space="preserve">1 коп = 1000 шт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Umarxon Nosirxo'jayev</author>
  </authors>
  <commentList>
    <comment ref="F15" authorId="0" shapeId="0" xr:uid="{0183A44A-7362-4277-84DA-D9DF8C26C90A}">
      <text>
        <r>
          <rPr>
            <b/>
            <sz val="9"/>
            <color indexed="81"/>
            <rFont val="Tahoma"/>
            <family val="2"/>
          </rPr>
          <t xml:space="preserve">Кран оркасига бетон тепадиги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Umarxon Nosirxo'jayev</author>
  </authors>
  <commentList>
    <comment ref="O2" authorId="0" shapeId="0" xr:uid="{0C1BABF9-23F9-40E5-B317-C57C0878EAC4}">
      <text>
        <r>
          <rPr>
            <sz val="9"/>
            <color indexed="81"/>
            <rFont val="Tahoma"/>
            <family val="2"/>
          </rPr>
          <t xml:space="preserve">400.000 Колокольчик берилган
</t>
        </r>
      </text>
    </comment>
    <comment ref="O8" authorId="0" shapeId="0" xr:uid="{6A1F75DF-740D-4469-AA16-AFEED03DC383}">
      <text>
        <r>
          <rPr>
            <sz val="9"/>
            <color indexed="81"/>
            <rFont val="Tahoma"/>
            <family val="2"/>
          </rPr>
          <t xml:space="preserve">Кран+Доставка
</t>
        </r>
      </text>
    </comment>
    <comment ref="K88" authorId="0" shapeId="0" xr:uid="{A66E37F5-F10C-4761-84DB-132B3044BE8D}">
      <text>
        <r>
          <rPr>
            <sz val="9"/>
            <color indexed="81"/>
            <rFont val="Tahoma"/>
            <family val="2"/>
          </rPr>
          <t xml:space="preserve">кун аренда 
</t>
        </r>
      </text>
    </comment>
    <comment ref="O93" authorId="0" shapeId="0" xr:uid="{65A5EEBD-7105-466C-AF3B-D214EFC20BCE}">
      <text>
        <r>
          <rPr>
            <sz val="9"/>
            <color indexed="81"/>
            <rFont val="Tahoma"/>
            <family val="2"/>
          </rPr>
          <t xml:space="preserve">текинга кеган стойкани доставкасиники
</t>
        </r>
      </text>
    </comment>
    <comment ref="N102" authorId="0" shapeId="0" xr:uid="{ADA0A9F5-8001-44B5-8E0D-56B4FB3487CD}">
      <text>
        <r>
          <rPr>
            <sz val="9"/>
            <color indexed="81"/>
            <rFont val="Tahoma"/>
            <family val="2"/>
          </rPr>
          <t xml:space="preserve">Шерзод Ака берган пул
</t>
        </r>
      </text>
    </comment>
    <comment ref="M104" authorId="0" shapeId="0" xr:uid="{5627C9F8-F1CD-47C4-B5B1-9DE7EAEA39FC}">
      <text>
        <r>
          <rPr>
            <sz val="9"/>
            <color indexed="81"/>
            <rFont val="Tahoma"/>
            <charset val="204"/>
          </rPr>
          <t xml:space="preserve">Офис берган
8.300.000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Umarxon Nosirxo'jayev</author>
  </authors>
  <commentList>
    <comment ref="B4" authorId="0" shapeId="0" xr:uid="{E7D684A0-90DC-452A-A1FB-3995AD322455}">
      <text>
        <r>
          <rPr>
            <sz val="9"/>
            <color indexed="81"/>
            <rFont val="Tahoma"/>
            <family val="2"/>
          </rPr>
          <t xml:space="preserve">Подготовка дорог для бетонамешалки
</t>
        </r>
      </text>
    </comment>
    <comment ref="B11" authorId="0" shapeId="0" xr:uid="{D79B53F4-900E-4B3D-AE44-706EFE013798}">
      <text>
        <r>
          <rPr>
            <sz val="9"/>
            <color indexed="81"/>
            <rFont val="Tahoma"/>
            <family val="2"/>
          </rPr>
          <t xml:space="preserve">Пахта ёг 200.000
Томат 3та 90.000
Макарон 2 коп 240.000
Картошка 44кг 330.000
Сабзи сарик 61кг 360.000
Туз 1 блок 100.000
Сарёг 2 та 90.000
Чеснок 2кг 60.000
Канд 10кг 150.000
Тову филе 10кг 460.000
</t>
        </r>
      </text>
    </comment>
    <comment ref="B25" authorId="0" shapeId="0" xr:uid="{FBE60478-411D-469E-BE90-B0604C2BE3AD}">
      <text>
        <r>
          <rPr>
            <sz val="9"/>
            <color indexed="81"/>
            <rFont val="Tahoma"/>
            <family val="2"/>
          </rPr>
          <t xml:space="preserve">Подготовка дорог для бетонамешалки
</t>
        </r>
      </text>
    </comment>
    <comment ref="J46" authorId="0" shapeId="0" xr:uid="{137416A1-E6D8-461E-82A3-1DBA6ABFD1B4}">
      <text>
        <r>
          <rPr>
            <sz val="9"/>
            <color indexed="81"/>
            <rFont val="Tahoma"/>
            <family val="2"/>
          </rPr>
          <t xml:space="preserve">260000
</t>
        </r>
      </text>
    </comment>
    <comment ref="J48" authorId="0" shapeId="0" xr:uid="{1AECEE29-1FCE-4B9E-A858-666355BF075C}">
      <text>
        <r>
          <rPr>
            <b/>
            <sz val="9"/>
            <color indexed="81"/>
            <rFont val="Tahoma"/>
            <family val="2"/>
          </rPr>
          <t xml:space="preserve">3.952.000
</t>
        </r>
      </text>
    </comment>
    <comment ref="J49" authorId="0" shapeId="0" xr:uid="{7135538B-1FB1-4953-8097-452C82BC9A4C}">
      <text>
        <r>
          <rPr>
            <sz val="9"/>
            <color indexed="81"/>
            <rFont val="Tahoma"/>
            <family val="2"/>
          </rPr>
          <t xml:space="preserve">2.240.000
</t>
        </r>
      </text>
    </comment>
    <comment ref="J50" authorId="0" shapeId="0" xr:uid="{5E1FEDBA-8A69-4D86-83C2-6E8F38CAC7C5}">
      <text>
        <r>
          <rPr>
            <sz val="9"/>
            <color indexed="81"/>
            <rFont val="Tahoma"/>
            <family val="2"/>
          </rPr>
          <t xml:space="preserve">1.856.260
</t>
        </r>
      </text>
    </comment>
    <comment ref="J53" authorId="0" shapeId="0" xr:uid="{4489CC14-9441-4953-8AB8-7C27BFFE2B49}">
      <text>
        <r>
          <rPr>
            <sz val="9"/>
            <color indexed="81"/>
            <rFont val="Tahoma"/>
            <family val="2"/>
          </rPr>
          <t xml:space="preserve">5.000.000
</t>
        </r>
      </text>
    </comment>
    <comment ref="B184" authorId="0" shapeId="0" xr:uid="{06E68519-9485-44AE-91DC-9C607FB2A400}">
      <text>
        <r>
          <rPr>
            <b/>
            <sz val="9"/>
            <color indexed="81"/>
            <rFont val="Tahoma"/>
            <family val="2"/>
          </rPr>
          <t xml:space="preserve">Мих 70, 100 мм
Перчатка 
</t>
        </r>
      </text>
    </comment>
    <comment ref="J185" authorId="0" shapeId="0" xr:uid="{789A6170-B058-4060-ADF0-5120C33E7E91}">
      <text>
        <r>
          <rPr>
            <sz val="9"/>
            <color indexed="81"/>
            <rFont val="Tahoma"/>
            <family val="2"/>
          </rPr>
          <t xml:space="preserve">Сафия Обед Бензин
</t>
        </r>
      </text>
    </comment>
    <comment ref="B195" authorId="0" shapeId="0" xr:uid="{823ABCE8-1C0C-4857-9F00-6E40EB02B246}">
      <text>
        <r>
          <rPr>
            <sz val="9"/>
            <color indexed="81"/>
            <rFont val="Tahoma"/>
            <family val="2"/>
          </rPr>
          <t xml:space="preserve">Мих-300.000
Шруп-100.000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Umarxon Nosirxo'jayev</author>
  </authors>
  <commentList>
    <comment ref="B4" authorId="0" shapeId="0" xr:uid="{04175B64-5B78-4945-BFEB-68AC97C66601}">
      <text>
        <r>
          <rPr>
            <sz val="9"/>
            <color indexed="81"/>
            <rFont val="Tahoma"/>
            <family val="2"/>
          </rPr>
          <t xml:space="preserve">Подготовка дорог для бетонамешалки
</t>
        </r>
      </text>
    </comment>
    <comment ref="B11" authorId="0" shapeId="0" xr:uid="{7917B642-901F-487B-AB3A-7EFF12C59BEB}">
      <text>
        <r>
          <rPr>
            <sz val="9"/>
            <color indexed="81"/>
            <rFont val="Tahoma"/>
            <family val="2"/>
          </rPr>
          <t xml:space="preserve">Пахта ёг 200.000
Томат 3та 90.000
Макарон 2 коп 240.000
Картошка 44кг 330.000
Сабзи сарик 61кг 360.000
Туз 1 блок 100.000
Сарёг 2 та 90.000
Чеснок 2кг 60.000
Канд 10кг 150.000
Тову филе 10кг 460.000
</t>
        </r>
      </text>
    </comment>
    <comment ref="B25" authorId="0" shapeId="0" xr:uid="{FB418142-D760-4632-AD2F-32A5B0D7083C}">
      <text>
        <r>
          <rPr>
            <sz val="9"/>
            <color indexed="81"/>
            <rFont val="Tahoma"/>
            <family val="2"/>
          </rPr>
          <t xml:space="preserve">Подготовка дорог для бетонамешалки
</t>
        </r>
      </text>
    </comment>
    <comment ref="J46" authorId="0" shapeId="0" xr:uid="{529ECC67-720B-4F42-89EA-A6246CFB4730}">
      <text>
        <r>
          <rPr>
            <sz val="9"/>
            <color indexed="81"/>
            <rFont val="Tahoma"/>
            <family val="2"/>
          </rPr>
          <t xml:space="preserve">260000
</t>
        </r>
      </text>
    </comment>
    <comment ref="J48" authorId="0" shapeId="0" xr:uid="{C9CF7D4F-07F3-432C-B31B-D2578A35EB0F}">
      <text>
        <r>
          <rPr>
            <b/>
            <sz val="9"/>
            <color indexed="81"/>
            <rFont val="Tahoma"/>
            <family val="2"/>
          </rPr>
          <t xml:space="preserve">3.952.000
</t>
        </r>
      </text>
    </comment>
    <comment ref="J49" authorId="0" shapeId="0" xr:uid="{195C1150-66BD-4839-90B8-7755164B4252}">
      <text>
        <r>
          <rPr>
            <sz val="9"/>
            <color indexed="81"/>
            <rFont val="Tahoma"/>
            <family val="2"/>
          </rPr>
          <t xml:space="preserve">2.240.000
</t>
        </r>
      </text>
    </comment>
    <comment ref="J50" authorId="0" shapeId="0" xr:uid="{B0046F80-3BEF-4958-ADE0-BDD60897BF6C}">
      <text>
        <r>
          <rPr>
            <sz val="9"/>
            <color indexed="81"/>
            <rFont val="Tahoma"/>
            <family val="2"/>
          </rPr>
          <t xml:space="preserve">1.856.260
</t>
        </r>
      </text>
    </comment>
    <comment ref="J53" authorId="0" shapeId="0" xr:uid="{EEFDE7EE-8CEE-41D8-A04C-1D74992DD0E6}">
      <text>
        <r>
          <rPr>
            <sz val="9"/>
            <color indexed="81"/>
            <rFont val="Tahoma"/>
            <family val="2"/>
          </rPr>
          <t xml:space="preserve">5.000.000
</t>
        </r>
      </text>
    </comment>
    <comment ref="J54" authorId="0" shapeId="0" xr:uid="{4968F892-0722-42BE-8226-B5462FAB3621}">
      <text>
        <r>
          <rPr>
            <b/>
            <sz val="9"/>
            <color indexed="81"/>
            <rFont val="Tahoma"/>
            <family val="2"/>
          </rPr>
          <t>100.000</t>
        </r>
      </text>
    </comment>
    <comment ref="J68" authorId="0" shapeId="0" xr:uid="{F511772A-FD35-4BC1-AD56-9B06930EB213}">
      <text>
        <r>
          <rPr>
            <sz val="9"/>
            <color indexed="81"/>
            <rFont val="Tahoma"/>
            <family val="2"/>
          </rPr>
          <t xml:space="preserve">20.252.000
</t>
        </r>
      </text>
    </comment>
    <comment ref="J75" authorId="0" shapeId="0" xr:uid="{C6DC23FA-B90B-4213-8F33-1AFD9DB0A852}">
      <text>
        <r>
          <rPr>
            <sz val="9"/>
            <color indexed="81"/>
            <rFont val="Tahoma"/>
            <family val="2"/>
          </rPr>
          <t xml:space="preserve">1.811.052
240.000
</t>
        </r>
      </text>
    </comment>
    <comment ref="J92" authorId="0" shapeId="0" xr:uid="{35858D20-EAAC-44C3-94A5-EFE210F9133D}">
      <text>
        <r>
          <rPr>
            <sz val="9"/>
            <color indexed="81"/>
            <rFont val="Tahoma"/>
            <family val="2"/>
          </rPr>
          <t xml:space="preserve">7.485.916
</t>
        </r>
      </text>
    </comment>
    <comment ref="J95" authorId="0" shapeId="0" xr:uid="{24C0F204-57ED-4B3B-874F-42A1545E57B7}">
      <text>
        <r>
          <rPr>
            <b/>
            <sz val="9"/>
            <color indexed="81"/>
            <rFont val="Tahoma"/>
            <family val="2"/>
          </rPr>
          <t>2.025.000</t>
        </r>
      </text>
    </comment>
    <comment ref="J112" authorId="0" shapeId="0" xr:uid="{9D8E939A-B2CB-418E-ADAF-0DC18B04A2A0}">
      <text>
        <r>
          <rPr>
            <sz val="9"/>
            <color indexed="81"/>
            <rFont val="Tahoma"/>
            <family val="2"/>
          </rPr>
          <t xml:space="preserve">6.890.524
</t>
        </r>
      </text>
    </comment>
    <comment ref="J122" authorId="0" shapeId="0" xr:uid="{73F968DD-4206-4A45-9E19-390595F4FB2D}">
      <text>
        <r>
          <rPr>
            <sz val="9"/>
            <color indexed="81"/>
            <rFont val="Tahoma"/>
            <family val="2"/>
          </rPr>
          <t xml:space="preserve">6.000.000
</t>
        </r>
      </text>
    </comment>
    <comment ref="J137" authorId="0" shapeId="0" xr:uid="{DD4B0E76-F1CE-4DB1-BF08-1C8668B887C7}">
      <text>
        <r>
          <rPr>
            <b/>
            <sz val="9"/>
            <color indexed="81"/>
            <rFont val="Tahoma"/>
            <family val="2"/>
          </rPr>
          <t>4.300.000</t>
        </r>
      </text>
    </comment>
    <comment ref="J138" authorId="0" shapeId="0" xr:uid="{65B6A4D8-B218-49F0-9FD3-471A4B099877}">
      <text>
        <r>
          <rPr>
            <sz val="9"/>
            <color indexed="81"/>
            <rFont val="Tahoma"/>
            <family val="2"/>
          </rPr>
          <t xml:space="preserve">80.000
</t>
        </r>
      </text>
    </comment>
    <comment ref="J142" authorId="0" shapeId="0" xr:uid="{514EB209-C6B0-4451-A7CB-7B54FE00DFFF}">
      <text>
        <r>
          <rPr>
            <sz val="9"/>
            <color indexed="81"/>
            <rFont val="Tahoma"/>
            <family val="2"/>
          </rPr>
          <t xml:space="preserve">6.290.000
</t>
        </r>
      </text>
    </comment>
    <comment ref="J148" authorId="0" shapeId="0" xr:uid="{C07A234B-B95F-4CF2-833A-A534900A8CE9}">
      <text>
        <r>
          <rPr>
            <sz val="9"/>
            <color indexed="81"/>
            <rFont val="Tahoma"/>
            <family val="2"/>
          </rPr>
          <t xml:space="preserve">2.260.000
</t>
        </r>
      </text>
    </comment>
    <comment ref="J152" authorId="0" shapeId="0" xr:uid="{03EB7FB7-B931-46E2-8417-4A4581A46D35}">
      <text>
        <r>
          <rPr>
            <b/>
            <sz val="9"/>
            <color indexed="81"/>
            <rFont val="Tahoma"/>
            <family val="2"/>
          </rPr>
          <t xml:space="preserve">1.325.000
</t>
        </r>
      </text>
    </comment>
    <comment ref="J153" authorId="0" shapeId="0" xr:uid="{D759D45F-5E67-4629-A025-BBF77AFD2490}">
      <text>
        <r>
          <rPr>
            <b/>
            <sz val="9"/>
            <color indexed="81"/>
            <rFont val="Tahoma"/>
            <family val="2"/>
          </rPr>
          <t>459.180.000</t>
        </r>
      </text>
    </comment>
    <comment ref="J162" authorId="0" shapeId="0" xr:uid="{24D8F05E-621E-4655-BAEC-C4D5FDA9D9AC}">
      <text>
        <r>
          <rPr>
            <sz val="9"/>
            <color indexed="81"/>
            <rFont val="Tahoma"/>
            <family val="2"/>
          </rPr>
          <t>11.495.000=950$</t>
        </r>
      </text>
    </comment>
    <comment ref="J170" authorId="0" shapeId="0" xr:uid="{F434498A-CB91-4D7E-8021-82BEE201BF94}">
      <text>
        <r>
          <rPr>
            <b/>
            <sz val="9"/>
            <color indexed="81"/>
            <rFont val="Tahoma"/>
            <family val="2"/>
          </rPr>
          <t xml:space="preserve">2.060.000
</t>
        </r>
      </text>
    </comment>
    <comment ref="J171" authorId="0" shapeId="0" xr:uid="{35FC9458-0556-4A86-9673-A07A068D0446}">
      <text>
        <r>
          <rPr>
            <b/>
            <sz val="9"/>
            <color indexed="81"/>
            <rFont val="Tahoma"/>
            <family val="2"/>
          </rPr>
          <t xml:space="preserve">12.489.780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74" authorId="0" shapeId="0" xr:uid="{7D2DA6D6-C2E5-4DA5-BD38-6560762ADB8F}">
      <text>
        <r>
          <rPr>
            <sz val="9"/>
            <color indexed="81"/>
            <rFont val="Tahoma"/>
            <family val="2"/>
          </rPr>
          <t xml:space="preserve">356.895
</t>
        </r>
      </text>
    </comment>
    <comment ref="J177" authorId="0" shapeId="0" xr:uid="{687C469D-986E-4957-A415-AACB16F5B3A7}">
      <text>
        <r>
          <rPr>
            <sz val="9"/>
            <color indexed="81"/>
            <rFont val="Tahoma"/>
            <family val="2"/>
          </rPr>
          <t xml:space="preserve">620,000
</t>
        </r>
      </text>
    </comment>
    <comment ref="J178" authorId="0" shapeId="0" xr:uid="{2FD1DA5E-17F8-4FCE-994B-9A7A6D4FF7C7}">
      <text>
        <r>
          <rPr>
            <b/>
            <sz val="9"/>
            <color indexed="81"/>
            <rFont val="Tahoma"/>
            <family val="2"/>
          </rPr>
          <t>6,700,000</t>
        </r>
      </text>
    </comment>
    <comment ref="J179" authorId="0" shapeId="0" xr:uid="{A794BD13-9B6E-494A-AB03-F9AD4A437559}">
      <text>
        <r>
          <rPr>
            <sz val="9"/>
            <color indexed="81"/>
            <rFont val="Tahoma"/>
            <family val="2"/>
          </rPr>
          <t xml:space="preserve">601,500
</t>
        </r>
      </text>
    </comment>
    <comment ref="B184" authorId="0" shapeId="0" xr:uid="{EAC4515A-247F-4D07-BD57-BE6C57F62A98}">
      <text>
        <r>
          <rPr>
            <b/>
            <sz val="9"/>
            <color indexed="81"/>
            <rFont val="Tahoma"/>
            <family val="2"/>
          </rPr>
          <t xml:space="preserve">Мих 70, 100 мм
Перчатка 
</t>
        </r>
      </text>
    </comment>
    <comment ref="J186" authorId="0" shapeId="0" xr:uid="{B6015B46-87E4-4187-BA28-67AB8C612E89}">
      <text>
        <r>
          <rPr>
            <sz val="9"/>
            <color indexed="81"/>
            <rFont val="Tahoma"/>
            <family val="2"/>
          </rPr>
          <t xml:space="preserve">Сафия Обед Бензин
</t>
        </r>
      </text>
    </comment>
    <comment ref="B195" authorId="0" shapeId="0" xr:uid="{ADDA5E2A-88D1-40FF-A581-172F1E694FB6}">
      <text>
        <r>
          <rPr>
            <sz val="9"/>
            <color indexed="81"/>
            <rFont val="Tahoma"/>
            <family val="2"/>
          </rPr>
          <t xml:space="preserve">Мих-300.000
Шруп-100.000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Umarxon Nosirxo'jayev</author>
  </authors>
  <commentList>
    <comment ref="O16" authorId="0" shapeId="0" xr:uid="{F59353D1-F4B8-42F2-B119-99EACF04A050}">
      <text>
        <r>
          <rPr>
            <sz val="9"/>
            <color indexed="81"/>
            <rFont val="Tahoma"/>
            <family val="2"/>
          </rPr>
          <t xml:space="preserve">Кран оркасига бетонга тепадиги
</t>
        </r>
      </text>
    </comment>
    <comment ref="P16" authorId="0" shapeId="0" xr:uid="{E2253DDC-6771-4A61-94D7-FCE27524522A}">
      <text>
        <r>
          <rPr>
            <b/>
            <sz val="9"/>
            <color indexed="81"/>
            <rFont val="Tahoma"/>
            <family val="2"/>
          </rPr>
          <t xml:space="preserve">Метр
</t>
        </r>
      </text>
    </comment>
    <comment ref="L36" authorId="0" shapeId="0" xr:uid="{BA5F7288-9D45-4069-8FB7-13D46B69A57E}">
      <text>
        <r>
          <rPr>
            <sz val="9"/>
            <color indexed="81"/>
            <rFont val="Tahoma"/>
            <family val="2"/>
          </rPr>
          <t xml:space="preserve">Яшилла бзада колгани приход кворилди когани кайтб кетган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<sst xmlns="http://schemas.openxmlformats.org/spreadsheetml/2006/main" count="14949" uniqueCount="904">
  <si>
    <t>СВОДКА ПО МЕСЯЦАМ — СУММЫ (сум)</t>
  </si>
  <si>
    <t>Категория</t>
  </si>
  <si>
    <t>2025г.Ноябрь</t>
  </si>
  <si>
    <t>2025г.Декабрь</t>
  </si>
  <si>
    <t>2026г.Февраль</t>
  </si>
  <si>
    <t>2026г.Март</t>
  </si>
  <si>
    <t>2026г.Апрель</t>
  </si>
  <si>
    <t>2026г.Май</t>
  </si>
  <si>
    <t>2026г.Июнь</t>
  </si>
  <si>
    <t>2026г.Июль</t>
  </si>
  <si>
    <t>Август</t>
  </si>
  <si>
    <t>Сентябрь</t>
  </si>
  <si>
    <t>Октябрь</t>
  </si>
  <si>
    <t>Ноябрь</t>
  </si>
  <si>
    <t>Декабрь</t>
  </si>
  <si>
    <t>Оплата рабочих</t>
  </si>
  <si>
    <t>Строй Хоз.Товар</t>
  </si>
  <si>
    <t>Арматура</t>
  </si>
  <si>
    <t>Бетон</t>
  </si>
  <si>
    <t>Опалубка</t>
  </si>
  <si>
    <t>Учет Расходов</t>
  </si>
  <si>
    <t>Арматура тоннаж</t>
  </si>
  <si>
    <t>Бозорлик</t>
  </si>
  <si>
    <t>Спец.Техника</t>
  </si>
  <si>
    <t>Итого</t>
  </si>
  <si>
    <t>СВОДКА ПО МЕСЯЦАМ — ТОННАЖИ И ОБЪЁМЫ</t>
  </si>
  <si>
    <t>Дата</t>
  </si>
  <si>
    <t>Валюта</t>
  </si>
  <si>
    <t>Количество</t>
  </si>
  <si>
    <t>Курс (сум)</t>
  </si>
  <si>
    <t>USD</t>
  </si>
  <si>
    <t>№</t>
  </si>
  <si>
    <t>Наименование товара</t>
  </si>
  <si>
    <t>Ед.изм</t>
  </si>
  <si>
    <t>Кол-во</t>
  </si>
  <si>
    <t>Сумма</t>
  </si>
  <si>
    <t>В долларе</t>
  </si>
  <si>
    <t>Заказчик</t>
  </si>
  <si>
    <t>Услуга рабочих изоляций</t>
  </si>
  <si>
    <t>м2</t>
  </si>
  <si>
    <t>Мева Шарбат Илмий Экспериментал Виночилик</t>
  </si>
  <si>
    <t>12.11.2025 Итог</t>
  </si>
  <si>
    <t>Технадзор</t>
  </si>
  <si>
    <t>зарплата</t>
  </si>
  <si>
    <t>Геодезист</t>
  </si>
  <si>
    <t>Прораб</t>
  </si>
  <si>
    <t>ТБ и ОТ</t>
  </si>
  <si>
    <t>Крановщик</t>
  </si>
  <si>
    <t>01.02.2026 Итог</t>
  </si>
  <si>
    <t>Вертолет</t>
  </si>
  <si>
    <t>28.02.2026 Итог</t>
  </si>
  <si>
    <t>Повар</t>
  </si>
  <si>
    <t>31.03.2026 Итог</t>
  </si>
  <si>
    <t>Общий итог</t>
  </si>
  <si>
    <t>Наименование</t>
  </si>
  <si>
    <t>Сумма за ед.изм</t>
  </si>
  <si>
    <t>Общая</t>
  </si>
  <si>
    <t>Столбец1</t>
  </si>
  <si>
    <t>Сабзи</t>
  </si>
  <si>
    <t>кг</t>
  </si>
  <si>
    <t>Пиёз</t>
  </si>
  <si>
    <t>Ёг</t>
  </si>
  <si>
    <t>литр</t>
  </si>
  <si>
    <t>Туруп</t>
  </si>
  <si>
    <t>Арава</t>
  </si>
  <si>
    <t>услуга</t>
  </si>
  <si>
    <t>25.11.2025 Итог</t>
  </si>
  <si>
    <t>Пахта ёг</t>
  </si>
  <si>
    <t>Томат</t>
  </si>
  <si>
    <t>шт</t>
  </si>
  <si>
    <t>Макарон</t>
  </si>
  <si>
    <t>Картошка</t>
  </si>
  <si>
    <t>Туз</t>
  </si>
  <si>
    <t>блок</t>
  </si>
  <si>
    <t>Тухум</t>
  </si>
  <si>
    <t>решетка</t>
  </si>
  <si>
    <t>Сарёг</t>
  </si>
  <si>
    <t>Чеснок</t>
  </si>
  <si>
    <t>Канд</t>
  </si>
  <si>
    <t>Филе</t>
  </si>
  <si>
    <t>07.02.2026 Итог</t>
  </si>
  <si>
    <t>Писта ёг</t>
  </si>
  <si>
    <t>Гушт</t>
  </si>
  <si>
    <t>Пичок</t>
  </si>
  <si>
    <t>Боз</t>
  </si>
  <si>
    <t>метр</t>
  </si>
  <si>
    <t>10.02.2026 Итог</t>
  </si>
  <si>
    <t>Гуруч</t>
  </si>
  <si>
    <t>14.02.2026 Итог</t>
  </si>
  <si>
    <t>Кук чой</t>
  </si>
  <si>
    <t>Гречка</t>
  </si>
  <si>
    <t>Доставка</t>
  </si>
  <si>
    <t>17.02.2026 Итог</t>
  </si>
  <si>
    <t>18.02.2026 Итог</t>
  </si>
  <si>
    <t>22.02.2026 Итог</t>
  </si>
  <si>
    <t>27.02.2026 Итог</t>
  </si>
  <si>
    <t>04.03.2026 Итог</t>
  </si>
  <si>
    <t>лт</t>
  </si>
  <si>
    <t>07.03.2026 Итог</t>
  </si>
  <si>
    <t>09.03.2026 Итог</t>
  </si>
  <si>
    <t>гуруч</t>
  </si>
  <si>
    <t>11.03.2026 Итог</t>
  </si>
  <si>
    <t>15.03.2026 Итог</t>
  </si>
  <si>
    <t>16.03.2026 Итог</t>
  </si>
  <si>
    <t>Мош</t>
  </si>
  <si>
    <t>21.03.2026 Итог</t>
  </si>
  <si>
    <t>25.03.2026 Итог</t>
  </si>
  <si>
    <t>Карам</t>
  </si>
  <si>
    <t>Кук пиез</t>
  </si>
  <si>
    <t>Укроп</t>
  </si>
  <si>
    <t>Туз корейский</t>
  </si>
  <si>
    <t>30.03.2026 Итог</t>
  </si>
  <si>
    <t>Кора чой</t>
  </si>
  <si>
    <t>Гаримдори</t>
  </si>
  <si>
    <t>04.04.2026 Итог</t>
  </si>
  <si>
    <t>11.04.2026 Итог</t>
  </si>
  <si>
    <t>Помидор</t>
  </si>
  <si>
    <t>Бодиринг</t>
  </si>
  <si>
    <t>17.04.2026 Итог</t>
  </si>
  <si>
    <t>Зелен</t>
  </si>
  <si>
    <t>канд</t>
  </si>
  <si>
    <t>24.04.2026 Итог</t>
  </si>
  <si>
    <t>Корейский туз</t>
  </si>
  <si>
    <t>Гель посуда</t>
  </si>
  <si>
    <t>Петрушка</t>
  </si>
  <si>
    <t>01.05.2026 Итог</t>
  </si>
  <si>
    <t>Болгарский</t>
  </si>
  <si>
    <t>коп</t>
  </si>
  <si>
    <t>Ок канд</t>
  </si>
  <si>
    <t>Номер Авто</t>
  </si>
  <si>
    <t>Катанка</t>
  </si>
  <si>
    <t>D8</t>
  </si>
  <si>
    <t>D10</t>
  </si>
  <si>
    <t>D12</t>
  </si>
  <si>
    <t>D14</t>
  </si>
  <si>
    <t>D16</t>
  </si>
  <si>
    <t>D18</t>
  </si>
  <si>
    <t>D20</t>
  </si>
  <si>
    <t>D22</t>
  </si>
  <si>
    <t>D25</t>
  </si>
  <si>
    <t>Угольник (40мм) 4 ст</t>
  </si>
  <si>
    <t>Пруд (50)</t>
  </si>
  <si>
    <t>Пруд (32)</t>
  </si>
  <si>
    <t>Итого2</t>
  </si>
  <si>
    <t>Курс</t>
  </si>
  <si>
    <t>Приход</t>
  </si>
  <si>
    <t>Жамол Ака</t>
  </si>
  <si>
    <t>Возврат</t>
  </si>
  <si>
    <t>85 805 BBA</t>
  </si>
  <si>
    <t>30 7236 АА</t>
  </si>
  <si>
    <t>30 850 ACA</t>
  </si>
  <si>
    <t>30 D 265 BB</t>
  </si>
  <si>
    <t>30 D 058 RB</t>
  </si>
  <si>
    <t>30 064 WAA</t>
  </si>
  <si>
    <t>30 C 874 EB</t>
  </si>
  <si>
    <t>30 D 309 SB</t>
  </si>
  <si>
    <t>30 206 TBA</t>
  </si>
  <si>
    <t>30 G 494 UA</t>
  </si>
  <si>
    <t>30 D 240 CB</t>
  </si>
  <si>
    <t>30 K 053 RB</t>
  </si>
  <si>
    <t>30 029 YBA</t>
  </si>
  <si>
    <t>КАРТОЧКА СКЛАДСКОГО УЧЕТА ТОВАРА</t>
  </si>
  <si>
    <t>Ед.Изм</t>
  </si>
  <si>
    <t>Расход</t>
  </si>
  <si>
    <t>Цена за ед.</t>
  </si>
  <si>
    <t>Сумма прихода</t>
  </si>
  <si>
    <t>Сумма расхода</t>
  </si>
  <si>
    <t>Статус заказа</t>
  </si>
  <si>
    <t>Способ оплаты</t>
  </si>
  <si>
    <t>Кому отдано</t>
  </si>
  <si>
    <t>Ед.из</t>
  </si>
  <si>
    <t>Остатка</t>
  </si>
  <si>
    <t>Поставщик/Получатель</t>
  </si>
  <si>
    <t>Прочее</t>
  </si>
  <si>
    <t>Завершен</t>
  </si>
  <si>
    <t>Наличные</t>
  </si>
  <si>
    <t>Лопата штиковой</t>
  </si>
  <si>
    <t>Ручной инструменты</t>
  </si>
  <si>
    <t>Лопата сопковой</t>
  </si>
  <si>
    <t>Кетмон</t>
  </si>
  <si>
    <t>Даста лопата</t>
  </si>
  <si>
    <t>Даста кетмон</t>
  </si>
  <si>
    <t>Леска</t>
  </si>
  <si>
    <t>Кувалда</t>
  </si>
  <si>
    <t>Болта</t>
  </si>
  <si>
    <t>Болга</t>
  </si>
  <si>
    <t>Мих 70мм</t>
  </si>
  <si>
    <t>Мет.из</t>
  </si>
  <si>
    <t>Мих 100мм</t>
  </si>
  <si>
    <t>Перчатка</t>
  </si>
  <si>
    <t>Дюбель мих 50</t>
  </si>
  <si>
    <t>Аэрозол Красный</t>
  </si>
  <si>
    <t>Болгарка большая О220</t>
  </si>
  <si>
    <t>Электроинструменты</t>
  </si>
  <si>
    <t>Больгарка средняя О180</t>
  </si>
  <si>
    <t>Пчелка О180</t>
  </si>
  <si>
    <t>Вибратор 4м-6м</t>
  </si>
  <si>
    <t>Уровень длина(80см)</t>
  </si>
  <si>
    <t>Уровень длина(60см)</t>
  </si>
  <si>
    <t xml:space="preserve">Отвес большой </t>
  </si>
  <si>
    <t>Шруповерт с аккум</t>
  </si>
  <si>
    <t>Перфоратор</t>
  </si>
  <si>
    <t>м</t>
  </si>
  <si>
    <t>Тройник</t>
  </si>
  <si>
    <t>Электрика</t>
  </si>
  <si>
    <t>Вилка</t>
  </si>
  <si>
    <t>Этик Резина</t>
  </si>
  <si>
    <t>Метр 10м</t>
  </si>
  <si>
    <t>Метр 5м</t>
  </si>
  <si>
    <t>Маркер</t>
  </si>
  <si>
    <t>Мель</t>
  </si>
  <si>
    <t>почка</t>
  </si>
  <si>
    <t>Кабель ПВС 2х2,5</t>
  </si>
  <si>
    <t>Кабель оддий 3х1,5</t>
  </si>
  <si>
    <t>Акрил лампа 18W</t>
  </si>
  <si>
    <t>Акрил лампа 24W</t>
  </si>
  <si>
    <t>Акрил Лампа (Квадрат)</t>
  </si>
  <si>
    <t>рулон</t>
  </si>
  <si>
    <t>Ошхона(Приборы)</t>
  </si>
  <si>
    <t>Электрод MP-3 2.5</t>
  </si>
  <si>
    <t>Расходники</t>
  </si>
  <si>
    <t>Диск Отрезной 230</t>
  </si>
  <si>
    <t>Диск Отрезной 180</t>
  </si>
  <si>
    <t>Диск тахта 180</t>
  </si>
  <si>
    <t>Бурь 14*160</t>
  </si>
  <si>
    <t>Сверло Тахта 18мм</t>
  </si>
  <si>
    <t>Сверло по металлу 5мм</t>
  </si>
  <si>
    <t>Болторез 900мм</t>
  </si>
  <si>
    <t>Сим</t>
  </si>
  <si>
    <t>Сим 3,0</t>
  </si>
  <si>
    <t>Труба ПВХ 23О 2мм</t>
  </si>
  <si>
    <t>тн</t>
  </si>
  <si>
    <t>Сим 6,0</t>
  </si>
  <si>
    <t>-</t>
  </si>
  <si>
    <t>Пализол</t>
  </si>
  <si>
    <t>Кровля и изоляция</t>
  </si>
  <si>
    <t>Трос стропа 6м</t>
  </si>
  <si>
    <t>Фализол</t>
  </si>
  <si>
    <t>Праймер</t>
  </si>
  <si>
    <t>Бензин</t>
  </si>
  <si>
    <t>Валик</t>
  </si>
  <si>
    <t>Розетка</t>
  </si>
  <si>
    <t>Чалка 4Т</t>
  </si>
  <si>
    <t>Чалка 5Т</t>
  </si>
  <si>
    <t>Сварка аппарат</t>
  </si>
  <si>
    <t>Печка</t>
  </si>
  <si>
    <t>Кабель оддий 2х2,5</t>
  </si>
  <si>
    <t>Патрон</t>
  </si>
  <si>
    <t>Лампа 50W</t>
  </si>
  <si>
    <t>Электр коробка 100х100</t>
  </si>
  <si>
    <t>Кабель ПВС 2х4</t>
  </si>
  <si>
    <t>Кабель ПВС 4х2,5</t>
  </si>
  <si>
    <t>Автомат 80А</t>
  </si>
  <si>
    <t>Изолента</t>
  </si>
  <si>
    <t>Пена монтажная</t>
  </si>
  <si>
    <t>Стены</t>
  </si>
  <si>
    <t>Супурги Котта</t>
  </si>
  <si>
    <t>Супурги Кичкина</t>
  </si>
  <si>
    <t>Вертолет Диск</t>
  </si>
  <si>
    <t>Опалубка мой</t>
  </si>
  <si>
    <t>Стеновые материалы</t>
  </si>
  <si>
    <t>Мастерок</t>
  </si>
  <si>
    <t>Вибратор глубынний</t>
  </si>
  <si>
    <t>Бурь 14*350</t>
  </si>
  <si>
    <t>Фонарь</t>
  </si>
  <si>
    <t>Весы 200кг</t>
  </si>
  <si>
    <t>Пенопласт</t>
  </si>
  <si>
    <t>Пиломатериалы</t>
  </si>
  <si>
    <t xml:space="preserve">кг </t>
  </si>
  <si>
    <t xml:space="preserve"> Вилка</t>
  </si>
  <si>
    <t>Колодка</t>
  </si>
  <si>
    <t>Диск отрезной 180</t>
  </si>
  <si>
    <t>Диск отрезной 230</t>
  </si>
  <si>
    <t>Сварка маска</t>
  </si>
  <si>
    <t>Сверло тахта 23мм</t>
  </si>
  <si>
    <t xml:space="preserve">Гвоздодёр </t>
  </si>
  <si>
    <t>Элак</t>
  </si>
  <si>
    <t xml:space="preserve">Патрон дрел </t>
  </si>
  <si>
    <t>Бочка для воды 1 тонна</t>
  </si>
  <si>
    <t>Карчер</t>
  </si>
  <si>
    <t>Турбофен</t>
  </si>
  <si>
    <t>Кабель сварки</t>
  </si>
  <si>
    <t>Инструмент набор</t>
  </si>
  <si>
    <t>Фиксатор</t>
  </si>
  <si>
    <t xml:space="preserve">Скотч </t>
  </si>
  <si>
    <t>Болгарка средняя О180</t>
  </si>
  <si>
    <t>сим</t>
  </si>
  <si>
    <t xml:space="preserve"> </t>
  </si>
  <si>
    <t>Полиэтиновый пленка</t>
  </si>
  <si>
    <t xml:space="preserve">Вертолет </t>
  </si>
  <si>
    <t xml:space="preserve">Подшибник </t>
  </si>
  <si>
    <t xml:space="preserve">Ремень </t>
  </si>
  <si>
    <t>Солидол</t>
  </si>
  <si>
    <t>Шприц для солидола</t>
  </si>
  <si>
    <t>Профил 60/40/4+Доставка</t>
  </si>
  <si>
    <t>розетка</t>
  </si>
  <si>
    <t>Опора</t>
  </si>
  <si>
    <t>Аэрозол Белый</t>
  </si>
  <si>
    <t>шг</t>
  </si>
  <si>
    <t>Труба ПНД 32мм</t>
  </si>
  <si>
    <t>Запчасти труба</t>
  </si>
  <si>
    <t>Щить Метал 60х40</t>
  </si>
  <si>
    <t>Кабель ПВС 5х6</t>
  </si>
  <si>
    <t>Папка-Мамка 380</t>
  </si>
  <si>
    <t>Автомат 250А</t>
  </si>
  <si>
    <t>Автомат 160А</t>
  </si>
  <si>
    <t>Автомат 40А</t>
  </si>
  <si>
    <t>Автомат 25А</t>
  </si>
  <si>
    <t>Ноль клемма</t>
  </si>
  <si>
    <t>Наконечник алюмин</t>
  </si>
  <si>
    <t>Прожектор</t>
  </si>
  <si>
    <t>Динорейка</t>
  </si>
  <si>
    <t>СРОЧНО ЗАКАЗАТЬ — товары с низким остатком</t>
  </si>
  <si>
    <t>Порог остатка:</t>
  </si>
  <si>
    <t>← измените, и список обновится</t>
  </si>
  <si>
    <t>Остаток</t>
  </si>
  <si>
    <t>Последняя цена за ед.</t>
  </si>
  <si>
    <t>Поставщик</t>
  </si>
  <si>
    <t>Не заказывать</t>
  </si>
  <si>
    <t>✓</t>
  </si>
  <si>
    <t>Отвес большой</t>
  </si>
  <si>
    <t>Патрон дрел</t>
  </si>
  <si>
    <t>Гвоздодёр</t>
  </si>
  <si>
    <t>Скотч</t>
  </si>
  <si>
    <t>Ремень</t>
  </si>
  <si>
    <t>Подшибник</t>
  </si>
  <si>
    <t>Грузоотправитель</t>
  </si>
  <si>
    <t>Номер авто</t>
  </si>
  <si>
    <t>Марка бетона</t>
  </si>
  <si>
    <t>По доллару</t>
  </si>
  <si>
    <t>ООО "ADAMANT SAVDO PLYUS"</t>
  </si>
  <si>
    <t>01 125 QKA</t>
  </si>
  <si>
    <t>М400</t>
  </si>
  <si>
    <t>01 М021795</t>
  </si>
  <si>
    <t>01 W 646 TB</t>
  </si>
  <si>
    <t>01 910 VKA</t>
  </si>
  <si>
    <t>01 908 VKA</t>
  </si>
  <si>
    <t>40 783 YBA</t>
  </si>
  <si>
    <t>01 906 VKA</t>
  </si>
  <si>
    <t>01 731 FJA</t>
  </si>
  <si>
    <t>01 M021797</t>
  </si>
  <si>
    <t>01 917 JFA</t>
  </si>
  <si>
    <t xml:space="preserve">01 908 VKA </t>
  </si>
  <si>
    <t>01 729 FJA</t>
  </si>
  <si>
    <t>17.11.2025 Итог</t>
  </si>
  <si>
    <t>01 M021798</t>
  </si>
  <si>
    <t>29.11.2025 Итог</t>
  </si>
  <si>
    <t>01 162 HLA</t>
  </si>
  <si>
    <t>M150</t>
  </si>
  <si>
    <t>01 569 HGA</t>
  </si>
  <si>
    <t>01 169 HLA</t>
  </si>
  <si>
    <t>01 168 HLA</t>
  </si>
  <si>
    <t>01 652 WLA</t>
  </si>
  <si>
    <t>01 M021795</t>
  </si>
  <si>
    <t>01 481 BFA</t>
  </si>
  <si>
    <t>01 276 PLA</t>
  </si>
  <si>
    <t>01 539 LKA</t>
  </si>
  <si>
    <t>01 P 890 VB</t>
  </si>
  <si>
    <t>01 512 TLA</t>
  </si>
  <si>
    <t>01 965 OHA</t>
  </si>
  <si>
    <t>01 W 227 TB</t>
  </si>
  <si>
    <t>01 462 SNA</t>
  </si>
  <si>
    <t>01 540 LKA</t>
  </si>
  <si>
    <t>01 M021794</t>
  </si>
  <si>
    <t>01 728 FJA</t>
  </si>
  <si>
    <t>01 273 PLA</t>
  </si>
  <si>
    <t>01 M021793</t>
  </si>
  <si>
    <t>01 M021796</t>
  </si>
  <si>
    <t>05.02.2026 Итог</t>
  </si>
  <si>
    <t>M300</t>
  </si>
  <si>
    <t>01 972 CJA</t>
  </si>
  <si>
    <t>01 651 WLA</t>
  </si>
  <si>
    <t>01 590 BDA</t>
  </si>
  <si>
    <t>01 163 HLA</t>
  </si>
  <si>
    <t>01 354 HMA</t>
  </si>
  <si>
    <t>01 650 WLA</t>
  </si>
  <si>
    <t>01 541 LKA</t>
  </si>
  <si>
    <t xml:space="preserve">01 972 CJA </t>
  </si>
  <si>
    <t>01 568 HGA</t>
  </si>
  <si>
    <t>19.02.2026 Итог</t>
  </si>
  <si>
    <t>01 726 FJA</t>
  </si>
  <si>
    <t>01 589 BDA</t>
  </si>
  <si>
    <t>01 M 021794</t>
  </si>
  <si>
    <t>01 M 021797</t>
  </si>
  <si>
    <t>01 M 021798</t>
  </si>
  <si>
    <t>01 M 021793</t>
  </si>
  <si>
    <t>25.02.2026 Итог</t>
  </si>
  <si>
    <t>01 796 FJA</t>
  </si>
  <si>
    <t>01 M 021795</t>
  </si>
  <si>
    <t>01 M 021796</t>
  </si>
  <si>
    <t>M350</t>
  </si>
  <si>
    <t>M 021795</t>
  </si>
  <si>
    <t>13.03.2026 Итог</t>
  </si>
  <si>
    <t>M400</t>
  </si>
  <si>
    <t>85 081 YAA</t>
  </si>
  <si>
    <t>01 917 FJA</t>
  </si>
  <si>
    <t>01 729 JFA</t>
  </si>
  <si>
    <t>18.03.2026 Итог</t>
  </si>
  <si>
    <t>19.03.2026 Итог</t>
  </si>
  <si>
    <t>01 168 HJA</t>
  </si>
  <si>
    <t>01 316 QKA</t>
  </si>
  <si>
    <t>01 542 LKA</t>
  </si>
  <si>
    <t>01.04.2026 Итог</t>
  </si>
  <si>
    <t>05.04.2026 Итог</t>
  </si>
  <si>
    <t>08.04.2026 Итог</t>
  </si>
  <si>
    <t>10.04.2026 Итог</t>
  </si>
  <si>
    <t>12.04.2026 Итог</t>
  </si>
  <si>
    <t>15.04.2026 Итог</t>
  </si>
  <si>
    <t>18.04.2026 Итог</t>
  </si>
  <si>
    <t>20.04.2026 Итог</t>
  </si>
  <si>
    <t>21.04.2026 Итог</t>
  </si>
  <si>
    <t>23.04.2026 Итог</t>
  </si>
  <si>
    <t>25.04.2026 Итог</t>
  </si>
  <si>
    <t>28.04.2026 Итог</t>
  </si>
  <si>
    <t>29.04.2026 Итог</t>
  </si>
  <si>
    <t>30.04.2026 Итог</t>
  </si>
  <si>
    <t>03.05.2026 Итог</t>
  </si>
  <si>
    <t>07.05.2026 Итог</t>
  </si>
  <si>
    <t>12.05.2026 Итог</t>
  </si>
  <si>
    <t>14.05.2026 Итог</t>
  </si>
  <si>
    <t>Покупатель</t>
  </si>
  <si>
    <t xml:space="preserve">Цена </t>
  </si>
  <si>
    <t>Цена $</t>
  </si>
  <si>
    <t>Цена с НДС</t>
  </si>
  <si>
    <t>Цена с НДС $</t>
  </si>
  <si>
    <t>Стоимость</t>
  </si>
  <si>
    <t>Бадья</t>
  </si>
  <si>
    <t>Улканбаев Равшан</t>
  </si>
  <si>
    <t>МЕВА ШАРБАТ ИЛМИЙ ЭКСПЕРИМЕНТАЛ ВИНОЧИЛИК</t>
  </si>
  <si>
    <t>01.11.2025 Итог</t>
  </si>
  <si>
    <t>02.11.2025 Итог</t>
  </si>
  <si>
    <t>Тахта 6х0,05х0,1</t>
  </si>
  <si>
    <t>Шерзод Ака</t>
  </si>
  <si>
    <t>м3</t>
  </si>
  <si>
    <t>03.11.2025 Итог</t>
  </si>
  <si>
    <t>Опалубка 330х120</t>
  </si>
  <si>
    <t>ОМАД ДУНЕСИ</t>
  </si>
  <si>
    <t>Опалубка 330х90</t>
  </si>
  <si>
    <t>Опалубка 330х80</t>
  </si>
  <si>
    <t>Опалубка 330х72</t>
  </si>
  <si>
    <t>Опалубка 330х60</t>
  </si>
  <si>
    <t>Опалубка 330х50</t>
  </si>
  <si>
    <t>Узел 30х30</t>
  </si>
  <si>
    <t>Захват сарик</t>
  </si>
  <si>
    <t>Стойка кора 2м</t>
  </si>
  <si>
    <t>Замок клин</t>
  </si>
  <si>
    <t>Замок универсал</t>
  </si>
  <si>
    <t>Пятка</t>
  </si>
  <si>
    <t>Адаптер</t>
  </si>
  <si>
    <t>Распорка 300/212</t>
  </si>
  <si>
    <t>Распорка 185/117</t>
  </si>
  <si>
    <t>Тайрот</t>
  </si>
  <si>
    <t>Колобок</t>
  </si>
  <si>
    <t>Леса</t>
  </si>
  <si>
    <t>ОРА ПРОГРЕС БИЗНЕС</t>
  </si>
  <si>
    <t>Диер Ака</t>
  </si>
  <si>
    <t>Тахта</t>
  </si>
  <si>
    <t>Колонна 300х90</t>
  </si>
  <si>
    <t>Колонна 300х120</t>
  </si>
  <si>
    <t>Угол 300х30</t>
  </si>
  <si>
    <t>Внут угол 300х50х30</t>
  </si>
  <si>
    <t xml:space="preserve">Болт для колон </t>
  </si>
  <si>
    <t xml:space="preserve">Пятка </t>
  </si>
  <si>
    <t>Адаптер подкоса</t>
  </si>
  <si>
    <t>Колон  300х120</t>
  </si>
  <si>
    <t>Колон 300х60</t>
  </si>
  <si>
    <t>Колон 300х50</t>
  </si>
  <si>
    <t>Колон 300х30</t>
  </si>
  <si>
    <t>01.03.2026 Итог</t>
  </si>
  <si>
    <t>Балка 3,3м</t>
  </si>
  <si>
    <t>АЗИЯ ФОРМВОРК</t>
  </si>
  <si>
    <t>Балка 3,6м</t>
  </si>
  <si>
    <t>Балка 3,9м</t>
  </si>
  <si>
    <t>10.03.2026 Итог</t>
  </si>
  <si>
    <t>Балка 1,5м</t>
  </si>
  <si>
    <t>АЛВООД ФОРМВОРК</t>
  </si>
  <si>
    <t>Балка 2,45</t>
  </si>
  <si>
    <t>Балка 2м</t>
  </si>
  <si>
    <t xml:space="preserve">Фанера </t>
  </si>
  <si>
    <t>Балка</t>
  </si>
  <si>
    <t>14.03.2026 Итог</t>
  </si>
  <si>
    <t>Консолы строительные</t>
  </si>
  <si>
    <t>Балка 1,45 (германские)</t>
  </si>
  <si>
    <t>ПЕРИ-ФС</t>
  </si>
  <si>
    <t>Болт стяжной 1м</t>
  </si>
  <si>
    <t>Болт стяжной 1,5м</t>
  </si>
  <si>
    <t>Гайка стяжная 100мм</t>
  </si>
  <si>
    <t>Балка 3,0м</t>
  </si>
  <si>
    <t>Балка двутавровая 3,3м</t>
  </si>
  <si>
    <t>Балка двутавровая 3,6м</t>
  </si>
  <si>
    <t>Балка двутавровая 3,9м</t>
  </si>
  <si>
    <t>02.04.2026 Итог</t>
  </si>
  <si>
    <t>Стойка Д-500</t>
  </si>
  <si>
    <t>Кассета 80х120</t>
  </si>
  <si>
    <t>Стойка 20-500</t>
  </si>
  <si>
    <t>Кассета 80х150</t>
  </si>
  <si>
    <t>10.04.2026 Итог Итог</t>
  </si>
  <si>
    <t>Стойка</t>
  </si>
  <si>
    <t>Частный</t>
  </si>
  <si>
    <t>16.04.2026 Итог</t>
  </si>
  <si>
    <t>Щиты стеновой опалубки</t>
  </si>
  <si>
    <t>Угловые щиты</t>
  </si>
  <si>
    <t>Опора универсальный 10-25мм</t>
  </si>
  <si>
    <t>27.04.2026 Итог</t>
  </si>
  <si>
    <t xml:space="preserve">Категория </t>
  </si>
  <si>
    <t>К-во</t>
  </si>
  <si>
    <t>Процесс работы</t>
  </si>
  <si>
    <t>Деньги</t>
  </si>
  <si>
    <t>Валюта2</t>
  </si>
  <si>
    <t>Текущий курс</t>
  </si>
  <si>
    <t>Сумма в сумах</t>
  </si>
  <si>
    <t>Бетонамешалка</t>
  </si>
  <si>
    <t>маш/час</t>
  </si>
  <si>
    <t>Подготовка бетона</t>
  </si>
  <si>
    <t>UZS</t>
  </si>
  <si>
    <t xml:space="preserve">Бетон </t>
  </si>
  <si>
    <t>куб</t>
  </si>
  <si>
    <t>Экскаватор</t>
  </si>
  <si>
    <t>Обед</t>
  </si>
  <si>
    <t>чел</t>
  </si>
  <si>
    <t xml:space="preserve">Щебень </t>
  </si>
  <si>
    <t>Дождевик</t>
  </si>
  <si>
    <t>Доставка дождевика</t>
  </si>
  <si>
    <t>Ужин</t>
  </si>
  <si>
    <t>Трос Стропа 6м</t>
  </si>
  <si>
    <t>Бозорли</t>
  </si>
  <si>
    <t>Юсель Кран</t>
  </si>
  <si>
    <t>Изоляция бетона</t>
  </si>
  <si>
    <t>Доставка мрамора</t>
  </si>
  <si>
    <t xml:space="preserve">Доставка </t>
  </si>
  <si>
    <t>Доставка опалубки</t>
  </si>
  <si>
    <t>Самосвал</t>
  </si>
  <si>
    <t>ходка</t>
  </si>
  <si>
    <t>Подготовка дорог</t>
  </si>
  <si>
    <t>ХозТовары</t>
  </si>
  <si>
    <t>Чистка Канализации</t>
  </si>
  <si>
    <t>Нон</t>
  </si>
  <si>
    <t>Журнал производства</t>
  </si>
  <si>
    <t>Погрузчик</t>
  </si>
  <si>
    <t>Щебень</t>
  </si>
  <si>
    <t>Хово</t>
  </si>
  <si>
    <t>Камаз</t>
  </si>
  <si>
    <t>Каток</t>
  </si>
  <si>
    <t>день</t>
  </si>
  <si>
    <t>Доставка(Метропол)</t>
  </si>
  <si>
    <t>Доставка(Колокольчик)</t>
  </si>
  <si>
    <t>Подушка</t>
  </si>
  <si>
    <t>Рация</t>
  </si>
  <si>
    <t>Супурги</t>
  </si>
  <si>
    <t>Доставка(Вертолет)</t>
  </si>
  <si>
    <t>Бозорли(Гуруч)</t>
  </si>
  <si>
    <t xml:space="preserve">Электрод </t>
  </si>
  <si>
    <t>Автовышка (Хитой)</t>
  </si>
  <si>
    <t xml:space="preserve">Бозорли </t>
  </si>
  <si>
    <t xml:space="preserve">Опалубка Мой </t>
  </si>
  <si>
    <t>Доставка Мой</t>
  </si>
  <si>
    <t xml:space="preserve">Доставка Бозорли </t>
  </si>
  <si>
    <t xml:space="preserve">Строй Материал </t>
  </si>
  <si>
    <t>Зил</t>
  </si>
  <si>
    <t>Кран</t>
  </si>
  <si>
    <t xml:space="preserve">Эскаватор </t>
  </si>
  <si>
    <t>Эхсон</t>
  </si>
  <si>
    <t>ТБ</t>
  </si>
  <si>
    <t>Холодильник</t>
  </si>
  <si>
    <t>Howo</t>
  </si>
  <si>
    <t>Геодезия</t>
  </si>
  <si>
    <t>Доставка Сим</t>
  </si>
  <si>
    <t>Строй Материал+Доставка</t>
  </si>
  <si>
    <t xml:space="preserve">Миржалол Аванс </t>
  </si>
  <si>
    <t>Доставка пенопласта</t>
  </si>
  <si>
    <t>Автовышка (Ивановец)</t>
  </si>
  <si>
    <t>Бетон плита</t>
  </si>
  <si>
    <t>Аренда болгарки</t>
  </si>
  <si>
    <t>Доставка(Бозорли)</t>
  </si>
  <si>
    <t xml:space="preserve">Кран замена </t>
  </si>
  <si>
    <t>ППР(ПТО)</t>
  </si>
  <si>
    <t>Ремонт Электроинструментов</t>
  </si>
  <si>
    <t>Обвал убрать</t>
  </si>
  <si>
    <t>Счетчик</t>
  </si>
  <si>
    <t>Подвал</t>
  </si>
  <si>
    <t>Оплата за подушку</t>
  </si>
  <si>
    <t>Строй Материал</t>
  </si>
  <si>
    <t xml:space="preserve">Крановщик </t>
  </si>
  <si>
    <t>Миржалол</t>
  </si>
  <si>
    <t>Охрана</t>
  </si>
  <si>
    <t>Нурсаид</t>
  </si>
  <si>
    <t>Карта</t>
  </si>
  <si>
    <t>Бозорли доставка</t>
  </si>
  <si>
    <t xml:space="preserve">Электросеть </t>
  </si>
  <si>
    <t>Возвращен</t>
  </si>
  <si>
    <t>Хабибулло</t>
  </si>
  <si>
    <t>приход</t>
  </si>
  <si>
    <t>При себе</t>
  </si>
  <si>
    <t>Умар</t>
  </si>
  <si>
    <t>Комиссия</t>
  </si>
  <si>
    <t>Садулла Ака</t>
  </si>
  <si>
    <t>Мойка</t>
  </si>
  <si>
    <t>Шаландра</t>
  </si>
  <si>
    <t>Арматура перенос</t>
  </si>
  <si>
    <t>Бозорлик(Гуруч)</t>
  </si>
  <si>
    <t>Кабель для сваркы с набором</t>
  </si>
  <si>
    <t>Бензин+Возврат Хаби</t>
  </si>
  <si>
    <t>Бозорли(Хайриддин)</t>
  </si>
  <si>
    <t>Возврат турбофен</t>
  </si>
  <si>
    <t xml:space="preserve">Проект А3 </t>
  </si>
  <si>
    <t>Полиграфия</t>
  </si>
  <si>
    <t>Аванс</t>
  </si>
  <si>
    <t>Ойликдан</t>
  </si>
  <si>
    <t>Подвал(Хайриддин)</t>
  </si>
  <si>
    <t>Доставка фиксатор</t>
  </si>
  <si>
    <t>Арматура лаборатория</t>
  </si>
  <si>
    <t>бозорлик</t>
  </si>
  <si>
    <t xml:space="preserve">Кран </t>
  </si>
  <si>
    <t>Пена Монтажная</t>
  </si>
  <si>
    <t>Фахриддин Ака</t>
  </si>
  <si>
    <t>купил</t>
  </si>
  <si>
    <t>Труба ПВХ 25мм 3мм</t>
  </si>
  <si>
    <t>Фахриддин Ака(Жамол Ака)</t>
  </si>
  <si>
    <t>иш хаки</t>
  </si>
  <si>
    <t>Фахриддин Ака(Садулла Ака)</t>
  </si>
  <si>
    <t>Хизмат хаки</t>
  </si>
  <si>
    <t>Бетон завод</t>
  </si>
  <si>
    <t>Газ перенос</t>
  </si>
  <si>
    <t>Аренда газонакосилки</t>
  </si>
  <si>
    <t>Аренда</t>
  </si>
  <si>
    <t>Офис</t>
  </si>
  <si>
    <t>Учок</t>
  </si>
  <si>
    <t xml:space="preserve">Ош </t>
  </si>
  <si>
    <t>Хайриддин</t>
  </si>
  <si>
    <t>Вибратор шланг</t>
  </si>
  <si>
    <t>Доставка строй материала</t>
  </si>
  <si>
    <t>Для поставка опалубки</t>
  </si>
  <si>
    <t>Солидол с шприцом</t>
  </si>
  <si>
    <t>Профиль 60/40/4+Доставка</t>
  </si>
  <si>
    <t>Доставка стойки</t>
  </si>
  <si>
    <t>подвал</t>
  </si>
  <si>
    <t>Доставка опалубка мой</t>
  </si>
  <si>
    <t>Доставка Опалубки</t>
  </si>
  <si>
    <t>Кухня</t>
  </si>
  <si>
    <t>Фонтан Полив+Охак</t>
  </si>
  <si>
    <t>Строй материал</t>
  </si>
  <si>
    <t>1-этаж</t>
  </si>
  <si>
    <t>Спец.Одежда</t>
  </si>
  <si>
    <t>Мих 70 и 100 (С доставкой)</t>
  </si>
  <si>
    <t>Сим (С доставкой)</t>
  </si>
  <si>
    <t>Труба ПНД 32мм 3мм</t>
  </si>
  <si>
    <t xml:space="preserve">Камера </t>
  </si>
  <si>
    <t>Установка камеры</t>
  </si>
  <si>
    <t>Котлованчилага</t>
  </si>
  <si>
    <t>Стабилизатор</t>
  </si>
  <si>
    <t>Столбец2</t>
  </si>
  <si>
    <t>Столбец3</t>
  </si>
  <si>
    <t>Столбец4</t>
  </si>
  <si>
    <t>Столбец5</t>
  </si>
  <si>
    <t>Столбец6</t>
  </si>
  <si>
    <t>Санжар</t>
  </si>
  <si>
    <t>Миролим</t>
  </si>
  <si>
    <t>миржалол</t>
  </si>
  <si>
    <t>Питание</t>
  </si>
  <si>
    <t xml:space="preserve">Миржалол </t>
  </si>
  <si>
    <t>Ходка</t>
  </si>
  <si>
    <t>08.02.2026 Итог</t>
  </si>
  <si>
    <t>11.02.2026 Итог</t>
  </si>
  <si>
    <t>13.02.2026 Итог</t>
  </si>
  <si>
    <t>20.02.2026 Итог</t>
  </si>
  <si>
    <t>21.02.2026 Итог</t>
  </si>
  <si>
    <t>27.03.2026 Итог</t>
  </si>
  <si>
    <t>09.04.2026 Итог</t>
  </si>
  <si>
    <t>Столбец62</t>
  </si>
  <si>
    <t>Столбец7</t>
  </si>
  <si>
    <t>Столбец8</t>
  </si>
  <si>
    <t>🛡️  ЖУРНАЛ ОХРАНЫ  •  GREEN TASHKENT</t>
  </si>
  <si>
    <t>Учёт въезда транспорта • смены • грузы</t>
  </si>
  <si>
    <t>🚛 Номер авто</t>
  </si>
  <si>
    <t>Тип авто</t>
  </si>
  <si>
    <t>📦 Наименование груза</t>
  </si>
  <si>
    <t>👤 Смена</t>
  </si>
  <si>
    <t>🏢 Предприниматель</t>
  </si>
  <si>
    <t>Гравий</t>
  </si>
  <si>
    <t>Миродил</t>
  </si>
  <si>
    <t>Мева Шарбат Илмий Экспереминтал Виночилик</t>
  </si>
  <si>
    <t>01 А 812 ЕС</t>
  </si>
  <si>
    <t>Манипулятор</t>
  </si>
  <si>
    <t>Ремонт щит</t>
  </si>
  <si>
    <t>Журабек</t>
  </si>
  <si>
    <t>01 К 629 КС</t>
  </si>
  <si>
    <t>Ремонт щит(возврат)</t>
  </si>
  <si>
    <t>Плита</t>
  </si>
  <si>
    <t>Снос</t>
  </si>
  <si>
    <t>01 М 017340</t>
  </si>
  <si>
    <t>10 415 ДСА</t>
  </si>
  <si>
    <t>01 Л 643 ГА</t>
  </si>
  <si>
    <t>Бутилка</t>
  </si>
  <si>
    <t>01 В 615 Х,А</t>
  </si>
  <si>
    <t>01 В 479 ЖА</t>
  </si>
  <si>
    <t>Гишт</t>
  </si>
  <si>
    <t>75 Т 026 КА</t>
  </si>
  <si>
    <t>Газель</t>
  </si>
  <si>
    <t>Металл</t>
  </si>
  <si>
    <t>01 М 624 ЙС</t>
  </si>
  <si>
    <t>01 Ф 681 НБ</t>
  </si>
  <si>
    <t>10 243 ВСА</t>
  </si>
  <si>
    <t>10 376 ВСА</t>
  </si>
  <si>
    <t>01 У 452 К,С</t>
  </si>
  <si>
    <t>75 П 527 ХА</t>
  </si>
  <si>
    <t>20 Х, 603 Х,А</t>
  </si>
  <si>
    <t>Исузу</t>
  </si>
  <si>
    <t>30 0804 БА</t>
  </si>
  <si>
    <t>10 Б 227 МБ</t>
  </si>
  <si>
    <t>тонна</t>
  </si>
  <si>
    <t>Сим 8мм</t>
  </si>
  <si>
    <t>Такси</t>
  </si>
  <si>
    <t>Кабель</t>
  </si>
  <si>
    <t>Бетономешалка</t>
  </si>
  <si>
    <t>01 4200 БА</t>
  </si>
  <si>
    <t>Завод Бетон</t>
  </si>
  <si>
    <t>Адамант Савдо Плюс</t>
  </si>
  <si>
    <t>Угольник</t>
  </si>
  <si>
    <t>10 807 ГСА</t>
  </si>
  <si>
    <t>Фотон</t>
  </si>
  <si>
    <t>Фанера</t>
  </si>
  <si>
    <t>01 672 УЕА</t>
  </si>
  <si>
    <t>01 М 021798</t>
  </si>
  <si>
    <t>01 4955 АА</t>
  </si>
  <si>
    <t>01 731 ФЖА</t>
  </si>
  <si>
    <t>10 5374 БА</t>
  </si>
  <si>
    <t>КИА</t>
  </si>
  <si>
    <t>ЮСЕЛЛ</t>
  </si>
  <si>
    <t>01 352 ЛЕА</t>
  </si>
  <si>
    <t>УЗТЕЛЕКОМ</t>
  </si>
  <si>
    <t>10 Х 498 ТА</t>
  </si>
  <si>
    <t>75 Ф 607 КА</t>
  </si>
  <si>
    <t>01 М 021793</t>
  </si>
  <si>
    <t>01 072 РХ,А</t>
  </si>
  <si>
    <t>10 Х 428 ТА</t>
  </si>
  <si>
    <t>01 М 358 ХС</t>
  </si>
  <si>
    <t>Полизол</t>
  </si>
  <si>
    <t>10 б 907 ОА</t>
  </si>
  <si>
    <t>Мусор</t>
  </si>
  <si>
    <t>10 О 434 ОА</t>
  </si>
  <si>
    <t>Лабо</t>
  </si>
  <si>
    <t>Балка,Тайрот</t>
  </si>
  <si>
    <t>10 2363 БА</t>
  </si>
  <si>
    <t>10 Ж 687 ЖБ</t>
  </si>
  <si>
    <t>Балон</t>
  </si>
  <si>
    <t>01 908 ВКА</t>
  </si>
  <si>
    <t>Цементовоз</t>
  </si>
  <si>
    <t>Цемент</t>
  </si>
  <si>
    <t>10 М 402 МБ</t>
  </si>
  <si>
    <t>Клей</t>
  </si>
  <si>
    <t>Клинец</t>
  </si>
  <si>
    <t>Вертолет олиб кетган</t>
  </si>
  <si>
    <t>Вертолет олиб келди</t>
  </si>
  <si>
    <t>Труба для газа, Угольник</t>
  </si>
  <si>
    <t>Кум</t>
  </si>
  <si>
    <t>01 О 863 ВВС</t>
  </si>
  <si>
    <t>10 ВВ 170 К,А</t>
  </si>
  <si>
    <t>10 0479 АА</t>
  </si>
  <si>
    <t>01 У 230 УС</t>
  </si>
  <si>
    <t>40 0193 БА</t>
  </si>
  <si>
    <t>30 2106 БА</t>
  </si>
  <si>
    <t>Вольга</t>
  </si>
  <si>
    <t>Профил</t>
  </si>
  <si>
    <t>01 Й 429 ЕБ</t>
  </si>
  <si>
    <t>Хим.Добавка</t>
  </si>
  <si>
    <t>01 5169 БА</t>
  </si>
  <si>
    <t>01 906 ВКА</t>
  </si>
  <si>
    <t>01 814 БЖА</t>
  </si>
  <si>
    <t>01 615 ГХ,А</t>
  </si>
  <si>
    <t>СИМ 2мм</t>
  </si>
  <si>
    <t>01 568 Х,ГА</t>
  </si>
  <si>
    <t>30 7426 АА</t>
  </si>
  <si>
    <t>Пришел</t>
  </si>
  <si>
    <t>01 688 МКА</t>
  </si>
  <si>
    <t>Кислород,газ балон об кетшти</t>
  </si>
  <si>
    <t>Газчилар</t>
  </si>
  <si>
    <t>01 040 ВВХ,А</t>
  </si>
  <si>
    <t>01 М 320 ТБ</t>
  </si>
  <si>
    <t>01 Н 338 ЛБ</t>
  </si>
  <si>
    <t>Ушел</t>
  </si>
  <si>
    <t>01 251 БЛА</t>
  </si>
  <si>
    <t>01 729 ФЖА</t>
  </si>
  <si>
    <t>Тупрок</t>
  </si>
  <si>
    <t>Котлованчила</t>
  </si>
  <si>
    <t>Кучага</t>
  </si>
  <si>
    <t>01 253 БЛА</t>
  </si>
  <si>
    <t>01 965 ОХ,А</t>
  </si>
  <si>
    <t>📞 КОНТАКТЫ • GREEN TASHKENT</t>
  </si>
  <si>
    <t>👤 Имя</t>
  </si>
  <si>
    <t>💼 Должность / Что делает</t>
  </si>
  <si>
    <t>📱 Телефон</t>
  </si>
  <si>
    <t>🏢 Организация</t>
  </si>
  <si>
    <t>📝 Примечание</t>
  </si>
  <si>
    <t>Разнорабочий,Охрана</t>
  </si>
  <si>
    <t>+998 93 763 22 32</t>
  </si>
  <si>
    <t>Мева Шарбат Илмий Экспереминтал</t>
  </si>
  <si>
    <t>Артизан</t>
  </si>
  <si>
    <t>Сув чикариш хизмати</t>
  </si>
  <si>
    <t>+998 99 200 80 00</t>
  </si>
  <si>
    <t>Олим Ака</t>
  </si>
  <si>
    <t>+998 93 094 26 67</t>
  </si>
  <si>
    <t xml:space="preserve">Мурод Ака </t>
  </si>
  <si>
    <t>+998  88 188 81 14</t>
  </si>
  <si>
    <t>Юнусобод Бозор</t>
  </si>
  <si>
    <t>+998 97 599 94 01</t>
  </si>
  <si>
    <t>Бухгалтерия</t>
  </si>
  <si>
    <t>+998 97 146 69 46</t>
  </si>
  <si>
    <t>Менеджер</t>
  </si>
  <si>
    <t>+998 99 895 52 72</t>
  </si>
  <si>
    <t>+998 93 042 49 39</t>
  </si>
  <si>
    <t>Фазлиддин Ака</t>
  </si>
  <si>
    <t>Электрик</t>
  </si>
  <si>
    <t>+998 90 933 90 07</t>
  </si>
  <si>
    <t>Элер</t>
  </si>
  <si>
    <t>Экскаватор 140В</t>
  </si>
  <si>
    <t>+998 97 035 27 35</t>
  </si>
  <si>
    <t>Хайрулла</t>
  </si>
  <si>
    <t>Мой Опалубка</t>
  </si>
  <si>
    <t>+998 90 973 07 08</t>
  </si>
  <si>
    <t>Экскаватор 60В</t>
  </si>
  <si>
    <t>+998 95 767 97 87</t>
  </si>
  <si>
    <t>Иброхим Ака</t>
  </si>
  <si>
    <t>Камера наблюдение</t>
  </si>
  <si>
    <t>+998 97 402 24 42</t>
  </si>
  <si>
    <t>Махмуджон</t>
  </si>
  <si>
    <t>Дрип Доктор (Фитинг,труба)</t>
  </si>
  <si>
    <t>+998 97 719 90 00</t>
  </si>
  <si>
    <t>Мумин</t>
  </si>
  <si>
    <t>Доставка Сергили</t>
  </si>
  <si>
    <t>+998 97 344 41 44</t>
  </si>
  <si>
    <t>Техника Безопасности</t>
  </si>
  <si>
    <t>+998 93 573 00 20</t>
  </si>
  <si>
    <t>Ислом</t>
  </si>
  <si>
    <t>+998 99 039 98 05</t>
  </si>
  <si>
    <t>Равшан Ака</t>
  </si>
  <si>
    <t>+998 97 002 81 18</t>
  </si>
  <si>
    <t>Бахтиер Ака</t>
  </si>
  <si>
    <t>Сим,Мих,Перчатка</t>
  </si>
  <si>
    <t>+998 99 870 34 56</t>
  </si>
  <si>
    <t>Дилшод Ака</t>
  </si>
  <si>
    <t>Ремень-Подшибники</t>
  </si>
  <si>
    <t>+998 98 368 33 31</t>
  </si>
  <si>
    <t>+998</t>
  </si>
  <si>
    <t>ШЕРЗОД АКА  ◆  УЧЁТ РАСХОДОВ</t>
  </si>
  <si>
    <t>Сумма за ед.</t>
  </si>
  <si>
    <t>ИТОГО</t>
  </si>
  <si>
    <t>Пистолет для бетона</t>
  </si>
  <si>
    <t>Каска</t>
  </si>
  <si>
    <t>Жилет</t>
  </si>
  <si>
    <t>Бурь 12*350</t>
  </si>
  <si>
    <t>Бурь 16*350</t>
  </si>
  <si>
    <t>Уровень длина(100см)</t>
  </si>
  <si>
    <t>Мурод ака</t>
  </si>
  <si>
    <t>Кучадан келди</t>
  </si>
  <si>
    <t>Сим 1,2мм</t>
  </si>
  <si>
    <t>кучага</t>
  </si>
  <si>
    <t>Дарахт</t>
  </si>
  <si>
    <t>Экология</t>
  </si>
  <si>
    <t>30 V 873 TB</t>
  </si>
  <si>
    <t>30 N 957 KB</t>
  </si>
  <si>
    <t>30 L 329 RB</t>
  </si>
  <si>
    <t>30 N 989 XA</t>
  </si>
  <si>
    <t>Профнастил</t>
  </si>
  <si>
    <t>Козон-Учок</t>
  </si>
  <si>
    <t>Оцинкованный лист 10мм</t>
  </si>
  <si>
    <t>Крюк крана</t>
  </si>
  <si>
    <t>Аренда сварочного аппарата</t>
  </si>
  <si>
    <t>Использовано</t>
  </si>
  <si>
    <t>Использовано2</t>
  </si>
  <si>
    <t>Использовано3</t>
  </si>
  <si>
    <t>Использовано4</t>
  </si>
  <si>
    <t>Использовано5</t>
  </si>
  <si>
    <t>Использовано6</t>
  </si>
  <si>
    <t>Использовано7</t>
  </si>
  <si>
    <t>Использовано8</t>
  </si>
  <si>
    <t>Использовано9</t>
  </si>
  <si>
    <t>Нет</t>
  </si>
  <si>
    <t>ОСТАТОК АРМАТУРЫ В РЕАЛЬНОМ ВРЕМЕНИ</t>
  </si>
  <si>
    <t>Диаметр (D)</t>
  </si>
  <si>
    <t>Остаток шт/связок</t>
  </si>
  <si>
    <t>Остаток вес (кг)</t>
  </si>
  <si>
    <t>Использовано10</t>
  </si>
  <si>
    <t>Да</t>
  </si>
  <si>
    <t>01 P 890 HB</t>
  </si>
  <si>
    <t>Итого использован</t>
  </si>
  <si>
    <t>Чашоген</t>
  </si>
  <si>
    <t>Туалет для рабочих</t>
  </si>
  <si>
    <t>Трап</t>
  </si>
  <si>
    <t>01 П 890 Х,Б</t>
  </si>
  <si>
    <t>Затирочная машина</t>
  </si>
  <si>
    <t>Насос</t>
  </si>
  <si>
    <t>Глубинный насос</t>
  </si>
  <si>
    <t>Насосга</t>
  </si>
  <si>
    <t>Ок буз</t>
  </si>
  <si>
    <t>Изоляция</t>
  </si>
  <si>
    <t>Равшан Ака(Изоляция)</t>
  </si>
  <si>
    <t>Камера</t>
  </si>
  <si>
    <t>+998 95 551 90 90</t>
  </si>
  <si>
    <t>Изоляция материал</t>
  </si>
  <si>
    <t>аванс</t>
  </si>
  <si>
    <t>Стойка МР-370</t>
  </si>
  <si>
    <t>01 910 ВКА</t>
  </si>
  <si>
    <t>Запчасти для крана</t>
  </si>
  <si>
    <t>10 0374 БА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</si>
</sst>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4" formatCode="_-* #,##0.00\ &quot;₽&quot;_-;\-* #,##0.00\ &quot;₽&quot;_-;_-* &quot;-&quot;??\ &quot;₽&quot;_-;_-@_-"/>
    <numFmt numFmtId="164" formatCode="_-* #,##0.00\ _₽_-;\-* #,##0.00\ _₽_-;_-* &quot;-&quot;??\ _₽_-;_-@_-"/>
    <numFmt numFmtId="165" formatCode="#,##0.00&quot; т&quot;"/>
    <numFmt numFmtId="166" formatCode="_-[$$-409]* #,##0.00_ ;_-[$$-409]* \-#,##0.00\ ;_-[$$-409]* &quot;-&quot;??_ ;_-@_ "/>
    <numFmt numFmtId="167" formatCode="#,##0&quot; сум&quot;;[Red]\(#,##0\)&quot; сум&quot;;&quot;-&quot;"/>
    <numFmt numFmtId="168" formatCode="[$$-409]#,##0.00;[Red]\-[$$-409]#,##0.00;&quot;-&quot;"/>
    <numFmt numFmtId="169" formatCode="dd\.mm\.yyyy"/>
    <numFmt numFmtId="170" formatCode="#,##0&quot; сум&quot;"/>
    <numFmt numFmtId="171" formatCode="[$$-409]#,##0.00"/>
    <numFmt numFmtId="172" formatCode="#,##0.00\ &quot;₽&quot;"/>
    <numFmt numFmtId="173" formatCode="#,##0.##;;\-"/>
    <numFmt numFmtId="174" formatCode="#,##0;;\-"/>
    <numFmt numFmtId="175" formatCode="#,##0\ &quot;сум&quot;;;\-"/>
    <numFmt numFmtId="176" formatCode="[$$-409]#,##0.00;;\-"/>
    <numFmt numFmtId="177" formatCode="#,##0.00;;\-"/>
    <numFmt numFmtId="178" formatCode="#,##0\ &quot;сум&quot;"/>
    <numFmt numFmtId="179" formatCode="#,##0;\-#,##0;\-"/>
    <numFmt numFmtId="180" formatCode="#,##0.00&quot; $&quot;"/>
    <numFmt numFmtId="181" formatCode="#,##0.000"/>
  </numFmts>
  <fonts count="100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2"/>
      <charset val="204"/>
    </font>
    <font>
      <sz val="11"/>
      <color theme="1"/>
      <name val="Calibri"/>
      <family val="2"/>
      <scheme val="minor"/>
    </font>
    <font>
      <sz val="11"/>
      <color rgb="FF006100"/>
      <name val="Times New Roman"/>
      <family val="2"/>
      <charset val="204"/>
    </font>
    <font>
      <sz val="11"/>
      <color rgb="FF9C0006"/>
      <name val="Times New Roman"/>
      <family val="2"/>
      <charset val="204"/>
    </font>
    <font>
      <sz val="11"/>
      <color rgb="FF9C5700"/>
      <name val="Times New Roman"/>
      <family val="2"/>
      <charset val="204"/>
    </font>
    <font>
      <b/>
      <sz val="11"/>
      <color rgb="FF3F3F3F"/>
      <name val="Times New Roman"/>
      <family val="2"/>
      <charset val="204"/>
    </font>
    <font>
      <b/>
      <sz val="11"/>
      <color theme="0"/>
      <name val="Times New Roman"/>
      <family val="2"/>
      <charset val="204"/>
    </font>
    <font>
      <b/>
      <sz val="11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1B5E20"/>
      <name val="Calibri"/>
      <family val="2"/>
    </font>
    <font>
      <b/>
      <sz val="12"/>
      <color rgb="FF1B5E20"/>
      <name val="Calibri"/>
      <family val="2"/>
    </font>
    <font>
      <sz val="11"/>
      <color rgb="FF000000"/>
      <name val="Calibri"/>
      <family val="2"/>
      <scheme val="minor"/>
    </font>
    <font>
      <b/>
      <sz val="12"/>
      <color rgb="FFFFFFFF"/>
      <name val="Calibri"/>
      <family val="2"/>
    </font>
    <font>
      <sz val="11"/>
      <color rgb="FF000000"/>
      <name val="Calibri"/>
      <family val="2"/>
    </font>
    <font>
      <b/>
      <sz val="11"/>
      <color rgb="FF1F4E78"/>
      <name val="Calibri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FF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  <charset val="204"/>
      <scheme val="minor"/>
    </font>
    <font>
      <sz val="11"/>
      <name val="Calibri"/>
      <family val="2"/>
      <scheme val="minor"/>
    </font>
    <font>
      <sz val="11"/>
      <color theme="9" tint="0.3999755851924192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E65100"/>
      <name val="Calibri"/>
      <family val="2"/>
      <scheme val="minor"/>
    </font>
    <font>
      <b/>
      <sz val="11"/>
      <color rgb="FFC62828"/>
      <name val="Calibri"/>
      <family val="2"/>
      <scheme val="minor"/>
    </font>
    <font>
      <sz val="16"/>
      <color rgb="FF000000"/>
      <name val="Arial"/>
      <family val="2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sz val="10"/>
      <color rgb="FF000000"/>
      <name val="Calibri"/>
      <family val="2"/>
    </font>
    <font>
      <sz val="10"/>
      <color rgb="FF000000"/>
      <name val="Calibri"/>
      <family val="2"/>
      <scheme val="minor"/>
    </font>
    <font>
      <sz val="10"/>
      <color rgb="FF1B5E20"/>
      <name val="Calibri"/>
      <family val="2"/>
    </font>
    <font>
      <b/>
      <sz val="10"/>
      <color rgb="FF1B5E20"/>
      <name val="Calibri"/>
      <family val="2"/>
    </font>
    <font>
      <sz val="10"/>
      <color rgb="FF1B5E20"/>
      <name val="Calibri"/>
      <family val="2"/>
      <scheme val="minor"/>
    </font>
    <font>
      <sz val="10"/>
      <color rgb="FF880E4F"/>
      <name val="Calibri"/>
      <family val="2"/>
    </font>
    <font>
      <b/>
      <sz val="10"/>
      <color rgb="FF880E4F"/>
      <name val="Calibri"/>
      <family val="2"/>
    </font>
    <font>
      <sz val="10"/>
      <color rgb="FFE65100"/>
      <name val="Calibri"/>
      <family val="2"/>
      <scheme val="minor"/>
    </font>
    <font>
      <b/>
      <sz val="10"/>
      <color rgb="FFE65100"/>
      <name val="Calibri"/>
      <family val="2"/>
      <scheme val="minor"/>
    </font>
    <font>
      <sz val="11"/>
      <color rgb="FF1A237E"/>
      <name val="Calibri"/>
      <family val="2"/>
      <scheme val="minor"/>
    </font>
    <font>
      <b/>
      <sz val="12"/>
      <color rgb="FFFFD54F"/>
      <name val="Calibri"/>
      <family val="2"/>
      <scheme val="minor"/>
    </font>
    <font>
      <sz val="11"/>
      <color rgb="FF3E2723"/>
      <name val="Calibri"/>
      <family val="2"/>
    </font>
    <font>
      <b/>
      <sz val="12"/>
      <color rgb="FFFFD180"/>
      <name val="Calibri"/>
      <family val="2"/>
    </font>
    <font>
      <b/>
      <sz val="12"/>
      <color rgb="FFE0F2F1"/>
      <name val="Calibri"/>
      <family val="2"/>
    </font>
    <font>
      <b/>
      <sz val="11"/>
      <color rgb="FFBF360C"/>
      <name val="Calibri"/>
      <family val="2"/>
    </font>
    <font>
      <sz val="10"/>
      <color rgb="FF000000"/>
      <name val="Times New Roman"/>
      <family val="1"/>
      <charset val="204"/>
    </font>
    <font>
      <sz val="11"/>
      <color rgb="FF212121"/>
      <name val="Calibri"/>
      <family val="2"/>
    </font>
    <font>
      <sz val="11"/>
      <color rgb="FF21212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33691E"/>
      <name val="Calibri"/>
      <family val="2"/>
    </font>
    <font>
      <sz val="11"/>
      <color rgb="FF01579B"/>
      <name val="Calibri"/>
      <family val="2"/>
    </font>
    <font>
      <sz val="11"/>
      <color rgb="FF4A148C"/>
      <name val="Calibri"/>
      <family val="2"/>
    </font>
    <font>
      <sz val="11"/>
      <color rgb="FF1B1B1B"/>
      <name val="Calibri"/>
      <family val="2"/>
    </font>
    <font>
      <sz val="11"/>
      <color rgb="FF1B1B1B"/>
      <name val="Calibri"/>
      <family val="2"/>
      <scheme val="minor"/>
    </font>
    <font>
      <b/>
      <sz val="12"/>
      <color rgb="FFFFECB3"/>
      <name val="Calibri"/>
      <family val="2"/>
    </font>
    <font>
      <b/>
      <sz val="12"/>
      <color rgb="FFFFECB3"/>
      <name val="Calibri"/>
      <family val="2"/>
      <scheme val="minor"/>
    </font>
    <font>
      <b/>
      <sz val="11"/>
      <color rgb="FF4A148C"/>
      <name val="Calibri"/>
      <family val="2"/>
    </font>
    <font>
      <sz val="11"/>
      <color rgb="FF006064"/>
      <name val="Calibri"/>
      <family val="2"/>
    </font>
    <font>
      <sz val="11"/>
      <color rgb="FF880E4F"/>
      <name val="Calibri"/>
      <family val="2"/>
    </font>
    <font>
      <sz val="11"/>
      <color rgb="FF0D1B2A"/>
      <name val="Calibri"/>
      <family val="2"/>
      <scheme val="minor"/>
    </font>
    <font>
      <b/>
      <sz val="12"/>
      <color rgb="FFFFD700"/>
      <name val="Calibri"/>
      <family val="2"/>
      <scheme val="minor"/>
    </font>
    <font>
      <b/>
      <sz val="11"/>
      <color rgb="FF0D2C54"/>
      <name val="Calibri"/>
      <family val="2"/>
      <scheme val="minor"/>
    </font>
    <font>
      <b/>
      <sz val="11"/>
      <color rgb="FF8D6E00"/>
      <name val="Calibri"/>
      <family val="2"/>
      <scheme val="minor"/>
    </font>
    <font>
      <b/>
      <sz val="11"/>
      <color rgb="FF0D47A1"/>
      <name val="Calibri"/>
      <family val="2"/>
      <scheme val="minor"/>
    </font>
    <font>
      <b/>
      <sz val="12"/>
      <color rgb="FFFFB300"/>
      <name val="Calibri"/>
      <family val="2"/>
      <scheme val="minor"/>
    </font>
    <font>
      <b/>
      <sz val="11"/>
      <color rgb="FF37474F"/>
      <name val="Calibri"/>
      <family val="2"/>
      <scheme val="minor"/>
    </font>
    <font>
      <b/>
      <sz val="11"/>
      <color rgb="FF263238"/>
      <name val="Calibri"/>
      <family val="2"/>
      <scheme val="minor"/>
    </font>
    <font>
      <sz val="11"/>
      <color rgb="FF546E7A"/>
      <name val="Calibri"/>
      <family val="2"/>
      <scheme val="minor"/>
    </font>
    <font>
      <sz val="11"/>
      <color rgb="FF1F2937"/>
      <name val="Calibri"/>
      <family val="2"/>
    </font>
    <font>
      <b/>
      <sz val="22"/>
      <color rgb="FFE8F5E9"/>
      <name val="Segoe UI"/>
      <family val="2"/>
    </font>
    <font>
      <i/>
      <sz val="11"/>
      <color rgb="FF1B5E20"/>
      <name val="Segoe UI"/>
      <family val="2"/>
    </font>
    <font>
      <sz val="10"/>
      <color theme="1"/>
      <name val="Segoe UI"/>
      <family val="2"/>
    </font>
    <font>
      <sz val="10"/>
      <color rgb="FF000000"/>
      <name val="Segoe UI"/>
      <family val="2"/>
    </font>
    <font>
      <sz val="9"/>
      <color theme="1"/>
      <name val="Segoe UI"/>
      <family val="2"/>
    </font>
    <font>
      <sz val="9"/>
      <color rgb="FF000000"/>
      <name val="Segoe U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FF"/>
      <name val="Calibri"/>
      <family val="2"/>
      <scheme val="minor"/>
    </font>
    <font>
      <i/>
      <sz val="11"/>
      <color rgb="FF666666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Segoe UI"/>
    </font>
    <font>
      <sz val="10"/>
      <color rgb="FF000000"/>
      <name val="Segoe UI"/>
    </font>
    <font>
      <b/>
      <sz val="16"/>
      <color rgb="FFE8F5E9"/>
      <name val="Segoe UI"/>
      <family val="2"/>
    </font>
    <font>
      <sz val="11"/>
      <color rgb="FF1A237E"/>
      <name val="Segoe UI"/>
      <family val="2"/>
    </font>
    <font>
      <i/>
      <sz val="10"/>
      <color rgb="FF5D6D7E"/>
      <name val="Segoe UI"/>
      <family val="2"/>
    </font>
    <font>
      <b/>
      <sz val="22"/>
      <color rgb="FF0F1626"/>
      <name val="Segoe UI"/>
    </font>
    <font>
      <b/>
      <sz val="12"/>
      <color rgb="FF00E5A0"/>
      <name val="Segoe UI Semibold"/>
    </font>
    <font>
      <sz val="11"/>
      <color rgb="FFE8ECF1"/>
      <name val="Segoe UI"/>
    </font>
    <font>
      <b/>
      <sz val="11"/>
      <color rgb="FF00E5A0"/>
      <name val="Segoe UI"/>
    </font>
    <font>
      <b/>
      <sz val="13"/>
      <color rgb="FFE8ECF1"/>
      <name val="Calibri"/>
      <family val="2"/>
      <scheme val="minor"/>
    </font>
    <font>
      <b/>
      <sz val="13"/>
      <color rgb="FF0F1626"/>
      <name val="Segoe UI"/>
    </font>
    <font>
      <sz val="9"/>
      <color indexed="81"/>
      <name val="Tahoma"/>
      <charset val="204"/>
    </font>
    <font>
      <sz val="11"/>
      <name val="Arial"/>
      <charset val="1"/>
    </font>
    <font>
      <b/>
      <sz val="14"/>
      <name val="Arial"/>
      <charset val="1"/>
    </font>
    <font>
      <b/>
      <sz val="11"/>
      <color rgb="FFFFFFFF"/>
      <name val="Arial"/>
      <charset val="1"/>
    </font>
    <font>
      <b/>
      <sz val="11"/>
      <name val="Arial"/>
      <charset val="1"/>
    </font>
    <font>
      <sz val="11"/>
      <color rgb="FFE8ECF1"/>
      <name val="Segoe UI"/>
      <family val="2"/>
    </font>
  </fonts>
  <fills count="6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1E6B3A"/>
        <bgColor indexed="64"/>
      </patternFill>
    </fill>
    <fill>
      <patternFill patternType="solid">
        <fgColor rgb="FF2E8B57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C8E6C9"/>
        <bgColor indexed="64"/>
      </patternFill>
    </fill>
    <fill>
      <patternFill patternType="solid">
        <fgColor rgb="FFF5FB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F6E7A"/>
        <bgColor indexed="64"/>
      </patternFill>
    </fill>
    <fill>
      <patternFill patternType="solid">
        <fgColor rgb="FFE0F2F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4A148C"/>
        <bgColor indexed="64"/>
      </patternFill>
    </fill>
    <fill>
      <patternFill patternType="solid">
        <fgColor rgb="FF7B1FA2"/>
        <bgColor indexed="64"/>
      </patternFill>
    </fill>
    <fill>
      <patternFill patternType="solid">
        <fgColor rgb="FFF3E5F5"/>
        <bgColor indexed="64"/>
      </patternFill>
    </fill>
    <fill>
      <patternFill patternType="solid">
        <fgColor rgb="FF2E7D32"/>
        <bgColor indexed="64"/>
      </patternFill>
    </fill>
    <fill>
      <patternFill patternType="solid">
        <fgColor rgb="FF388E3C"/>
        <bgColor indexed="64"/>
      </patternFill>
    </fill>
    <fill>
      <patternFill patternType="solid">
        <fgColor rgb="FFC2185B"/>
        <bgColor indexed="64"/>
      </patternFill>
    </fill>
    <fill>
      <patternFill patternType="solid">
        <fgColor rgb="FFEF6C00"/>
        <bgColor indexed="64"/>
      </patternFill>
    </fill>
    <fill>
      <patternFill patternType="solid">
        <fgColor rgb="FFFCE4EC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rgb="FF1A237E"/>
        <bgColor indexed="64"/>
      </patternFill>
    </fill>
    <fill>
      <patternFill patternType="solid">
        <fgColor rgb="FF6A1B9A"/>
        <bgColor indexed="64"/>
      </patternFill>
    </fill>
    <fill>
      <patternFill patternType="solid">
        <fgColor rgb="FF4E342E"/>
        <bgColor indexed="64"/>
      </patternFill>
    </fill>
    <fill>
      <patternFill patternType="solid">
        <fgColor rgb="FF00695C"/>
        <bgColor indexed="64"/>
      </patternFill>
    </fill>
    <fill>
      <patternFill patternType="solid">
        <fgColor rgb="FFFFF8E1"/>
        <bgColor indexed="64"/>
      </patternFill>
    </fill>
    <fill>
      <patternFill patternType="solid">
        <fgColor rgb="FF37474F"/>
        <bgColor indexed="64"/>
      </patternFill>
    </fill>
    <fill>
      <patternFill patternType="solid">
        <fgColor rgb="FF558B2F"/>
        <bgColor indexed="64"/>
      </patternFill>
    </fill>
    <fill>
      <patternFill patternType="solid">
        <fgColor rgb="FFE64A19"/>
        <bgColor indexed="64"/>
      </patternFill>
    </fill>
    <fill>
      <patternFill patternType="solid">
        <fgColor rgb="FF0277BD"/>
        <bgColor indexed="64"/>
      </patternFill>
    </fill>
    <fill>
      <patternFill patternType="solid">
        <fgColor rgb="FFF9A825"/>
        <bgColor indexed="64"/>
      </patternFill>
    </fill>
    <fill>
      <patternFill patternType="solid">
        <fgColor rgb="FFF1F8E9"/>
        <bgColor indexed="64"/>
      </patternFill>
    </fill>
    <fill>
      <patternFill patternType="solid">
        <fgColor rgb="FFFBE9E7"/>
        <bgColor indexed="64"/>
      </patternFill>
    </fill>
    <fill>
      <patternFill patternType="solid">
        <fgColor rgb="FFE1F5FE"/>
        <bgColor indexed="64"/>
      </patternFill>
    </fill>
    <fill>
      <patternFill patternType="solid">
        <fgColor rgb="FFECEFF1"/>
        <bgColor indexed="64"/>
      </patternFill>
    </fill>
    <fill>
      <patternFill patternType="solid">
        <fgColor rgb="FF1B5E20"/>
        <bgColor indexed="64"/>
      </patternFill>
    </fill>
    <fill>
      <patternFill patternType="solid">
        <fgColor rgb="FF00838F"/>
        <bgColor indexed="64"/>
      </patternFill>
    </fill>
    <fill>
      <patternFill patternType="solid">
        <fgColor rgb="FFAD1457"/>
        <bgColor indexed="64"/>
      </patternFill>
    </fill>
    <fill>
      <patternFill patternType="solid">
        <fgColor rgb="FFE0F7FA"/>
        <bgColor indexed="64"/>
      </patternFill>
    </fill>
    <fill>
      <patternFill patternType="solid">
        <fgColor rgb="FF0D2C54"/>
        <bgColor indexed="64"/>
      </patternFill>
    </fill>
    <fill>
      <patternFill patternType="solid">
        <fgColor rgb="FFE3F2FD"/>
        <bgColor indexed="64"/>
      </patternFill>
    </fill>
    <fill>
      <patternFill patternType="solid">
        <fgColor rgb="FF455A64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0F766E"/>
        <bgColor indexed="64"/>
      </patternFill>
    </fill>
    <fill>
      <patternFill patternType="solid">
        <fgColor rgb="FFF3E5F5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616161"/>
        <bgColor indexed="64"/>
      </patternFill>
    </fill>
    <fill>
      <patternFill patternType="solid">
        <fgColor rgb="FFE8EAF6"/>
        <bgColor rgb="FF000000"/>
      </patternFill>
    </fill>
    <fill>
      <patternFill patternType="solid">
        <fgColor rgb="FFF5F7FB"/>
        <bgColor indexed="64"/>
      </patternFill>
    </fill>
    <fill>
      <patternFill patternType="solid">
        <fgColor rgb="FF0F1626"/>
        <bgColor indexed="64"/>
      </patternFill>
    </fill>
    <fill>
      <patternFill patternType="solid">
        <fgColor rgb="FF00E5A0"/>
        <bgColor indexed="64"/>
      </patternFill>
    </fill>
    <fill>
      <patternFill patternType="solid">
        <fgColor rgb="FF1B2A41"/>
        <bgColor indexed="64"/>
      </patternFill>
    </fill>
    <fill>
      <patternFill patternType="solid">
        <fgColor rgb="FF16243D"/>
        <bgColor indexed="64"/>
      </patternFill>
    </fill>
    <fill>
      <patternFill patternType="solid">
        <fgColor rgb="FF1F6B6B"/>
        <bgColor rgb="FF008080"/>
      </patternFill>
    </fill>
    <fill>
      <patternFill patternType="solid">
        <fgColor rgb="FFE2F0D9"/>
        <bgColor rgb="FFF0F0F0"/>
      </patternFill>
    </fill>
  </fills>
  <borders count="20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  <border>
      <left style="thin">
        <color rgb="FF3F3F3F"/>
      </left>
      <right style="thin">
        <color rgb="FF3F3F3F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BDBDBD"/>
      </left>
      <right style="thin">
        <color rgb="FFBDBDBD"/>
      </right>
      <top/>
      <bottom style="thin">
        <color rgb="FFBDBDBD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/>
      <diagonal/>
    </border>
    <border>
      <left style="thin">
        <color rgb="FFBDBDBD"/>
      </left>
      <right style="thin">
        <color rgb="FFBDBDBD"/>
      </right>
      <top style="medium">
        <color rgb="FF1E6B3A"/>
      </top>
      <bottom style="medium">
        <color rgb="FF1E6B3A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medium">
        <color rgb="FF1E6B3A"/>
      </bottom>
      <diagonal/>
    </border>
    <border>
      <left style="medium">
        <color rgb="FF1E6B3A"/>
      </left>
      <right style="thin">
        <color rgb="FFBDBDBD"/>
      </right>
      <top style="medium">
        <color rgb="FF1E6B3A"/>
      </top>
      <bottom style="medium">
        <color rgb="FF1E6B3A"/>
      </bottom>
      <diagonal/>
    </border>
    <border>
      <left style="medium">
        <color rgb="FF1E6B3A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medium">
        <color rgb="FF1E6B3A"/>
      </left>
      <right style="thin">
        <color rgb="FFBDBDBD"/>
      </right>
      <top style="thin">
        <color rgb="FFBDBDBD"/>
      </top>
      <bottom style="medium">
        <color rgb="FF1E6B3A"/>
      </bottom>
      <diagonal/>
    </border>
    <border>
      <left/>
      <right/>
      <top style="medium">
        <color rgb="FF1E6B3A"/>
      </top>
      <bottom/>
      <diagonal/>
    </border>
    <border>
      <left style="thin">
        <color rgb="FFBDBDBD"/>
      </left>
      <right style="medium">
        <color rgb="FF1E6B3A"/>
      </right>
      <top style="thin">
        <color rgb="FFBDBDBD"/>
      </top>
      <bottom style="thin">
        <color rgb="FFBDBDBD"/>
      </bottom>
      <diagonal/>
    </border>
    <border>
      <left style="thin">
        <color rgb="FFBDBDBD"/>
      </left>
      <right style="medium">
        <color rgb="FF1E6B3A"/>
      </right>
      <top style="thin">
        <color rgb="FFBDBDBD"/>
      </top>
      <bottom style="medium">
        <color rgb="FF1E6B3A"/>
      </bottom>
      <diagonal/>
    </border>
    <border>
      <left style="thin">
        <color rgb="FFBDBDBD"/>
      </left>
      <right style="thin">
        <color rgb="FFBDBDBD"/>
      </right>
      <top/>
      <bottom style="medium">
        <color rgb="FF1E6B3A"/>
      </bottom>
      <diagonal/>
    </border>
    <border>
      <left style="thin">
        <color rgb="FFBDBDBD"/>
      </left>
      <right style="medium">
        <color rgb="FF1E6B3A"/>
      </right>
      <top style="medium">
        <color rgb="FF1E6B3A"/>
      </top>
      <bottom style="medium">
        <color rgb="FF1E6B3A"/>
      </bottom>
      <diagonal/>
    </border>
    <border>
      <left style="thin">
        <color rgb="FFBDBDBD"/>
      </left>
      <right style="thin">
        <color rgb="FFBDBDBD"/>
      </right>
      <top/>
      <bottom/>
      <diagonal/>
    </border>
    <border>
      <left style="medium">
        <color rgb="FF1E6B3A"/>
      </left>
      <right style="thin">
        <color rgb="FFBDBDBD"/>
      </right>
      <top/>
      <bottom style="thin">
        <color rgb="FFBDBDBD"/>
      </bottom>
      <diagonal/>
    </border>
    <border>
      <left style="thin">
        <color rgb="FFBDBDBD"/>
      </left>
      <right style="medium">
        <color rgb="FF1E6B3A"/>
      </right>
      <top/>
      <bottom style="thin">
        <color rgb="FFBDBDBD"/>
      </bottom>
      <diagonal/>
    </border>
    <border>
      <left style="medium">
        <color rgb="FF1E6B3A"/>
      </left>
      <right style="thin">
        <color rgb="FFBDBDBD"/>
      </right>
      <top style="thin">
        <color rgb="FFBDBDBD"/>
      </top>
      <bottom/>
      <diagonal/>
    </border>
    <border>
      <left style="thin">
        <color rgb="FFBDBDBD"/>
      </left>
      <right style="medium">
        <color rgb="FF1E6B3A"/>
      </right>
      <top style="thin">
        <color rgb="FFBDBDBD"/>
      </top>
      <bottom/>
      <diagonal/>
    </border>
    <border>
      <left style="medium">
        <color rgb="FF1E6B3A"/>
      </left>
      <right style="thin">
        <color rgb="FFBDBDBD"/>
      </right>
      <top/>
      <bottom style="medium">
        <color rgb="FF1E6B3A"/>
      </bottom>
      <diagonal/>
    </border>
    <border>
      <left style="thin">
        <color rgb="FFBDBDBD"/>
      </left>
      <right style="medium">
        <color rgb="FF1E6B3A"/>
      </right>
      <top/>
      <bottom style="medium">
        <color rgb="FF1E6B3A"/>
      </bottom>
      <diagonal/>
    </border>
    <border>
      <left style="medium">
        <color rgb="FF1E6B3A"/>
      </left>
      <right style="thin">
        <color rgb="FFBDBDBD"/>
      </right>
      <top/>
      <bottom/>
      <diagonal/>
    </border>
    <border>
      <left style="thin">
        <color rgb="FFBDBDBD"/>
      </left>
      <right style="medium">
        <color rgb="FF1E6B3A"/>
      </right>
      <top/>
      <bottom/>
      <diagonal/>
    </border>
    <border>
      <left/>
      <right style="thin">
        <color rgb="FF8EA9DB"/>
      </right>
      <top/>
      <bottom style="thin">
        <color rgb="FF8EA9DB"/>
      </bottom>
      <diagonal/>
    </border>
    <border>
      <left style="thin">
        <color rgb="FF8EA9DB"/>
      </left>
      <right style="thin">
        <color rgb="FF8EA9DB"/>
      </right>
      <top/>
      <bottom style="thin">
        <color rgb="FF8EA9DB"/>
      </bottom>
      <diagonal/>
    </border>
    <border>
      <left style="thin">
        <color rgb="FF8EA9DB"/>
      </left>
      <right/>
      <top/>
      <bottom style="thin">
        <color rgb="FF8EA9DB"/>
      </bottom>
      <diagonal/>
    </border>
    <border>
      <left/>
      <right style="thin">
        <color rgb="FF8EA9DB"/>
      </right>
      <top style="thin">
        <color rgb="FF8EA9DB"/>
      </top>
      <bottom style="thin">
        <color rgb="FF8EA9DB"/>
      </bottom>
      <diagonal/>
    </border>
    <border>
      <left style="thin">
        <color rgb="FF8EA9DB"/>
      </left>
      <right style="thin">
        <color rgb="FF8EA9DB"/>
      </right>
      <top style="thin">
        <color rgb="FF8EA9DB"/>
      </top>
      <bottom style="thin">
        <color rgb="FF8EA9DB"/>
      </bottom>
      <diagonal/>
    </border>
    <border>
      <left style="thin">
        <color rgb="FF8EA9DB"/>
      </left>
      <right/>
      <top style="thin">
        <color rgb="FF8EA9DB"/>
      </top>
      <bottom style="thin">
        <color rgb="FF8EA9DB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medium">
        <color rgb="FF0F6E7A"/>
      </bottom>
      <diagonal/>
    </border>
    <border>
      <left style="thin">
        <color rgb="FFB0BEC5"/>
      </left>
      <right style="thin">
        <color rgb="FFB0BEC5"/>
      </right>
      <top/>
      <bottom style="thin">
        <color rgb="FFB0BEC5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CFD8DC"/>
      </left>
      <right/>
      <top style="thin">
        <color rgb="FFCFD8DC"/>
      </top>
      <bottom style="thin">
        <color rgb="FFCFD8DC"/>
      </bottom>
      <diagonal/>
    </border>
    <border>
      <left style="thin">
        <color rgb="FFCFD8DC"/>
      </left>
      <right/>
      <top style="thin">
        <color rgb="FFCFD8DC"/>
      </top>
      <bottom/>
      <diagonal/>
    </border>
    <border>
      <left style="thin">
        <color rgb="FFCFD8DC"/>
      </left>
      <right/>
      <top/>
      <bottom style="thin">
        <color rgb="FFCFD8DC"/>
      </bottom>
      <diagonal/>
    </border>
    <border>
      <left style="thin">
        <color rgb="FFCFD8DC"/>
      </left>
      <right style="thin">
        <color rgb="FFCFD8DC"/>
      </right>
      <top style="thin">
        <color rgb="FFCFD8DC"/>
      </top>
      <bottom style="thin">
        <color rgb="FFCFD8DC"/>
      </bottom>
      <diagonal/>
    </border>
    <border>
      <left/>
      <right style="thin">
        <color rgb="FFCFD8DC"/>
      </right>
      <top style="thin">
        <color rgb="FFCFD8DC"/>
      </top>
      <bottom/>
      <diagonal/>
    </border>
    <border>
      <left/>
      <right style="thin">
        <color rgb="FFCFD8DC"/>
      </right>
      <top/>
      <bottom style="thin">
        <color rgb="FFCFD8DC"/>
      </bottom>
      <diagonal/>
    </border>
    <border>
      <left/>
      <right style="thin">
        <color rgb="FFCFD8DC"/>
      </right>
      <top style="thin">
        <color rgb="FFCFD8DC"/>
      </top>
      <bottom style="thin">
        <color rgb="FFCFD8DC"/>
      </bottom>
      <diagonal/>
    </border>
    <border>
      <left style="thin">
        <color rgb="FFCFD8DC"/>
      </left>
      <right style="thin">
        <color rgb="FFCFD8DC"/>
      </right>
      <top/>
      <bottom style="thin">
        <color rgb="FFCFD8DC"/>
      </bottom>
      <diagonal/>
    </border>
    <border>
      <left/>
      <right/>
      <top style="thin">
        <color rgb="FFCE93D8"/>
      </top>
      <bottom style="thin">
        <color rgb="FFCE93D8"/>
      </bottom>
      <diagonal/>
    </border>
    <border>
      <left style="thin">
        <color rgb="FFCE93D8"/>
      </left>
      <right/>
      <top style="thin">
        <color rgb="FFCE93D8"/>
      </top>
      <bottom style="thin">
        <color rgb="FFCE93D8"/>
      </bottom>
      <diagonal/>
    </border>
    <border>
      <left style="thin">
        <color rgb="FFCE93D8"/>
      </left>
      <right style="thin">
        <color rgb="FFCE93D8"/>
      </right>
      <top style="thin">
        <color rgb="FFCE93D8"/>
      </top>
      <bottom style="thin">
        <color rgb="FFCE93D8"/>
      </bottom>
      <diagonal/>
    </border>
    <border>
      <left/>
      <right style="thin">
        <color rgb="FFCE93D8"/>
      </right>
      <top style="thin">
        <color rgb="FFCE93D8"/>
      </top>
      <bottom style="thin">
        <color rgb="FFCE93D8"/>
      </bottom>
      <diagonal/>
    </border>
    <border>
      <left style="thin">
        <color rgb="FFCE93D8"/>
      </left>
      <right style="thin">
        <color rgb="FFCE93D8"/>
      </right>
      <top style="medium">
        <color rgb="FF4A148C"/>
      </top>
      <bottom style="thin">
        <color rgb="FFCE93D8"/>
      </bottom>
      <diagonal/>
    </border>
    <border>
      <left style="thin">
        <color rgb="FFCE93D8"/>
      </left>
      <right style="thin">
        <color rgb="FFCE93D8"/>
      </right>
      <top style="thin">
        <color rgb="FFCE93D8"/>
      </top>
      <bottom style="medium">
        <color rgb="FF4A148C"/>
      </bottom>
      <diagonal/>
    </border>
    <border>
      <left style="medium">
        <color rgb="FF4A148C"/>
      </left>
      <right style="thin">
        <color rgb="FFCE93D8"/>
      </right>
      <top style="medium">
        <color rgb="FF4A148C"/>
      </top>
      <bottom style="thin">
        <color rgb="FFCE93D8"/>
      </bottom>
      <diagonal/>
    </border>
    <border>
      <left style="medium">
        <color rgb="FF4A148C"/>
      </left>
      <right style="thin">
        <color rgb="FFCE93D8"/>
      </right>
      <top style="thin">
        <color rgb="FFCE93D8"/>
      </top>
      <bottom style="thin">
        <color rgb="FFCE93D8"/>
      </bottom>
      <diagonal/>
    </border>
    <border>
      <left style="medium">
        <color rgb="FF4A148C"/>
      </left>
      <right style="thin">
        <color rgb="FFCE93D8"/>
      </right>
      <top style="thin">
        <color rgb="FFCE93D8"/>
      </top>
      <bottom style="medium">
        <color rgb="FF4A148C"/>
      </bottom>
      <diagonal/>
    </border>
    <border>
      <left style="thin">
        <color rgb="FFCE93D8"/>
      </left>
      <right/>
      <top style="medium">
        <color rgb="FF4A148C"/>
      </top>
      <bottom style="thin">
        <color rgb="FFCE93D8"/>
      </bottom>
      <diagonal/>
    </border>
    <border>
      <left style="thin">
        <color rgb="FFCE93D8"/>
      </left>
      <right/>
      <top style="thin">
        <color rgb="FFCE93D8"/>
      </top>
      <bottom style="medium">
        <color rgb="FF4A148C"/>
      </bottom>
      <diagonal/>
    </border>
    <border>
      <left/>
      <right style="thin">
        <color rgb="FFCE93D8"/>
      </right>
      <top style="medium">
        <color rgb="FF4A148C"/>
      </top>
      <bottom style="thin">
        <color rgb="FFCE93D8"/>
      </bottom>
      <diagonal/>
    </border>
    <border>
      <left/>
      <right style="thin">
        <color rgb="FFCE93D8"/>
      </right>
      <top style="thin">
        <color rgb="FFCE93D8"/>
      </top>
      <bottom style="medium">
        <color rgb="FF4A148C"/>
      </bottom>
      <diagonal/>
    </border>
    <border>
      <left style="medium">
        <color rgb="FF4A148C"/>
      </left>
      <right/>
      <top style="medium">
        <color rgb="FF4A148C"/>
      </top>
      <bottom style="thin">
        <color rgb="FFCE93D8"/>
      </bottom>
      <diagonal/>
    </border>
    <border>
      <left style="medium">
        <color rgb="FF4A148C"/>
      </left>
      <right/>
      <top style="thin">
        <color rgb="FFCE93D8"/>
      </top>
      <bottom style="thin">
        <color rgb="FFCE93D8"/>
      </bottom>
      <diagonal/>
    </border>
    <border>
      <left style="medium">
        <color rgb="FF4A148C"/>
      </left>
      <right/>
      <top style="thin">
        <color rgb="FFCE93D8"/>
      </top>
      <bottom style="medium">
        <color rgb="FF4A148C"/>
      </bottom>
      <diagonal/>
    </border>
    <border>
      <left/>
      <right/>
      <top style="medium">
        <color rgb="FF4A148C"/>
      </top>
      <bottom style="thin">
        <color rgb="FFCE93D8"/>
      </bottom>
      <diagonal/>
    </border>
    <border>
      <left/>
      <right/>
      <top style="thin">
        <color rgb="FFCE93D8"/>
      </top>
      <bottom style="medium">
        <color rgb="FF4A148C"/>
      </bottom>
      <diagonal/>
    </border>
    <border>
      <left style="medium">
        <color rgb="FF4A148C"/>
      </left>
      <right style="medium">
        <color rgb="FF4A148C"/>
      </right>
      <top style="medium">
        <color rgb="FF4A148C"/>
      </top>
      <bottom style="thin">
        <color rgb="FFCE93D8"/>
      </bottom>
      <diagonal/>
    </border>
    <border>
      <left style="medium">
        <color rgb="FF4A148C"/>
      </left>
      <right style="medium">
        <color rgb="FF4A148C"/>
      </right>
      <top style="thin">
        <color rgb="FFCE93D8"/>
      </top>
      <bottom style="thin">
        <color rgb="FFCE93D8"/>
      </bottom>
      <diagonal/>
    </border>
    <border>
      <left style="thin">
        <color rgb="FFC5CAE9"/>
      </left>
      <right style="thin">
        <color rgb="FFC5CAE9"/>
      </right>
      <top style="thin">
        <color rgb="FFC5CAE9"/>
      </top>
      <bottom style="thin">
        <color rgb="FFC5CAE9"/>
      </bottom>
      <diagonal/>
    </border>
    <border>
      <left style="thin">
        <color rgb="FFC5CAE9"/>
      </left>
      <right style="thin">
        <color rgb="FFC5CAE9"/>
      </right>
      <top style="thin">
        <color rgb="FFC5CAE9"/>
      </top>
      <bottom style="medium">
        <color rgb="FF1A237E"/>
      </bottom>
      <diagonal/>
    </border>
    <border>
      <left style="medium">
        <color rgb="FF1A237E"/>
      </left>
      <right style="thin">
        <color rgb="FFC5CAE9"/>
      </right>
      <top style="thin">
        <color rgb="FFC5CAE9"/>
      </top>
      <bottom style="thin">
        <color rgb="FFC5CAE9"/>
      </bottom>
      <diagonal/>
    </border>
    <border>
      <left style="medium">
        <color rgb="FF1A237E"/>
      </left>
      <right style="thin">
        <color rgb="FFC5CAE9"/>
      </right>
      <top style="thin">
        <color rgb="FFC5CAE9"/>
      </top>
      <bottom style="medium">
        <color rgb="FF1A237E"/>
      </bottom>
      <diagonal/>
    </border>
    <border>
      <left style="thin">
        <color rgb="FFC5CAE9"/>
      </left>
      <right style="medium">
        <color rgb="FF1A237E"/>
      </right>
      <top style="thin">
        <color rgb="FFC5CAE9"/>
      </top>
      <bottom style="thin">
        <color rgb="FFC5CAE9"/>
      </bottom>
      <diagonal/>
    </border>
    <border>
      <left style="thin">
        <color rgb="FFC5CAE9"/>
      </left>
      <right style="medium">
        <color rgb="FF1A237E"/>
      </right>
      <top style="thin">
        <color rgb="FFC5CAE9"/>
      </top>
      <bottom style="medium">
        <color rgb="FF1A237E"/>
      </bottom>
      <diagonal/>
    </border>
    <border>
      <left style="medium">
        <color rgb="FF1A237E"/>
      </left>
      <right style="thin">
        <color rgb="FFC5CAE9"/>
      </right>
      <top/>
      <bottom style="thin">
        <color rgb="FFC5CAE9"/>
      </bottom>
      <diagonal/>
    </border>
    <border>
      <left style="thin">
        <color rgb="FFC5CAE9"/>
      </left>
      <right style="thin">
        <color rgb="FFC5CAE9"/>
      </right>
      <top/>
      <bottom style="thin">
        <color rgb="FFC5CAE9"/>
      </bottom>
      <diagonal/>
    </border>
    <border>
      <left style="thin">
        <color rgb="FFC5CAE9"/>
      </left>
      <right style="medium">
        <color rgb="FF1A237E"/>
      </right>
      <top/>
      <bottom style="thin">
        <color rgb="FFC5CAE9"/>
      </bottom>
      <diagonal/>
    </border>
    <border>
      <left style="medium">
        <color rgb="FF1A237E"/>
      </left>
      <right style="thin">
        <color rgb="FFC5CAE9"/>
      </right>
      <top style="medium">
        <color rgb="FF1A237E"/>
      </top>
      <bottom style="thick">
        <color rgb="FFFFB300"/>
      </bottom>
      <diagonal/>
    </border>
    <border>
      <left style="thin">
        <color rgb="FFC5CAE9"/>
      </left>
      <right style="thin">
        <color rgb="FFC5CAE9"/>
      </right>
      <top style="medium">
        <color rgb="FF1A237E"/>
      </top>
      <bottom style="thick">
        <color rgb="FFFFB300"/>
      </bottom>
      <diagonal/>
    </border>
    <border>
      <left style="thin">
        <color rgb="FFC5CAE9"/>
      </left>
      <right style="medium">
        <color rgb="FF1A237E"/>
      </right>
      <top style="medium">
        <color rgb="FF1A237E"/>
      </top>
      <bottom style="thick">
        <color rgb="FFFFB300"/>
      </bottom>
      <diagonal/>
    </border>
    <border>
      <left style="thin">
        <color rgb="FFD7CCC8"/>
      </left>
      <right style="thin">
        <color rgb="FFD7CCC8"/>
      </right>
      <top style="thin">
        <color rgb="FFD7CCC8"/>
      </top>
      <bottom style="thin">
        <color rgb="FFD7CCC8"/>
      </bottom>
      <diagonal/>
    </border>
    <border>
      <left style="thin">
        <color rgb="FFD7CCC8"/>
      </left>
      <right style="thin">
        <color rgb="FFD7CCC8"/>
      </right>
      <top style="thin">
        <color rgb="FFD7CCC8"/>
      </top>
      <bottom style="medium">
        <color rgb="FF4E342E"/>
      </bottom>
      <diagonal/>
    </border>
    <border>
      <left style="medium">
        <color rgb="FF4E342E"/>
      </left>
      <right style="thin">
        <color rgb="FFD7CCC8"/>
      </right>
      <top style="thin">
        <color rgb="FFD7CCC8"/>
      </top>
      <bottom style="thin">
        <color rgb="FFD7CCC8"/>
      </bottom>
      <diagonal/>
    </border>
    <border>
      <left style="medium">
        <color rgb="FF4E342E"/>
      </left>
      <right style="thin">
        <color rgb="FFD7CCC8"/>
      </right>
      <top style="thin">
        <color rgb="FFD7CCC8"/>
      </top>
      <bottom style="medium">
        <color rgb="FF4E342E"/>
      </bottom>
      <diagonal/>
    </border>
    <border>
      <left style="thin">
        <color rgb="FFD7CCC8"/>
      </left>
      <right style="medium">
        <color rgb="FF4E342E"/>
      </right>
      <top style="thin">
        <color rgb="FFD7CCC8"/>
      </top>
      <bottom style="thin">
        <color rgb="FFD7CCC8"/>
      </bottom>
      <diagonal/>
    </border>
    <border>
      <left style="thin">
        <color rgb="FFD7CCC8"/>
      </left>
      <right style="medium">
        <color rgb="FF4E342E"/>
      </right>
      <top style="thin">
        <color rgb="FFD7CCC8"/>
      </top>
      <bottom style="medium">
        <color rgb="FF4E342E"/>
      </bottom>
      <diagonal/>
    </border>
    <border>
      <left style="medium">
        <color rgb="FF4E342E"/>
      </left>
      <right style="thin">
        <color rgb="FFD7CCC8"/>
      </right>
      <top/>
      <bottom style="thin">
        <color rgb="FFD7CCC8"/>
      </bottom>
      <diagonal/>
    </border>
    <border>
      <left style="thin">
        <color rgb="FFD7CCC8"/>
      </left>
      <right style="thin">
        <color rgb="FFD7CCC8"/>
      </right>
      <top/>
      <bottom style="thin">
        <color rgb="FFD7CCC8"/>
      </bottom>
      <diagonal/>
    </border>
    <border>
      <left style="thin">
        <color rgb="FFD7CCC8"/>
      </left>
      <right style="medium">
        <color rgb="FF4E342E"/>
      </right>
      <top/>
      <bottom style="thin">
        <color rgb="FFD7CCC8"/>
      </bottom>
      <diagonal/>
    </border>
    <border>
      <left style="medium">
        <color rgb="FF4E342E"/>
      </left>
      <right style="thin">
        <color rgb="FFD7CCC8"/>
      </right>
      <top style="medium">
        <color rgb="FF4E342E"/>
      </top>
      <bottom style="thick">
        <color rgb="FFFF8F00"/>
      </bottom>
      <diagonal/>
    </border>
    <border>
      <left style="thin">
        <color rgb="FFD7CCC8"/>
      </left>
      <right style="thin">
        <color rgb="FFD7CCC8"/>
      </right>
      <top style="medium">
        <color rgb="FF4E342E"/>
      </top>
      <bottom style="thick">
        <color rgb="FFFF8F00"/>
      </bottom>
      <diagonal/>
    </border>
    <border>
      <left style="thin">
        <color rgb="FFD7CCC8"/>
      </left>
      <right style="medium">
        <color rgb="FF4E342E"/>
      </right>
      <top style="medium">
        <color rgb="FF4E342E"/>
      </top>
      <bottom style="thick">
        <color rgb="FFFF8F00"/>
      </bottom>
      <diagonal/>
    </border>
    <border>
      <left style="thin">
        <color rgb="FFCFD8DC"/>
      </left>
      <right style="thin">
        <color rgb="FFCFD8DC"/>
      </right>
      <top style="thin">
        <color rgb="FFCFD8DC"/>
      </top>
      <bottom/>
      <diagonal/>
    </border>
    <border>
      <left/>
      <right style="thin">
        <color rgb="FFCFD8DC"/>
      </right>
      <top/>
      <bottom style="thick">
        <color rgb="FFE64A19"/>
      </bottom>
      <diagonal/>
    </border>
    <border>
      <left style="thin">
        <color rgb="FFCFD8DC"/>
      </left>
      <right style="thin">
        <color rgb="FFCFD8DC"/>
      </right>
      <top/>
      <bottom style="thick">
        <color rgb="FFE64A19"/>
      </bottom>
      <diagonal/>
    </border>
    <border>
      <left style="thin">
        <color rgb="FFCFD8DC"/>
      </left>
      <right/>
      <top/>
      <bottom style="thick">
        <color rgb="FFE64A19"/>
      </bottom>
      <diagonal/>
    </border>
    <border>
      <left style="thin">
        <color rgb="FFC8E6C9"/>
      </left>
      <right/>
      <top style="thin">
        <color rgb="FFC8E6C9"/>
      </top>
      <bottom/>
      <diagonal/>
    </border>
    <border>
      <left style="thin">
        <color rgb="FFC8E6C9"/>
      </left>
      <right style="thin">
        <color rgb="FFC8E6C9"/>
      </right>
      <top style="thin">
        <color rgb="FFC8E6C9"/>
      </top>
      <bottom style="thin">
        <color rgb="FFC8E6C9"/>
      </bottom>
      <diagonal/>
    </border>
    <border>
      <left/>
      <right style="thin">
        <color rgb="FFC8E6C9"/>
      </right>
      <top/>
      <bottom style="thin">
        <color rgb="FFC8E6C9"/>
      </bottom>
      <diagonal/>
    </border>
    <border>
      <left style="thin">
        <color rgb="FFC8E6C9"/>
      </left>
      <right style="thin">
        <color rgb="FFC8E6C9"/>
      </right>
      <top/>
      <bottom style="thin">
        <color rgb="FFC8E6C9"/>
      </bottom>
      <diagonal/>
    </border>
    <border>
      <left style="thin">
        <color rgb="FFC8E6C9"/>
      </left>
      <right/>
      <top/>
      <bottom style="thin">
        <color rgb="FFC8E6C9"/>
      </bottom>
      <diagonal/>
    </border>
    <border>
      <left/>
      <right style="thin">
        <color rgb="FFC8E6C9"/>
      </right>
      <top style="thin">
        <color rgb="FFC8E6C9"/>
      </top>
      <bottom style="thin">
        <color rgb="FFC8E6C9"/>
      </bottom>
      <diagonal/>
    </border>
    <border>
      <left style="thin">
        <color rgb="FFC8E6C9"/>
      </left>
      <right/>
      <top style="thin">
        <color rgb="FFC8E6C9"/>
      </top>
      <bottom style="thin">
        <color rgb="FFC8E6C9"/>
      </bottom>
      <diagonal/>
    </border>
    <border>
      <left/>
      <right style="thin">
        <color rgb="FFC8E6C9"/>
      </right>
      <top style="thin">
        <color rgb="FFC8E6C9"/>
      </top>
      <bottom/>
      <diagonal/>
    </border>
    <border>
      <left style="thin">
        <color rgb="FFC8E6C9"/>
      </left>
      <right style="thin">
        <color rgb="FFC8E6C9"/>
      </right>
      <top style="thin">
        <color rgb="FFC8E6C9"/>
      </top>
      <bottom/>
      <diagonal/>
    </border>
    <border>
      <left/>
      <right style="thin">
        <color rgb="FFC8E6C9"/>
      </right>
      <top/>
      <bottom style="thick">
        <color rgb="FFEF6C00"/>
      </bottom>
      <diagonal/>
    </border>
    <border>
      <left style="thin">
        <color rgb="FFC8E6C9"/>
      </left>
      <right style="thin">
        <color rgb="FFC8E6C9"/>
      </right>
      <top/>
      <bottom style="thick">
        <color rgb="FFEF6C00"/>
      </bottom>
      <diagonal/>
    </border>
    <border>
      <left style="thin">
        <color rgb="FFC8E6C9"/>
      </left>
      <right/>
      <top/>
      <bottom style="thick">
        <color rgb="FFEF6C00"/>
      </bottom>
      <diagonal/>
    </border>
    <border>
      <left style="thin">
        <color rgb="FFCFD8DC"/>
      </left>
      <right style="thin">
        <color rgb="FFCFD8DC"/>
      </right>
      <top style="thin">
        <color rgb="FFCFD8DC"/>
      </top>
      <bottom style="medium">
        <color rgb="FF455A64"/>
      </bottom>
      <diagonal/>
    </border>
    <border>
      <left style="medium">
        <color rgb="FF455A64"/>
      </left>
      <right style="thin">
        <color rgb="FFCFD8DC"/>
      </right>
      <top style="thin">
        <color rgb="FFCFD8DC"/>
      </top>
      <bottom style="thin">
        <color rgb="FFCFD8DC"/>
      </bottom>
      <diagonal/>
    </border>
    <border>
      <left style="medium">
        <color rgb="FF455A64"/>
      </left>
      <right style="thin">
        <color rgb="FFCFD8DC"/>
      </right>
      <top style="thin">
        <color rgb="FFCFD8DC"/>
      </top>
      <bottom style="medium">
        <color rgb="FF455A64"/>
      </bottom>
      <diagonal/>
    </border>
    <border>
      <left style="thin">
        <color rgb="FFCFD8DC"/>
      </left>
      <right style="medium">
        <color rgb="FF455A64"/>
      </right>
      <top style="thin">
        <color rgb="FFCFD8DC"/>
      </top>
      <bottom style="thin">
        <color rgb="FFCFD8DC"/>
      </bottom>
      <diagonal/>
    </border>
    <border>
      <left style="thin">
        <color rgb="FFCFD8DC"/>
      </left>
      <right style="medium">
        <color rgb="FF455A64"/>
      </right>
      <top style="thin">
        <color rgb="FFCFD8DC"/>
      </top>
      <bottom style="medium">
        <color rgb="FF455A64"/>
      </bottom>
      <diagonal/>
    </border>
    <border>
      <left style="medium">
        <color rgb="FF455A64"/>
      </left>
      <right style="thin">
        <color rgb="FFCFD8DC"/>
      </right>
      <top/>
      <bottom style="thin">
        <color rgb="FFCFD8DC"/>
      </bottom>
      <diagonal/>
    </border>
    <border>
      <left style="thin">
        <color rgb="FFCFD8DC"/>
      </left>
      <right style="medium">
        <color rgb="FF455A64"/>
      </right>
      <top/>
      <bottom style="thin">
        <color rgb="FFCFD8DC"/>
      </bottom>
      <diagonal/>
    </border>
    <border>
      <left style="medium">
        <color rgb="FF455A64"/>
      </left>
      <right style="thin">
        <color rgb="FFCFD8DC"/>
      </right>
      <top style="medium">
        <color rgb="FF455A64"/>
      </top>
      <bottom style="thick">
        <color rgb="FFFF6F00"/>
      </bottom>
      <diagonal/>
    </border>
    <border>
      <left style="thin">
        <color rgb="FFCFD8DC"/>
      </left>
      <right style="thin">
        <color rgb="FFCFD8DC"/>
      </right>
      <top style="medium">
        <color rgb="FF455A64"/>
      </top>
      <bottom style="thick">
        <color rgb="FFFF6F00"/>
      </bottom>
      <diagonal/>
    </border>
    <border>
      <left style="thin">
        <color rgb="FFCFD8DC"/>
      </left>
      <right style="medium">
        <color rgb="FF455A64"/>
      </right>
      <top style="medium">
        <color rgb="FF455A64"/>
      </top>
      <bottom style="thick">
        <color rgb="FFFF6F00"/>
      </bottom>
      <diagonal/>
    </border>
    <border>
      <left style="medium">
        <color rgb="FF0D2C54"/>
      </left>
      <right style="thin">
        <color rgb="FFB0BEC5"/>
      </right>
      <top style="medium">
        <color rgb="FF0D2C54"/>
      </top>
      <bottom/>
      <diagonal/>
    </border>
    <border>
      <left style="thin">
        <color rgb="FFB0BEC5"/>
      </left>
      <right style="thin">
        <color rgb="FFB0BEC5"/>
      </right>
      <top style="medium">
        <color rgb="FF0D2C54"/>
      </top>
      <bottom/>
      <diagonal/>
    </border>
    <border>
      <left style="thin">
        <color rgb="FFB0BEC5"/>
      </left>
      <right style="medium">
        <color rgb="FF0D2C54"/>
      </right>
      <top style="medium">
        <color rgb="FF0D2C54"/>
      </top>
      <bottom/>
      <diagonal/>
    </border>
    <border>
      <left/>
      <right style="thin">
        <color rgb="FFB0BEC5"/>
      </right>
      <top/>
      <bottom style="thin">
        <color rgb="FFB0BEC5"/>
      </bottom>
      <diagonal/>
    </border>
    <border>
      <left/>
      <right style="thin">
        <color rgb="FFB0BEC5"/>
      </right>
      <top style="thin">
        <color rgb="FFB0BEC5"/>
      </top>
      <bottom style="thin">
        <color rgb="FFB0BEC5"/>
      </bottom>
      <diagonal/>
    </border>
    <border>
      <left style="thin">
        <color rgb="FFB0BEC5"/>
      </left>
      <right/>
      <top/>
      <bottom style="thin">
        <color rgb="FFB0BEC5"/>
      </bottom>
      <diagonal/>
    </border>
    <border>
      <left style="thin">
        <color rgb="FFB0BEC5"/>
      </left>
      <right/>
      <top style="thin">
        <color rgb="FFB0BEC5"/>
      </top>
      <bottom style="thin">
        <color rgb="FFB0BEC5"/>
      </bottom>
      <diagonal/>
    </border>
    <border>
      <left/>
      <right style="thin">
        <color rgb="FFB0BEC5"/>
      </right>
      <top style="thin">
        <color rgb="FFB0BEC5"/>
      </top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/>
      <diagonal/>
    </border>
    <border>
      <left style="thin">
        <color rgb="FFB0BEC5"/>
      </left>
      <right/>
      <top style="thin">
        <color rgb="FFB0BEC5"/>
      </top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/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medium">
        <color rgb="FF0F766E"/>
      </bottom>
      <diagonal/>
    </border>
    <border>
      <left style="medium">
        <color rgb="FF4A148C"/>
      </left>
      <right style="thin">
        <color rgb="FFCE93D8"/>
      </right>
      <top style="thin">
        <color rgb="FFCE93D8"/>
      </top>
      <bottom/>
      <diagonal/>
    </border>
    <border>
      <left style="thin">
        <color rgb="FFCE93D8"/>
      </left>
      <right style="thin">
        <color rgb="FFCE93D8"/>
      </right>
      <top style="thin">
        <color rgb="FFCE93D8"/>
      </top>
      <bottom/>
      <diagonal/>
    </border>
    <border>
      <left style="thin">
        <color rgb="FFCE93D8"/>
      </left>
      <right/>
      <top style="thin">
        <color rgb="FFCE93D8"/>
      </top>
      <bottom/>
      <diagonal/>
    </border>
    <border>
      <left style="medium">
        <color rgb="FF4A148C"/>
      </left>
      <right/>
      <top style="thin">
        <color rgb="FFCE93D8"/>
      </top>
      <bottom/>
      <diagonal/>
    </border>
    <border>
      <left/>
      <right/>
      <top style="thin">
        <color rgb="FFCE93D8"/>
      </top>
      <bottom/>
      <diagonal/>
    </border>
    <border>
      <left/>
      <right style="thin">
        <color rgb="FFCE93D8"/>
      </right>
      <top style="thin">
        <color rgb="FFCE93D8"/>
      </top>
      <bottom/>
      <diagonal/>
    </border>
    <border>
      <left/>
      <right style="thin">
        <color rgb="FFCE93D8"/>
      </right>
      <top/>
      <bottom style="medium">
        <color rgb="FF4A148C"/>
      </bottom>
      <diagonal/>
    </border>
    <border>
      <left style="thin">
        <color rgb="FFCE93D8"/>
      </left>
      <right style="thin">
        <color rgb="FFCE93D8"/>
      </right>
      <top/>
      <bottom style="medium">
        <color rgb="FF4A148C"/>
      </bottom>
      <diagonal/>
    </border>
    <border>
      <left style="thin">
        <color rgb="FFCE93D8"/>
      </left>
      <right/>
      <top/>
      <bottom style="medium">
        <color rgb="FF4A148C"/>
      </bottom>
      <diagonal/>
    </border>
    <border>
      <left style="medium">
        <color rgb="FF4A148C"/>
      </left>
      <right/>
      <top/>
      <bottom style="medium">
        <color rgb="FF4A148C"/>
      </bottom>
      <diagonal/>
    </border>
    <border>
      <left style="medium">
        <color rgb="FF4A148C"/>
      </left>
      <right style="thin">
        <color rgb="FFCE93D8"/>
      </right>
      <top/>
      <bottom style="medium">
        <color rgb="FF4A148C"/>
      </bottom>
      <diagonal/>
    </border>
    <border>
      <left/>
      <right/>
      <top/>
      <bottom style="medium">
        <color rgb="FF4A148C"/>
      </bottom>
      <diagonal/>
    </border>
    <border>
      <left style="medium">
        <color rgb="FF4A148C"/>
      </left>
      <right style="medium">
        <color rgb="FF4A148C"/>
      </right>
      <top style="thin">
        <color rgb="FFCE93D8"/>
      </top>
      <bottom/>
      <diagonal/>
    </border>
    <border>
      <left style="thin">
        <color indexed="64"/>
      </left>
      <right style="thin">
        <color rgb="FFCE93D8"/>
      </right>
      <top style="thin">
        <color indexed="64"/>
      </top>
      <bottom style="thin">
        <color rgb="FFCE93D8"/>
      </bottom>
      <diagonal/>
    </border>
    <border>
      <left style="thin">
        <color rgb="FFCE93D8"/>
      </left>
      <right style="thin">
        <color rgb="FFCE93D8"/>
      </right>
      <top style="thin">
        <color indexed="64"/>
      </top>
      <bottom style="medium">
        <color rgb="FF4A148C"/>
      </bottom>
      <diagonal/>
    </border>
    <border>
      <left style="thin">
        <color rgb="FFCE93D8"/>
      </left>
      <right/>
      <top style="thin">
        <color indexed="64"/>
      </top>
      <bottom style="medium">
        <color rgb="FF4A148C"/>
      </bottom>
      <diagonal/>
    </border>
    <border>
      <left style="medium">
        <color rgb="FF4A148C"/>
      </left>
      <right/>
      <top style="thin">
        <color indexed="64"/>
      </top>
      <bottom style="medium">
        <color rgb="FF4A148C"/>
      </bottom>
      <diagonal/>
    </border>
    <border>
      <left style="medium">
        <color rgb="FF4A148C"/>
      </left>
      <right style="thin">
        <color rgb="FFCE93D8"/>
      </right>
      <top style="thin">
        <color indexed="64"/>
      </top>
      <bottom style="medium">
        <color rgb="FF4A148C"/>
      </bottom>
      <diagonal/>
    </border>
    <border>
      <left/>
      <right/>
      <top style="thin">
        <color indexed="64"/>
      </top>
      <bottom style="medium">
        <color rgb="FF4A148C"/>
      </bottom>
      <diagonal/>
    </border>
    <border>
      <left/>
      <right style="thin">
        <color rgb="FFCE93D8"/>
      </right>
      <top style="thin">
        <color indexed="64"/>
      </top>
      <bottom style="medium">
        <color rgb="FF4A148C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rgb="FFCE93D8"/>
      </right>
      <top style="thin">
        <color rgb="FFCE93D8"/>
      </top>
      <bottom style="thin">
        <color rgb="FFCE93D8"/>
      </bottom>
      <diagonal/>
    </border>
    <border>
      <left style="thin">
        <color indexed="64"/>
      </left>
      <right style="thin">
        <color rgb="FFCE93D8"/>
      </right>
      <top style="thin">
        <color rgb="FFCE93D8"/>
      </top>
      <bottom style="medium">
        <color rgb="FF4A148C"/>
      </bottom>
      <diagonal/>
    </border>
    <border>
      <left style="thin">
        <color indexed="64"/>
      </left>
      <right style="thin">
        <color rgb="FFCE93D8"/>
      </right>
      <top style="thin">
        <color rgb="FFCE93D8"/>
      </top>
      <bottom style="thin">
        <color indexed="64"/>
      </bottom>
      <diagonal/>
    </border>
    <border>
      <left style="thin">
        <color rgb="FFCE93D8"/>
      </left>
      <right style="thin">
        <color rgb="FFCE93D8"/>
      </right>
      <top style="thin">
        <color rgb="FFCE93D8"/>
      </top>
      <bottom style="thin">
        <color indexed="64"/>
      </bottom>
      <diagonal/>
    </border>
    <border>
      <left style="thin">
        <color rgb="FFCE93D8"/>
      </left>
      <right/>
      <top style="thin">
        <color rgb="FFCE93D8"/>
      </top>
      <bottom style="thin">
        <color indexed="64"/>
      </bottom>
      <diagonal/>
    </border>
    <border>
      <left style="medium">
        <color rgb="FF4A148C"/>
      </left>
      <right/>
      <top style="thin">
        <color rgb="FFCE93D8"/>
      </top>
      <bottom style="thin">
        <color indexed="64"/>
      </bottom>
      <diagonal/>
    </border>
    <border>
      <left style="medium">
        <color rgb="FF4A148C"/>
      </left>
      <right style="thin">
        <color rgb="FFCE93D8"/>
      </right>
      <top style="thin">
        <color rgb="FFCE93D8"/>
      </top>
      <bottom style="thin">
        <color indexed="64"/>
      </bottom>
      <diagonal/>
    </border>
    <border>
      <left/>
      <right/>
      <top style="thin">
        <color rgb="FFCE93D8"/>
      </top>
      <bottom style="thin">
        <color indexed="64"/>
      </bottom>
      <diagonal/>
    </border>
    <border>
      <left/>
      <right style="thin">
        <color rgb="FFCE93D8"/>
      </right>
      <top style="thin">
        <color rgb="FFCE93D8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CE93D8"/>
      </left>
      <right style="thin">
        <color rgb="FFCE93D8"/>
      </right>
      <top/>
      <bottom style="thin">
        <color rgb="FFCE93D8"/>
      </bottom>
      <diagonal/>
    </border>
    <border>
      <left/>
      <right style="thin">
        <color rgb="FFCE93D8"/>
      </right>
      <top/>
      <bottom style="thin">
        <color rgb="FFCE93D8"/>
      </bottom>
      <diagonal/>
    </border>
    <border>
      <left/>
      <right/>
      <top/>
      <bottom style="thin">
        <color rgb="FFCE93D8"/>
      </bottom>
      <diagonal/>
    </border>
    <border>
      <left style="thin">
        <color rgb="FFA5D6A7"/>
      </left>
      <right style="thin">
        <color rgb="FFA5D6A7"/>
      </right>
      <top style="thin">
        <color rgb="FFA5D6A7"/>
      </top>
      <bottom style="thin">
        <color rgb="FFA5D6A7"/>
      </bottom>
      <diagonal/>
    </border>
    <border>
      <left style="thin">
        <color rgb="FFA5D6A7"/>
      </left>
      <right style="thin">
        <color rgb="FFA5D6A7"/>
      </right>
      <top style="thin">
        <color rgb="FFA5D6A7"/>
      </top>
      <bottom/>
      <diagonal/>
    </border>
    <border>
      <left style="medium">
        <color rgb="FF0F6E7A"/>
      </left>
      <right style="thin">
        <color rgb="FFCFD8DC"/>
      </right>
      <top/>
      <bottom/>
      <diagonal/>
    </border>
    <border>
      <left style="thin">
        <color rgb="FFCFD8DC"/>
      </left>
      <right style="thin">
        <color rgb="FFCFD8DC"/>
      </right>
      <top/>
      <bottom/>
      <diagonal/>
    </border>
    <border>
      <left style="thin">
        <color rgb="FFCFD8DC"/>
      </left>
      <right style="medium">
        <color rgb="FF0F6E7A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B0BEC5"/>
      </right>
      <top style="thin">
        <color rgb="FFB0BEC5"/>
      </top>
      <bottom style="medium">
        <color rgb="FF0F6E7A"/>
      </bottom>
      <diagonal/>
    </border>
    <border>
      <left style="thin">
        <color rgb="FFB0BEC5"/>
      </left>
      <right/>
      <top style="thin">
        <color rgb="FFB0BEC5"/>
      </top>
      <bottom style="medium">
        <color rgb="FF0F6E7A"/>
      </bottom>
      <diagonal/>
    </border>
    <border>
      <left/>
      <right style="thin">
        <color rgb="FFB0BEC5"/>
      </right>
      <top/>
      <bottom style="medium">
        <color rgb="FF0F6E7A"/>
      </bottom>
      <diagonal/>
    </border>
    <border>
      <left style="thin">
        <color rgb="FFB0BEC5"/>
      </left>
      <right style="thin">
        <color rgb="FFB0BEC5"/>
      </right>
      <top/>
      <bottom style="medium">
        <color rgb="FF0F6E7A"/>
      </bottom>
      <diagonal/>
    </border>
    <border>
      <left style="thin">
        <color rgb="FFB0BEC5"/>
      </left>
      <right/>
      <top/>
      <bottom style="medium">
        <color rgb="FF0F6E7A"/>
      </bottom>
      <diagonal/>
    </border>
    <border>
      <left/>
      <right style="thin">
        <color rgb="FFC5CAE9"/>
      </right>
      <top/>
      <bottom style="thin">
        <color rgb="FFC5CAE9"/>
      </bottom>
      <diagonal/>
    </border>
    <border>
      <left style="thin">
        <color rgb="FFB0BEC5"/>
      </left>
      <right style="thin">
        <color rgb="FFB0BEC5"/>
      </right>
      <top/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rgb="FFA5D6A7"/>
      </left>
      <right/>
      <top style="thin">
        <color rgb="FFA5D6A7"/>
      </top>
      <bottom/>
      <diagonal/>
    </border>
    <border>
      <left style="thin">
        <color rgb="FFA5D6A7"/>
      </left>
      <right/>
      <top style="thin">
        <color rgb="FFA5D6A7"/>
      </top>
      <bottom style="thin">
        <color rgb="FFA5D6A7"/>
      </bottom>
      <diagonal/>
    </border>
    <border>
      <left style="thin">
        <color rgb="FFC5CAE9"/>
      </left>
      <right style="thin">
        <color rgb="FFC5CAE9"/>
      </right>
      <top style="thin">
        <color rgb="FFC5CAE9"/>
      </top>
      <bottom style="thick">
        <color rgb="FFFFB300"/>
      </bottom>
      <diagonal/>
    </border>
    <border>
      <left/>
      <right/>
      <top/>
      <bottom style="thick">
        <color rgb="FF00E5A0"/>
      </bottom>
      <diagonal/>
    </border>
    <border>
      <left/>
      <right/>
      <top style="medium">
        <color rgb="FF00E5A0"/>
      </top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DBDBD"/>
      </left>
      <right style="medium">
        <color rgb="FF1E6B3A"/>
      </right>
      <top style="thin">
        <color rgb="FFBDBDBD"/>
      </top>
      <bottom style="thin">
        <color theme="4" tint="0.39997558519241921"/>
      </bottom>
      <diagonal/>
    </border>
    <border>
      <left style="thin">
        <color rgb="FFBDBDBD"/>
      </left>
      <right style="medium">
        <color rgb="FF1E6B3A"/>
      </right>
      <top style="thin">
        <color theme="4" tint="0.39997558519241921"/>
      </top>
      <bottom style="thin">
        <color rgb="FFBDBDBD"/>
      </bottom>
      <diagonal/>
    </border>
    <border>
      <left/>
      <right style="thin">
        <color rgb="FFC5CAE9"/>
      </right>
      <top style="thin">
        <color rgb="FFC5CAE9"/>
      </top>
      <bottom style="thin">
        <color rgb="FFC5CAE9"/>
      </bottom>
      <diagonal/>
    </border>
  </borders>
  <cellStyleXfs count="9">
    <xf numFmtId="0" fontId="0" fillId="0" borderId="0"/>
    <xf numFmtId="44" fontId="2" fillId="0" borderId="0" applyFont="0" applyFill="0" applyBorder="0" applyAlignment="0" applyProtection="0"/>
    <xf numFmtId="0" fontId="3" fillId="2" borderId="0" applyNumberFormat="0" applyBorder="0" applyAlignment="0" applyProtection="0"/>
    <xf numFmtId="0" fontId="4" fillId="3" borderId="0" applyNumberFormat="0" applyBorder="0" applyAlignment="0" applyProtection="0"/>
    <xf numFmtId="0" fontId="5" fillId="4" borderId="0" applyNumberFormat="0" applyBorder="0" applyAlignment="0" applyProtection="0"/>
    <xf numFmtId="0" fontId="6" fillId="5" borderId="1" applyNumberFormat="0" applyAlignment="0" applyProtection="0"/>
    <xf numFmtId="0" fontId="7" fillId="6" borderId="2" applyNumberFormat="0" applyAlignment="0" applyProtection="0"/>
    <xf numFmtId="0" fontId="2" fillId="7" borderId="3" applyNumberFormat="0" applyFont="0" applyAlignment="0" applyProtection="0"/>
    <xf numFmtId="0" fontId="1" fillId="8" borderId="0" applyNumberFormat="0" applyBorder="0" applyAlignment="0" applyProtection="0"/>
  </cellStyleXfs>
  <cellXfs count="637">
    <xf numFmtId="0" fontId="0" fillId="0" borderId="0" xfId="0"/>
    <xf numFmtId="0" fontId="6" fillId="5" borderId="4" xfId="5" applyBorder="1"/>
    <xf numFmtId="167" fontId="12" fillId="13" borderId="24" xfId="5" applyNumberFormat="1" applyFont="1" applyFill="1" applyBorder="1" applyAlignment="1">
      <alignment horizontal="right" vertical="center"/>
    </xf>
    <xf numFmtId="0" fontId="11" fillId="11" borderId="17" xfId="6" applyFont="1" applyFill="1" applyBorder="1" applyAlignment="1">
      <alignment horizontal="left" vertical="center" indent="1"/>
    </xf>
    <xf numFmtId="0" fontId="11" fillId="12" borderId="17" xfId="6" applyFont="1" applyFill="1" applyBorder="1" applyAlignment="1">
      <alignment horizontal="left" vertical="center" indent="1"/>
    </xf>
    <xf numFmtId="167" fontId="13" fillId="14" borderId="20" xfId="7" applyNumberFormat="1" applyFont="1" applyFill="1" applyBorder="1" applyAlignment="1">
      <alignment horizontal="right" vertical="center"/>
    </xf>
    <xf numFmtId="167" fontId="13" fillId="15" borderId="20" xfId="7" applyNumberFormat="1" applyFont="1" applyFill="1" applyBorder="1" applyAlignment="1">
      <alignment horizontal="right" vertical="center"/>
    </xf>
    <xf numFmtId="165" fontId="13" fillId="12" borderId="20" xfId="7" applyNumberFormat="1" applyFont="1" applyFill="1" applyBorder="1" applyAlignment="1">
      <alignment horizontal="right" vertical="center"/>
    </xf>
    <xf numFmtId="168" fontId="13" fillId="14" borderId="20" xfId="7" applyNumberFormat="1" applyFont="1" applyFill="1" applyBorder="1" applyAlignment="1">
      <alignment horizontal="right" vertical="center"/>
    </xf>
    <xf numFmtId="168" fontId="13" fillId="15" borderId="20" xfId="7" applyNumberFormat="1" applyFont="1" applyFill="1" applyBorder="1" applyAlignment="1">
      <alignment horizontal="right" vertical="center"/>
    </xf>
    <xf numFmtId="0" fontId="11" fillId="11" borderId="25" xfId="6" applyFont="1" applyFill="1" applyBorder="1" applyAlignment="1">
      <alignment horizontal="left" vertical="center" indent="1"/>
    </xf>
    <xf numFmtId="167" fontId="13" fillId="14" borderId="26" xfId="7" applyNumberFormat="1" applyFont="1" applyFill="1" applyBorder="1" applyAlignment="1">
      <alignment horizontal="right" vertical="center"/>
    </xf>
    <xf numFmtId="0" fontId="10" fillId="10" borderId="16" xfId="5" applyFont="1" applyFill="1" applyBorder="1" applyAlignment="1">
      <alignment horizontal="center" vertical="center"/>
    </xf>
    <xf numFmtId="164" fontId="10" fillId="10" borderId="14" xfId="5" applyNumberFormat="1" applyFont="1" applyFill="1" applyBorder="1" applyAlignment="1">
      <alignment horizontal="center" vertical="center"/>
    </xf>
    <xf numFmtId="0" fontId="10" fillId="10" borderId="23" xfId="5" applyNumberFormat="1" applyFont="1" applyFill="1" applyBorder="1" applyAlignment="1">
      <alignment horizontal="center" vertical="center"/>
    </xf>
    <xf numFmtId="168" fontId="13" fillId="14" borderId="26" xfId="7" applyNumberFormat="1" applyFont="1" applyFill="1" applyBorder="1" applyAlignment="1">
      <alignment horizontal="right" vertical="center"/>
    </xf>
    <xf numFmtId="0" fontId="10" fillId="10" borderId="14" xfId="5" applyFont="1" applyFill="1" applyBorder="1" applyAlignment="1">
      <alignment horizontal="center" vertical="center"/>
    </xf>
    <xf numFmtId="0" fontId="11" fillId="11" borderId="27" xfId="6" applyFont="1" applyFill="1" applyBorder="1" applyAlignment="1">
      <alignment horizontal="left" vertical="center" indent="1"/>
    </xf>
    <xf numFmtId="167" fontId="13" fillId="15" borderId="28" xfId="7" applyNumberFormat="1" applyFont="1" applyFill="1" applyBorder="1" applyAlignment="1">
      <alignment horizontal="right" vertical="center"/>
    </xf>
    <xf numFmtId="0" fontId="12" fillId="13" borderId="29" xfId="5" applyFont="1" applyFill="1" applyBorder="1" applyAlignment="1">
      <alignment horizontal="left" indent="1"/>
    </xf>
    <xf numFmtId="0" fontId="11" fillId="11" borderId="18" xfId="6" applyFont="1" applyFill="1" applyBorder="1" applyAlignment="1">
      <alignment horizontal="left" vertical="center" indent="1"/>
    </xf>
    <xf numFmtId="167" fontId="13" fillId="14" borderId="21" xfId="7" applyNumberFormat="1" applyFont="1" applyFill="1" applyBorder="1" applyAlignment="1">
      <alignment horizontal="right" vertical="center"/>
    </xf>
    <xf numFmtId="168" fontId="13" fillId="15" borderId="28" xfId="7" applyNumberFormat="1" applyFont="1" applyFill="1" applyBorder="1" applyAlignment="1">
      <alignment horizontal="right" vertical="center"/>
    </xf>
    <xf numFmtId="168" fontId="12" fillId="13" borderId="22" xfId="5" applyNumberFormat="1" applyFont="1" applyFill="1" applyBorder="1" applyAlignment="1">
      <alignment horizontal="right" vertical="center"/>
    </xf>
    <xf numFmtId="168" fontId="12" fillId="13" borderId="30" xfId="5" applyNumberFormat="1" applyFont="1" applyFill="1" applyBorder="1" applyAlignment="1">
      <alignment horizontal="right" vertical="center"/>
    </xf>
    <xf numFmtId="168" fontId="13" fillId="14" borderId="21" xfId="7" applyNumberFormat="1" applyFont="1" applyFill="1" applyBorder="1" applyAlignment="1">
      <alignment horizontal="right" vertical="center"/>
    </xf>
    <xf numFmtId="0" fontId="12" fillId="13" borderId="31" xfId="5" applyFont="1" applyFill="1" applyBorder="1" applyAlignment="1">
      <alignment horizontal="left" indent="1"/>
    </xf>
    <xf numFmtId="167" fontId="12" fillId="13" borderId="32" xfId="5" applyNumberFormat="1" applyFont="1" applyFill="1" applyBorder="1" applyAlignment="1">
      <alignment horizontal="right" vertical="center"/>
    </xf>
    <xf numFmtId="0" fontId="0" fillId="0" borderId="19" xfId="0" applyBorder="1"/>
    <xf numFmtId="0" fontId="14" fillId="16" borderId="33" xfId="0" applyFont="1" applyFill="1" applyBorder="1" applyAlignment="1">
      <alignment horizontal="center" vertical="center"/>
    </xf>
    <xf numFmtId="0" fontId="14" fillId="16" borderId="34" xfId="0" applyFont="1" applyFill="1" applyBorder="1" applyAlignment="1">
      <alignment horizontal="center" vertical="center"/>
    </xf>
    <xf numFmtId="166" fontId="14" fillId="16" borderId="34" xfId="0" applyNumberFormat="1" applyFont="1" applyFill="1" applyBorder="1" applyAlignment="1">
      <alignment horizontal="center" vertical="center"/>
    </xf>
    <xf numFmtId="0" fontId="14" fillId="16" borderId="35" xfId="0" applyFont="1" applyFill="1" applyBorder="1" applyAlignment="1">
      <alignment horizontal="center" vertical="center"/>
    </xf>
    <xf numFmtId="169" fontId="15" fillId="15" borderId="36" xfId="0" applyNumberFormat="1" applyFont="1" applyFill="1" applyBorder="1" applyAlignment="1">
      <alignment horizontal="center" vertical="center"/>
    </xf>
    <xf numFmtId="0" fontId="15" fillId="15" borderId="37" xfId="0" applyFont="1" applyFill="1" applyBorder="1" applyAlignment="1">
      <alignment horizontal="center" vertical="center"/>
    </xf>
    <xf numFmtId="0" fontId="15" fillId="15" borderId="37" xfId="0" applyFont="1" applyFill="1" applyBorder="1" applyAlignment="1">
      <alignment horizontal="left" vertical="center" indent="1"/>
    </xf>
    <xf numFmtId="44" fontId="15" fillId="15" borderId="37" xfId="1" applyFont="1" applyFill="1" applyBorder="1" applyAlignment="1">
      <alignment horizontal="center" vertical="center"/>
    </xf>
    <xf numFmtId="0" fontId="15" fillId="15" borderId="37" xfId="1" applyNumberFormat="1" applyFont="1" applyFill="1" applyBorder="1" applyAlignment="1">
      <alignment horizontal="center" vertical="center"/>
    </xf>
    <xf numFmtId="170" fontId="15" fillId="15" borderId="37" xfId="1" applyNumberFormat="1" applyFont="1" applyFill="1" applyBorder="1" applyAlignment="1">
      <alignment horizontal="right" vertical="center"/>
    </xf>
    <xf numFmtId="171" fontId="15" fillId="15" borderId="37" xfId="1" applyNumberFormat="1" applyFont="1" applyFill="1" applyBorder="1" applyAlignment="1">
      <alignment horizontal="right" vertical="center"/>
    </xf>
    <xf numFmtId="0" fontId="15" fillId="15" borderId="38" xfId="0" applyFont="1" applyFill="1" applyBorder="1" applyAlignment="1">
      <alignment horizontal="left" vertical="center" indent="1"/>
    </xf>
    <xf numFmtId="169" fontId="16" fillId="17" borderId="36" xfId="0" applyNumberFormat="1" applyFont="1" applyFill="1" applyBorder="1" applyAlignment="1">
      <alignment horizontal="center" vertical="center"/>
    </xf>
    <xf numFmtId="0" fontId="16" fillId="17" borderId="37" xfId="0" applyFont="1" applyFill="1" applyBorder="1" applyAlignment="1">
      <alignment horizontal="center" vertical="center"/>
    </xf>
    <xf numFmtId="0" fontId="16" fillId="17" borderId="37" xfId="0" applyFont="1" applyFill="1" applyBorder="1" applyAlignment="1">
      <alignment horizontal="left" vertical="center" indent="1"/>
    </xf>
    <xf numFmtId="44" fontId="16" fillId="17" borderId="37" xfId="1" applyFont="1" applyFill="1" applyBorder="1" applyAlignment="1">
      <alignment horizontal="center" vertical="center"/>
    </xf>
    <xf numFmtId="0" fontId="16" fillId="17" borderId="37" xfId="1" applyNumberFormat="1" applyFont="1" applyFill="1" applyBorder="1" applyAlignment="1">
      <alignment horizontal="center" vertical="center"/>
    </xf>
    <xf numFmtId="170" fontId="16" fillId="17" borderId="37" xfId="1" applyNumberFormat="1" applyFont="1" applyFill="1" applyBorder="1" applyAlignment="1">
      <alignment horizontal="right" vertical="center"/>
    </xf>
    <xf numFmtId="0" fontId="16" fillId="17" borderId="38" xfId="0" applyFont="1" applyFill="1" applyBorder="1" applyAlignment="1">
      <alignment horizontal="left" vertical="center" indent="1"/>
    </xf>
    <xf numFmtId="169" fontId="15" fillId="18" borderId="36" xfId="0" applyNumberFormat="1" applyFont="1" applyFill="1" applyBorder="1" applyAlignment="1">
      <alignment horizontal="center" vertical="center"/>
    </xf>
    <xf numFmtId="0" fontId="15" fillId="18" borderId="37" xfId="0" applyFont="1" applyFill="1" applyBorder="1" applyAlignment="1">
      <alignment horizontal="center" vertical="center"/>
    </xf>
    <xf numFmtId="0" fontId="15" fillId="18" borderId="37" xfId="0" applyFont="1" applyFill="1" applyBorder="1" applyAlignment="1">
      <alignment horizontal="left" vertical="center" indent="1"/>
    </xf>
    <xf numFmtId="44" fontId="15" fillId="18" borderId="37" xfId="1" applyFont="1" applyFill="1" applyBorder="1" applyAlignment="1">
      <alignment horizontal="center" vertical="center"/>
    </xf>
    <xf numFmtId="0" fontId="15" fillId="18" borderId="37" xfId="1" applyNumberFormat="1" applyFont="1" applyFill="1" applyBorder="1" applyAlignment="1">
      <alignment horizontal="center" vertical="center"/>
    </xf>
    <xf numFmtId="170" fontId="15" fillId="18" borderId="37" xfId="1" applyNumberFormat="1" applyFont="1" applyFill="1" applyBorder="1" applyAlignment="1">
      <alignment horizontal="right" vertical="center"/>
    </xf>
    <xf numFmtId="171" fontId="15" fillId="18" borderId="37" xfId="1" applyNumberFormat="1" applyFont="1" applyFill="1" applyBorder="1" applyAlignment="1">
      <alignment horizontal="right" vertical="center"/>
    </xf>
    <xf numFmtId="0" fontId="15" fillId="18" borderId="38" xfId="0" applyFont="1" applyFill="1" applyBorder="1" applyAlignment="1">
      <alignment horizontal="left" vertical="center" indent="1"/>
    </xf>
    <xf numFmtId="169" fontId="14" fillId="19" borderId="36" xfId="0" applyNumberFormat="1" applyFont="1" applyFill="1" applyBorder="1" applyAlignment="1">
      <alignment horizontal="center" vertical="center"/>
    </xf>
    <xf numFmtId="0" fontId="14" fillId="19" borderId="37" xfId="0" applyFont="1" applyFill="1" applyBorder="1" applyAlignment="1">
      <alignment horizontal="center" vertical="center"/>
    </xf>
    <xf numFmtId="0" fontId="14" fillId="19" borderId="37" xfId="0" applyFont="1" applyFill="1" applyBorder="1" applyAlignment="1">
      <alignment horizontal="left" vertical="center" indent="1"/>
    </xf>
    <xf numFmtId="44" fontId="14" fillId="19" borderId="37" xfId="1" applyFont="1" applyFill="1" applyBorder="1" applyAlignment="1">
      <alignment horizontal="center" vertical="center"/>
    </xf>
    <xf numFmtId="0" fontId="14" fillId="19" borderId="37" xfId="1" applyNumberFormat="1" applyFont="1" applyFill="1" applyBorder="1" applyAlignment="1">
      <alignment horizontal="center" vertical="center"/>
    </xf>
    <xf numFmtId="170" fontId="14" fillId="19" borderId="37" xfId="1" applyNumberFormat="1" applyFont="1" applyFill="1" applyBorder="1" applyAlignment="1">
      <alignment horizontal="right" vertical="center"/>
    </xf>
    <xf numFmtId="0" fontId="14" fillId="19" borderId="38" xfId="0" applyFont="1" applyFill="1" applyBorder="1" applyAlignment="1">
      <alignment horizontal="left" vertical="center" indent="1"/>
    </xf>
    <xf numFmtId="14" fontId="17" fillId="0" borderId="39" xfId="0" applyNumberFormat="1" applyFont="1" applyBorder="1"/>
    <xf numFmtId="0" fontId="17" fillId="20" borderId="40" xfId="0" applyFont="1" applyFill="1" applyBorder="1" applyAlignment="1">
      <alignment horizontal="center"/>
    </xf>
    <xf numFmtId="0" fontId="17" fillId="20" borderId="40" xfId="0" applyFont="1" applyFill="1" applyBorder="1"/>
    <xf numFmtId="44" fontId="17" fillId="20" borderId="40" xfId="1" applyFont="1" applyFill="1" applyBorder="1" applyAlignment="1">
      <alignment horizontal="center" vertical="center"/>
    </xf>
    <xf numFmtId="44" fontId="17" fillId="0" borderId="40" xfId="1" applyFont="1" applyBorder="1" applyAlignment="1">
      <alignment horizontal="center" vertical="center"/>
    </xf>
    <xf numFmtId="0" fontId="17" fillId="20" borderId="40" xfId="0" applyFont="1" applyFill="1" applyBorder="1" applyAlignment="1">
      <alignment horizontal="center" vertical="center"/>
    </xf>
    <xf numFmtId="14" fontId="18" fillId="0" borderId="39" xfId="0" applyNumberFormat="1" applyFont="1" applyBorder="1"/>
    <xf numFmtId="0" fontId="17" fillId="0" borderId="40" xfId="0" applyFont="1" applyBorder="1" applyAlignment="1">
      <alignment horizontal="center"/>
    </xf>
    <xf numFmtId="0" fontId="17" fillId="0" borderId="40" xfId="0" applyFont="1" applyBorder="1"/>
    <xf numFmtId="0" fontId="17" fillId="0" borderId="40" xfId="0" applyFont="1" applyBorder="1" applyAlignment="1">
      <alignment horizontal="center" vertical="center"/>
    </xf>
    <xf numFmtId="14" fontId="17" fillId="20" borderId="39" xfId="0" applyNumberFormat="1" applyFont="1" applyFill="1" applyBorder="1"/>
    <xf numFmtId="14" fontId="18" fillId="20" borderId="39" xfId="0" applyNumberFormat="1" applyFont="1" applyFill="1" applyBorder="1"/>
    <xf numFmtId="0" fontId="17" fillId="0" borderId="39" xfId="0" applyFont="1" applyBorder="1"/>
    <xf numFmtId="0" fontId="0" fillId="0" borderId="5" xfId="0" applyBorder="1"/>
    <xf numFmtId="0" fontId="15" fillId="21" borderId="41" xfId="0" applyFont="1" applyFill="1" applyBorder="1" applyAlignment="1">
      <alignment horizontal="left" vertical="center" indent="1"/>
    </xf>
    <xf numFmtId="0" fontId="15" fillId="21" borderId="41" xfId="0" applyFont="1" applyFill="1" applyBorder="1" applyAlignment="1">
      <alignment horizontal="center" vertical="center"/>
    </xf>
    <xf numFmtId="170" fontId="15" fillId="21" borderId="41" xfId="1" applyNumberFormat="1" applyFont="1" applyFill="1" applyBorder="1" applyAlignment="1">
      <alignment horizontal="right" vertical="center"/>
    </xf>
    <xf numFmtId="0" fontId="15" fillId="0" borderId="41" xfId="0" applyFont="1" applyBorder="1" applyAlignment="1">
      <alignment horizontal="left" vertical="center" indent="1"/>
    </xf>
    <xf numFmtId="0" fontId="15" fillId="0" borderId="41" xfId="0" applyFont="1" applyBorder="1" applyAlignment="1">
      <alignment horizontal="center" vertical="center"/>
    </xf>
    <xf numFmtId="170" fontId="15" fillId="0" borderId="41" xfId="1" applyNumberFormat="1" applyFont="1" applyBorder="1" applyAlignment="1">
      <alignment horizontal="right" vertical="center"/>
    </xf>
    <xf numFmtId="0" fontId="13" fillId="0" borderId="41" xfId="0" applyFont="1" applyBorder="1" applyAlignment="1">
      <alignment horizontal="center" vertical="center"/>
    </xf>
    <xf numFmtId="0" fontId="15" fillId="0" borderId="42" xfId="0" applyFont="1" applyBorder="1" applyAlignment="1">
      <alignment horizontal="left" vertical="center" indent="1"/>
    </xf>
    <xf numFmtId="0" fontId="15" fillId="0" borderId="42" xfId="0" applyFont="1" applyBorder="1" applyAlignment="1">
      <alignment horizontal="center" vertical="center"/>
    </xf>
    <xf numFmtId="170" fontId="15" fillId="0" borderId="42" xfId="1" applyNumberFormat="1" applyFont="1" applyBorder="1" applyAlignment="1">
      <alignment horizontal="right" vertical="center"/>
    </xf>
    <xf numFmtId="0" fontId="15" fillId="21" borderId="43" xfId="0" applyFont="1" applyFill="1" applyBorder="1" applyAlignment="1">
      <alignment horizontal="left" vertical="center" indent="1"/>
    </xf>
    <xf numFmtId="0" fontId="15" fillId="21" borderId="43" xfId="0" applyFont="1" applyFill="1" applyBorder="1" applyAlignment="1">
      <alignment horizontal="center" vertical="center"/>
    </xf>
    <xf numFmtId="170" fontId="15" fillId="21" borderId="43" xfId="1" applyNumberFormat="1" applyFont="1" applyFill="1" applyBorder="1" applyAlignment="1">
      <alignment horizontal="right" vertical="center"/>
    </xf>
    <xf numFmtId="168" fontId="13" fillId="21" borderId="43" xfId="0" applyNumberFormat="1" applyFont="1" applyFill="1" applyBorder="1" applyAlignment="1">
      <alignment horizontal="right" vertical="center"/>
    </xf>
    <xf numFmtId="0" fontId="6" fillId="5" borderId="7" xfId="5" applyBorder="1"/>
    <xf numFmtId="0" fontId="0" fillId="0" borderId="5" xfId="0" applyBorder="1" applyAlignment="1">
      <alignment horizontal="center" vertical="center"/>
    </xf>
    <xf numFmtId="14" fontId="1" fillId="24" borderId="5" xfId="8" applyNumberFormat="1" applyFill="1" applyBorder="1" applyAlignment="1">
      <alignment horizontal="center" vertical="center"/>
    </xf>
    <xf numFmtId="0" fontId="0" fillId="24" borderId="5" xfId="0" applyFill="1" applyBorder="1" applyAlignment="1">
      <alignment horizontal="center" vertical="center"/>
    </xf>
    <xf numFmtId="0" fontId="1" fillId="24" borderId="5" xfId="8" applyFill="1" applyBorder="1" applyAlignment="1">
      <alignment horizontal="center" vertical="center"/>
    </xf>
    <xf numFmtId="0" fontId="21" fillId="24" borderId="5" xfId="8" applyFont="1" applyFill="1" applyBorder="1" applyAlignment="1">
      <alignment horizontal="center" vertical="center"/>
    </xf>
    <xf numFmtId="0" fontId="1" fillId="24" borderId="5" xfId="8" applyFill="1" applyBorder="1"/>
    <xf numFmtId="0" fontId="0" fillId="24" borderId="5" xfId="0" applyFill="1" applyBorder="1"/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24" borderId="45" xfId="0" applyFill="1" applyBorder="1" applyAlignment="1">
      <alignment horizontal="center" vertical="center"/>
    </xf>
    <xf numFmtId="0" fontId="1" fillId="24" borderId="45" xfId="8" applyFill="1" applyBorder="1" applyAlignment="1">
      <alignment horizontal="center" vertical="center"/>
    </xf>
    <xf numFmtId="0" fontId="19" fillId="24" borderId="45" xfId="0" applyFont="1" applyFill="1" applyBorder="1" applyAlignment="1">
      <alignment horizontal="center" vertical="center"/>
    </xf>
    <xf numFmtId="164" fontId="0" fillId="0" borderId="0" xfId="1" applyNumberFormat="1" applyFont="1"/>
    <xf numFmtId="0" fontId="0" fillId="0" borderId="46" xfId="0" applyBorder="1" applyAlignment="1">
      <alignment horizontal="center" vertical="center"/>
    </xf>
    <xf numFmtId="14" fontId="0" fillId="0" borderId="46" xfId="0" applyNumberFormat="1" applyBorder="1" applyAlignment="1">
      <alignment horizontal="center" vertical="center"/>
    </xf>
    <xf numFmtId="0" fontId="1" fillId="24" borderId="46" xfId="8" applyFill="1" applyBorder="1"/>
    <xf numFmtId="14" fontId="0" fillId="0" borderId="44" xfId="0" applyNumberFormat="1" applyBorder="1" applyAlignment="1">
      <alignment horizontal="center" vertical="center"/>
    </xf>
    <xf numFmtId="0" fontId="22" fillId="24" borderId="44" xfId="8" applyFont="1" applyFill="1" applyBorder="1" applyAlignment="1">
      <alignment horizontal="center" vertical="center"/>
    </xf>
    <xf numFmtId="0" fontId="22" fillId="24" borderId="5" xfId="8" applyFont="1" applyFill="1" applyBorder="1" applyAlignment="1">
      <alignment horizontal="center" vertical="center"/>
    </xf>
    <xf numFmtId="0" fontId="23" fillId="24" borderId="5" xfId="8" applyFont="1" applyFill="1" applyBorder="1" applyAlignment="1">
      <alignment horizontal="center" vertical="center"/>
    </xf>
    <xf numFmtId="0" fontId="23" fillId="24" borderId="45" xfId="8" applyFont="1" applyFill="1" applyBorder="1" applyAlignment="1">
      <alignment horizontal="center" vertical="center"/>
    </xf>
    <xf numFmtId="0" fontId="19" fillId="0" borderId="45" xfId="0" applyFont="1" applyBorder="1" applyAlignment="1">
      <alignment horizontal="center" vertical="center"/>
    </xf>
    <xf numFmtId="0" fontId="22" fillId="24" borderId="47" xfId="8" applyFont="1" applyFill="1" applyBorder="1" applyAlignment="1">
      <alignment horizontal="center" vertical="center"/>
    </xf>
    <xf numFmtId="0" fontId="22" fillId="24" borderId="9" xfId="8" applyFont="1" applyFill="1" applyBorder="1" applyAlignment="1">
      <alignment horizontal="center" vertical="center"/>
    </xf>
    <xf numFmtId="0" fontId="0" fillId="24" borderId="0" xfId="0" applyFill="1"/>
    <xf numFmtId="0" fontId="22" fillId="24" borderId="8" xfId="8" applyFont="1" applyFill="1" applyBorder="1" applyAlignment="1">
      <alignment horizontal="center" vertical="center"/>
    </xf>
    <xf numFmtId="0" fontId="22" fillId="24" borderId="48" xfId="8" applyFont="1" applyFill="1" applyBorder="1" applyAlignment="1">
      <alignment horizontal="center" vertical="center"/>
    </xf>
    <xf numFmtId="0" fontId="0" fillId="24" borderId="44" xfId="0" applyFill="1" applyBorder="1" applyAlignment="1">
      <alignment horizontal="center" vertical="center"/>
    </xf>
    <xf numFmtId="14" fontId="0" fillId="24" borderId="44" xfId="0" applyNumberFormat="1" applyFill="1" applyBorder="1" applyAlignment="1">
      <alignment horizontal="center" vertical="center"/>
    </xf>
    <xf numFmtId="0" fontId="0" fillId="24" borderId="44" xfId="0" applyFill="1" applyBorder="1"/>
    <xf numFmtId="0" fontId="0" fillId="24" borderId="44" xfId="0" applyFill="1" applyBorder="1" applyAlignment="1">
      <alignment horizontal="center"/>
    </xf>
    <xf numFmtId="0" fontId="0" fillId="24" borderId="5" xfId="0" applyFill="1" applyBorder="1" applyAlignment="1">
      <alignment horizontal="center"/>
    </xf>
    <xf numFmtId="0" fontId="22" fillId="24" borderId="10" xfId="8" applyFont="1" applyFill="1" applyBorder="1" applyAlignment="1">
      <alignment horizontal="center" vertical="center"/>
    </xf>
    <xf numFmtId="0" fontId="22" fillId="24" borderId="5" xfId="0" applyFont="1" applyFill="1" applyBorder="1" applyAlignment="1">
      <alignment horizontal="center"/>
    </xf>
    <xf numFmtId="0" fontId="22" fillId="24" borderId="5" xfId="0" applyFont="1" applyFill="1" applyBorder="1" applyAlignment="1">
      <alignment horizontal="center" vertical="center"/>
    </xf>
    <xf numFmtId="0" fontId="0" fillId="24" borderId="10" xfId="0" applyFill="1" applyBorder="1" applyAlignment="1">
      <alignment horizontal="center" vertical="center"/>
    </xf>
    <xf numFmtId="0" fontId="22" fillId="24" borderId="10" xfId="0" applyFont="1" applyFill="1" applyBorder="1" applyAlignment="1">
      <alignment horizontal="center" vertical="center"/>
    </xf>
    <xf numFmtId="0" fontId="22" fillId="24" borderId="45" xfId="8" applyFont="1" applyFill="1" applyBorder="1" applyAlignment="1">
      <alignment horizontal="center" vertical="center"/>
    </xf>
    <xf numFmtId="0" fontId="19" fillId="24" borderId="45" xfId="8" applyFont="1" applyFill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22" fillId="0" borderId="49" xfId="0" applyFont="1" applyBorder="1" applyAlignment="1">
      <alignment horizontal="center" vertical="center"/>
    </xf>
    <xf numFmtId="0" fontId="22" fillId="24" borderId="5" xfId="8" applyFont="1" applyFill="1" applyBorder="1" applyAlignment="1">
      <alignment horizontal="center"/>
    </xf>
    <xf numFmtId="0" fontId="1" fillId="24" borderId="5" xfId="8" applyFill="1" applyBorder="1" applyAlignment="1"/>
    <xf numFmtId="0" fontId="0" fillId="0" borderId="9" xfId="0" applyBorder="1" applyAlignment="1">
      <alignment horizontal="center" vertical="center"/>
    </xf>
    <xf numFmtId="0" fontId="24" fillId="24" borderId="5" xfId="8" applyFont="1" applyFill="1" applyBorder="1" applyAlignment="1">
      <alignment horizontal="center"/>
    </xf>
    <xf numFmtId="0" fontId="0" fillId="24" borderId="45" xfId="0" applyFill="1" applyBorder="1"/>
    <xf numFmtId="0" fontId="19" fillId="0" borderId="50" xfId="0" applyFont="1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22" fillId="24" borderId="45" xfId="0" applyFont="1" applyFill="1" applyBorder="1" applyAlignment="1">
      <alignment horizontal="center" vertical="center"/>
    </xf>
    <xf numFmtId="0" fontId="22" fillId="24" borderId="44" xfId="0" applyFont="1" applyFill="1" applyBorder="1" applyAlignment="1">
      <alignment horizontal="center" vertical="center"/>
    </xf>
    <xf numFmtId="0" fontId="19" fillId="24" borderId="5" xfId="8" applyFont="1" applyFill="1" applyBorder="1" applyAlignment="1">
      <alignment horizontal="center" vertical="center"/>
    </xf>
    <xf numFmtId="0" fontId="5" fillId="4" borderId="0" xfId="4"/>
    <xf numFmtId="14" fontId="0" fillId="0" borderId="45" xfId="0" applyNumberFormat="1" applyBorder="1" applyAlignment="1">
      <alignment horizontal="center" vertical="center"/>
    </xf>
    <xf numFmtId="0" fontId="19" fillId="0" borderId="44" xfId="0" applyFon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31" fillId="26" borderId="62" xfId="0" applyFont="1" applyFill="1" applyBorder="1" applyAlignment="1">
      <alignment horizontal="center" vertical="center" wrapText="1"/>
    </xf>
    <xf numFmtId="0" fontId="32" fillId="0" borderId="62" xfId="0" applyFont="1" applyBorder="1" applyAlignment="1">
      <alignment horizontal="left" vertical="center"/>
    </xf>
    <xf numFmtId="0" fontId="33" fillId="0" borderId="62" xfId="0" applyFont="1" applyBorder="1" applyAlignment="1">
      <alignment horizontal="center" vertical="center"/>
    </xf>
    <xf numFmtId="0" fontId="32" fillId="0" borderId="62" xfId="8" applyFont="1" applyFill="1" applyBorder="1" applyAlignment="1">
      <alignment horizontal="left" vertical="center"/>
    </xf>
    <xf numFmtId="0" fontId="33" fillId="0" borderId="62" xfId="8" applyFont="1" applyFill="1" applyBorder="1" applyAlignment="1">
      <alignment horizontal="left" vertical="center"/>
    </xf>
    <xf numFmtId="0" fontId="33" fillId="0" borderId="62" xfId="0" applyFont="1" applyBorder="1" applyAlignment="1">
      <alignment horizontal="left" vertical="center"/>
    </xf>
    <xf numFmtId="0" fontId="33" fillId="0" borderId="65" xfId="0" applyFont="1" applyBorder="1" applyAlignment="1">
      <alignment horizontal="left" vertical="center"/>
    </xf>
    <xf numFmtId="0" fontId="33" fillId="0" borderId="65" xfId="0" applyFont="1" applyBorder="1" applyAlignment="1">
      <alignment horizontal="center" vertical="center"/>
    </xf>
    <xf numFmtId="0" fontId="31" fillId="26" borderId="67" xfId="0" applyFont="1" applyFill="1" applyBorder="1" applyAlignment="1">
      <alignment horizontal="center" vertical="center" wrapText="1"/>
    </xf>
    <xf numFmtId="169" fontId="32" fillId="0" borderId="67" xfId="5" applyNumberFormat="1" applyFont="1" applyFill="1" applyBorder="1" applyAlignment="1">
      <alignment horizontal="center" vertical="center"/>
    </xf>
    <xf numFmtId="169" fontId="32" fillId="0" borderId="68" xfId="5" applyNumberFormat="1" applyFont="1" applyFill="1" applyBorder="1" applyAlignment="1">
      <alignment horizontal="center" vertical="center"/>
    </xf>
    <xf numFmtId="0" fontId="31" fillId="26" borderId="61" xfId="0" applyFont="1" applyFill="1" applyBorder="1" applyAlignment="1">
      <alignment horizontal="center" vertical="center" wrapText="1"/>
    </xf>
    <xf numFmtId="0" fontId="33" fillId="0" borderId="61" xfId="0" applyFont="1" applyBorder="1" applyAlignment="1">
      <alignment horizontal="center" vertical="center"/>
    </xf>
    <xf numFmtId="0" fontId="33" fillId="0" borderId="70" xfId="0" applyFont="1" applyBorder="1" applyAlignment="1">
      <alignment horizontal="center" vertical="center"/>
    </xf>
    <xf numFmtId="0" fontId="31" fillId="28" borderId="74" xfId="0" applyFont="1" applyFill="1" applyBorder="1" applyAlignment="1">
      <alignment horizontal="center" vertical="center" wrapText="1"/>
    </xf>
    <xf numFmtId="0" fontId="31" fillId="30" borderId="67" xfId="0" applyFont="1" applyFill="1" applyBorder="1" applyAlignment="1">
      <alignment horizontal="center" vertical="center" wrapText="1"/>
    </xf>
    <xf numFmtId="0" fontId="31" fillId="29" borderId="67" xfId="0" applyFont="1" applyFill="1" applyBorder="1" applyAlignment="1">
      <alignment horizontal="center" vertical="center" wrapText="1"/>
    </xf>
    <xf numFmtId="175" fontId="34" fillId="11" borderId="67" xfId="0" applyNumberFormat="1" applyFont="1" applyFill="1" applyBorder="1" applyAlignment="1">
      <alignment horizontal="right" vertical="center"/>
    </xf>
    <xf numFmtId="175" fontId="36" fillId="11" borderId="67" xfId="0" applyNumberFormat="1" applyFont="1" applyFill="1" applyBorder="1" applyAlignment="1">
      <alignment horizontal="right" vertical="center"/>
    </xf>
    <xf numFmtId="175" fontId="34" fillId="11" borderId="68" xfId="0" applyNumberFormat="1" applyFont="1" applyFill="1" applyBorder="1" applyAlignment="1">
      <alignment horizontal="right" vertical="center"/>
    </xf>
    <xf numFmtId="0" fontId="31" fillId="29" borderId="60" xfId="0" applyFont="1" applyFill="1" applyBorder="1" applyAlignment="1">
      <alignment horizontal="center" vertical="center" wrapText="1"/>
    </xf>
    <xf numFmtId="175" fontId="36" fillId="11" borderId="60" xfId="0" applyNumberFormat="1" applyFont="1" applyFill="1" applyBorder="1" applyAlignment="1">
      <alignment horizontal="right" vertical="center"/>
    </xf>
    <xf numFmtId="175" fontId="34" fillId="11" borderId="60" xfId="0" applyNumberFormat="1" applyFont="1" applyFill="1" applyBorder="1" applyAlignment="1">
      <alignment horizontal="right" vertical="center"/>
    </xf>
    <xf numFmtId="0" fontId="31" fillId="26" borderId="63" xfId="0" applyFont="1" applyFill="1" applyBorder="1" applyAlignment="1">
      <alignment horizontal="center" vertical="center" wrapText="1"/>
    </xf>
    <xf numFmtId="0" fontId="33" fillId="0" borderId="63" xfId="0" applyFont="1" applyBorder="1" applyAlignment="1">
      <alignment horizontal="center" vertical="center"/>
    </xf>
    <xf numFmtId="0" fontId="33" fillId="0" borderId="72" xfId="0" applyFont="1" applyBorder="1" applyAlignment="1">
      <alignment horizontal="center" vertical="center"/>
    </xf>
    <xf numFmtId="175" fontId="37" fillId="32" borderId="67" xfId="0" applyNumberFormat="1" applyFont="1" applyFill="1" applyBorder="1" applyAlignment="1">
      <alignment horizontal="right" vertical="center"/>
    </xf>
    <xf numFmtId="175" fontId="37" fillId="32" borderId="68" xfId="0" applyNumberFormat="1" applyFont="1" applyFill="1" applyBorder="1" applyAlignment="1">
      <alignment horizontal="right" vertical="center"/>
    </xf>
    <xf numFmtId="0" fontId="31" fillId="26" borderId="60" xfId="0" applyFont="1" applyFill="1" applyBorder="1" applyAlignment="1">
      <alignment horizontal="center" vertical="center" wrapText="1"/>
    </xf>
    <xf numFmtId="0" fontId="32" fillId="0" borderId="60" xfId="0" applyFont="1" applyBorder="1" applyAlignment="1">
      <alignment horizontal="left" vertical="center"/>
    </xf>
    <xf numFmtId="0" fontId="32" fillId="0" borderId="77" xfId="0" applyFont="1" applyBorder="1" applyAlignment="1">
      <alignment horizontal="left" vertical="center"/>
    </xf>
    <xf numFmtId="0" fontId="8" fillId="31" borderId="79" xfId="0" applyFont="1" applyFill="1" applyBorder="1" applyAlignment="1">
      <alignment horizontal="center" vertical="center" wrapText="1"/>
    </xf>
    <xf numFmtId="176" fontId="39" fillId="33" borderId="79" xfId="0" applyNumberFormat="1" applyFont="1" applyFill="1" applyBorder="1" applyAlignment="1">
      <alignment horizontal="right" vertical="center"/>
    </xf>
    <xf numFmtId="174" fontId="35" fillId="11" borderId="74" xfId="2" applyNumberFormat="1" applyFont="1" applyFill="1" applyBorder="1" applyAlignment="1">
      <alignment horizontal="right" vertical="center"/>
    </xf>
    <xf numFmtId="174" fontId="35" fillId="11" borderId="75" xfId="2" applyNumberFormat="1" applyFont="1" applyFill="1" applyBorder="1" applyAlignment="1">
      <alignment horizontal="right" vertical="center"/>
    </xf>
    <xf numFmtId="0" fontId="41" fillId="0" borderId="80" xfId="0" applyFont="1" applyBorder="1" applyAlignment="1">
      <alignment horizontal="left"/>
    </xf>
    <xf numFmtId="0" fontId="41" fillId="0" borderId="80" xfId="0" applyFont="1" applyBorder="1" applyAlignment="1">
      <alignment horizontal="center"/>
    </xf>
    <xf numFmtId="175" fontId="41" fillId="0" borderId="80" xfId="1" quotePrefix="1" applyNumberFormat="1" applyFont="1" applyFill="1" applyBorder="1" applyAlignment="1">
      <alignment horizontal="right"/>
    </xf>
    <xf numFmtId="3" fontId="41" fillId="0" borderId="80" xfId="0" applyNumberFormat="1" applyFont="1" applyBorder="1" applyAlignment="1">
      <alignment horizontal="center"/>
    </xf>
    <xf numFmtId="0" fontId="41" fillId="0" borderId="81" xfId="0" applyFont="1" applyBorder="1" applyAlignment="1">
      <alignment horizontal="left"/>
    </xf>
    <xf numFmtId="0" fontId="41" fillId="0" borderId="81" xfId="0" applyFont="1" applyBorder="1" applyAlignment="1">
      <alignment horizontal="center"/>
    </xf>
    <xf numFmtId="175" fontId="41" fillId="0" borderId="81" xfId="1" quotePrefix="1" applyNumberFormat="1" applyFont="1" applyFill="1" applyBorder="1" applyAlignment="1">
      <alignment horizontal="right"/>
    </xf>
    <xf numFmtId="169" fontId="41" fillId="0" borderId="82" xfId="5" applyNumberFormat="1" applyFont="1" applyFill="1" applyBorder="1" applyAlignment="1">
      <alignment horizontal="center"/>
    </xf>
    <xf numFmtId="169" fontId="41" fillId="0" borderId="83" xfId="5" applyNumberFormat="1" applyFont="1" applyFill="1" applyBorder="1" applyAlignment="1">
      <alignment horizontal="center"/>
    </xf>
    <xf numFmtId="176" fontId="41" fillId="0" borderId="84" xfId="0" applyNumberFormat="1" applyFont="1" applyBorder="1" applyAlignment="1">
      <alignment horizontal="right"/>
    </xf>
    <xf numFmtId="176" fontId="41" fillId="0" borderId="85" xfId="0" applyNumberFormat="1" applyFont="1" applyBorder="1" applyAlignment="1">
      <alignment horizontal="right"/>
    </xf>
    <xf numFmtId="169" fontId="41" fillId="0" borderId="86" xfId="5" applyNumberFormat="1" applyFont="1" applyFill="1" applyBorder="1" applyAlignment="1">
      <alignment horizontal="center"/>
    </xf>
    <xf numFmtId="0" fontId="41" fillId="0" borderId="87" xfId="0" applyFont="1" applyBorder="1" applyAlignment="1">
      <alignment horizontal="left"/>
    </xf>
    <xf numFmtId="0" fontId="41" fillId="0" borderId="87" xfId="0" applyFont="1" applyBorder="1" applyAlignment="1">
      <alignment horizontal="center"/>
    </xf>
    <xf numFmtId="175" fontId="41" fillId="0" borderId="87" xfId="1" quotePrefix="1" applyNumberFormat="1" applyFont="1" applyFill="1" applyBorder="1" applyAlignment="1">
      <alignment horizontal="right"/>
    </xf>
    <xf numFmtId="176" fontId="41" fillId="0" borderId="88" xfId="0" applyNumberFormat="1" applyFont="1" applyBorder="1" applyAlignment="1">
      <alignment horizontal="right"/>
    </xf>
    <xf numFmtId="0" fontId="42" fillId="34" borderId="89" xfId="5" applyFont="1" applyFill="1" applyBorder="1" applyAlignment="1">
      <alignment horizontal="center" vertical="center"/>
    </xf>
    <xf numFmtId="0" fontId="42" fillId="34" borderId="90" xfId="5" applyFont="1" applyFill="1" applyBorder="1" applyAlignment="1">
      <alignment horizontal="center" vertical="center"/>
    </xf>
    <xf numFmtId="164" fontId="42" fillId="34" borderId="90" xfId="1" applyNumberFormat="1" applyFont="1" applyFill="1" applyBorder="1" applyAlignment="1">
      <alignment horizontal="center" vertical="center"/>
    </xf>
    <xf numFmtId="0" fontId="42" fillId="34" borderId="91" xfId="5" applyFont="1" applyFill="1" applyBorder="1" applyAlignment="1">
      <alignment horizontal="center" vertical="center"/>
    </xf>
    <xf numFmtId="174" fontId="41" fillId="0" borderId="87" xfId="0" applyNumberFormat="1" applyFont="1" applyBorder="1" applyAlignment="1">
      <alignment horizontal="right"/>
    </xf>
    <xf numFmtId="174" fontId="41" fillId="0" borderId="80" xfId="0" applyNumberFormat="1" applyFont="1" applyBorder="1" applyAlignment="1">
      <alignment horizontal="right"/>
    </xf>
    <xf numFmtId="174" fontId="41" fillId="0" borderId="81" xfId="0" applyNumberFormat="1" applyFont="1" applyBorder="1" applyAlignment="1">
      <alignment horizontal="right"/>
    </xf>
    <xf numFmtId="0" fontId="17" fillId="0" borderId="0" xfId="0" applyFont="1"/>
    <xf numFmtId="0" fontId="43" fillId="0" borderId="92" xfId="0" applyFont="1" applyBorder="1" applyAlignment="1">
      <alignment horizontal="center"/>
    </xf>
    <xf numFmtId="0" fontId="43" fillId="0" borderId="92" xfId="0" applyFont="1" applyBorder="1"/>
    <xf numFmtId="0" fontId="43" fillId="0" borderId="92" xfId="0" applyFont="1" applyBorder="1" applyAlignment="1">
      <alignment horizontal="center" vertical="center"/>
    </xf>
    <xf numFmtId="176" fontId="43" fillId="23" borderId="92" xfId="0" applyNumberFormat="1" applyFont="1" applyFill="1" applyBorder="1" applyAlignment="1">
      <alignment horizontal="right" vertical="center"/>
    </xf>
    <xf numFmtId="175" fontId="43" fillId="0" borderId="92" xfId="0" applyNumberFormat="1" applyFont="1" applyBorder="1" applyAlignment="1">
      <alignment horizontal="right"/>
    </xf>
    <xf numFmtId="176" fontId="43" fillId="23" borderId="92" xfId="0" applyNumberFormat="1" applyFont="1" applyFill="1" applyBorder="1" applyAlignment="1">
      <alignment horizontal="right"/>
    </xf>
    <xf numFmtId="0" fontId="43" fillId="0" borderId="93" xfId="0" applyFont="1" applyBorder="1" applyAlignment="1">
      <alignment horizontal="center"/>
    </xf>
    <xf numFmtId="0" fontId="43" fillId="0" borderId="93" xfId="0" applyFont="1" applyBorder="1"/>
    <xf numFmtId="175" fontId="43" fillId="0" borderId="93" xfId="0" applyNumberFormat="1" applyFont="1" applyBorder="1" applyAlignment="1">
      <alignment horizontal="right"/>
    </xf>
    <xf numFmtId="176" fontId="43" fillId="23" borderId="93" xfId="0" applyNumberFormat="1" applyFont="1" applyFill="1" applyBorder="1" applyAlignment="1">
      <alignment horizontal="right"/>
    </xf>
    <xf numFmtId="169" fontId="43" fillId="0" borderId="94" xfId="0" applyNumberFormat="1" applyFont="1" applyBorder="1" applyAlignment="1">
      <alignment horizontal="center"/>
    </xf>
    <xf numFmtId="169" fontId="43" fillId="0" borderId="95" xfId="0" applyNumberFormat="1" applyFont="1" applyBorder="1" applyAlignment="1">
      <alignment horizontal="center"/>
    </xf>
    <xf numFmtId="176" fontId="43" fillId="23" borderId="96" xfId="0" applyNumberFormat="1" applyFont="1" applyFill="1" applyBorder="1" applyAlignment="1">
      <alignment horizontal="right" vertical="center"/>
    </xf>
    <xf numFmtId="176" fontId="43" fillId="23" borderId="96" xfId="0" applyNumberFormat="1" applyFont="1" applyFill="1" applyBorder="1" applyAlignment="1">
      <alignment horizontal="right"/>
    </xf>
    <xf numFmtId="176" fontId="43" fillId="23" borderId="97" xfId="0" applyNumberFormat="1" applyFont="1" applyFill="1" applyBorder="1" applyAlignment="1">
      <alignment horizontal="right"/>
    </xf>
    <xf numFmtId="169" fontId="43" fillId="0" borderId="98" xfId="0" applyNumberFormat="1" applyFont="1" applyBorder="1" applyAlignment="1">
      <alignment horizontal="center"/>
    </xf>
    <xf numFmtId="0" fontId="43" fillId="0" borderId="99" xfId="0" applyFont="1" applyBorder="1" applyAlignment="1">
      <alignment horizontal="center"/>
    </xf>
    <xf numFmtId="0" fontId="43" fillId="0" borderId="99" xfId="0" applyFont="1" applyBorder="1"/>
    <xf numFmtId="0" fontId="43" fillId="0" borderId="99" xfId="0" applyFont="1" applyBorder="1" applyAlignment="1">
      <alignment horizontal="center" vertical="center"/>
    </xf>
    <xf numFmtId="176" fontId="43" fillId="23" borderId="99" xfId="0" applyNumberFormat="1" applyFont="1" applyFill="1" applyBorder="1" applyAlignment="1">
      <alignment horizontal="right" vertical="center"/>
    </xf>
    <xf numFmtId="176" fontId="43" fillId="23" borderId="100" xfId="0" applyNumberFormat="1" applyFont="1" applyFill="1" applyBorder="1" applyAlignment="1">
      <alignment horizontal="right" vertical="center"/>
    </xf>
    <xf numFmtId="0" fontId="44" fillId="36" borderId="101" xfId="0" applyFont="1" applyFill="1" applyBorder="1" applyAlignment="1">
      <alignment horizontal="center" vertical="center" wrapText="1"/>
    </xf>
    <xf numFmtId="0" fontId="44" fillId="36" borderId="102" xfId="0" applyFont="1" applyFill="1" applyBorder="1" applyAlignment="1">
      <alignment horizontal="center" vertical="center" wrapText="1"/>
    </xf>
    <xf numFmtId="0" fontId="45" fillId="37" borderId="102" xfId="0" applyFont="1" applyFill="1" applyBorder="1" applyAlignment="1">
      <alignment horizontal="center" vertical="center" wrapText="1"/>
    </xf>
    <xf numFmtId="0" fontId="45" fillId="37" borderId="103" xfId="0" applyFont="1" applyFill="1" applyBorder="1" applyAlignment="1">
      <alignment horizontal="center" vertical="center" wrapText="1"/>
    </xf>
    <xf numFmtId="174" fontId="43" fillId="0" borderId="92" xfId="0" applyNumberFormat="1" applyFont="1" applyBorder="1" applyAlignment="1">
      <alignment horizontal="right" vertical="center"/>
    </xf>
    <xf numFmtId="174" fontId="43" fillId="0" borderId="92" xfId="0" applyNumberFormat="1" applyFont="1" applyBorder="1" applyAlignment="1">
      <alignment horizontal="right"/>
    </xf>
    <xf numFmtId="174" fontId="43" fillId="0" borderId="93" xfId="0" applyNumberFormat="1" applyFont="1" applyBorder="1" applyAlignment="1">
      <alignment horizontal="right"/>
    </xf>
    <xf numFmtId="4" fontId="4" fillId="3" borderId="5" xfId="3" applyNumberFormat="1" applyBorder="1"/>
    <xf numFmtId="4" fontId="5" fillId="4" borderId="5" xfId="4" applyNumberFormat="1" applyBorder="1"/>
    <xf numFmtId="0" fontId="47" fillId="0" borderId="5" xfId="0" applyFont="1" applyBorder="1" applyAlignment="1">
      <alignment horizontal="center" vertical="center"/>
    </xf>
    <xf numFmtId="4" fontId="47" fillId="0" borderId="5" xfId="0" applyNumberFormat="1" applyFont="1" applyBorder="1" applyAlignment="1">
      <alignment horizontal="center" vertical="center"/>
    </xf>
    <xf numFmtId="0" fontId="47" fillId="24" borderId="5" xfId="0" applyFont="1" applyFill="1" applyBorder="1" applyAlignment="1">
      <alignment horizontal="center" vertical="center"/>
    </xf>
    <xf numFmtId="0" fontId="5" fillId="4" borderId="5" xfId="4" applyBorder="1" applyAlignment="1">
      <alignment horizontal="center" vertical="center"/>
    </xf>
    <xf numFmtId="4" fontId="4" fillId="3" borderId="5" xfId="3" applyNumberFormat="1" applyBorder="1" applyAlignment="1">
      <alignment horizontal="center" vertical="center"/>
    </xf>
    <xf numFmtId="0" fontId="6" fillId="5" borderId="1" xfId="5" applyAlignment="1">
      <alignment horizontal="center"/>
    </xf>
    <xf numFmtId="14" fontId="47" fillId="0" borderId="5" xfId="0" applyNumberFormat="1" applyFont="1" applyBorder="1" applyAlignment="1">
      <alignment horizontal="center" vertical="center"/>
    </xf>
    <xf numFmtId="4" fontId="3" fillId="2" borderId="5" xfId="2" applyNumberFormat="1" applyBorder="1" applyAlignment="1">
      <alignment horizontal="center" vertical="center"/>
    </xf>
    <xf numFmtId="4" fontId="3" fillId="2" borderId="9" xfId="2" applyNumberFormat="1" applyBorder="1"/>
    <xf numFmtId="14" fontId="47" fillId="0" borderId="44" xfId="0" applyNumberFormat="1" applyFont="1" applyBorder="1" applyAlignment="1">
      <alignment horizontal="center" vertical="center"/>
    </xf>
    <xf numFmtId="0" fontId="6" fillId="5" borderId="6" xfId="5" applyBorder="1" applyAlignment="1">
      <alignment horizontal="center"/>
    </xf>
    <xf numFmtId="0" fontId="47" fillId="0" borderId="44" xfId="0" applyFont="1" applyBorder="1" applyAlignment="1">
      <alignment horizontal="center" vertical="center"/>
    </xf>
    <xf numFmtId="4" fontId="47" fillId="0" borderId="44" xfId="0" applyNumberFormat="1" applyFont="1" applyBorder="1" applyAlignment="1">
      <alignment horizontal="center" vertical="center"/>
    </xf>
    <xf numFmtId="0" fontId="47" fillId="24" borderId="44" xfId="0" applyFont="1" applyFill="1" applyBorder="1" applyAlignment="1">
      <alignment horizontal="center" vertical="center"/>
    </xf>
    <xf numFmtId="4" fontId="3" fillId="2" borderId="44" xfId="2" applyNumberFormat="1" applyBorder="1" applyAlignment="1">
      <alignment horizontal="center" vertical="center"/>
    </xf>
    <xf numFmtId="4" fontId="4" fillId="3" borderId="44" xfId="3" applyNumberFormat="1" applyBorder="1" applyAlignment="1">
      <alignment horizontal="center" vertical="center"/>
    </xf>
    <xf numFmtId="0" fontId="5" fillId="4" borderId="44" xfId="4" applyBorder="1" applyAlignment="1">
      <alignment horizontal="center" vertical="center"/>
    </xf>
    <xf numFmtId="169" fontId="48" fillId="0" borderId="58" xfId="0" applyNumberFormat="1" applyFont="1" applyBorder="1" applyAlignment="1">
      <alignment horizontal="center"/>
    </xf>
    <xf numFmtId="0" fontId="48" fillId="0" borderId="55" xfId="5" applyFont="1" applyFill="1" applyBorder="1" applyAlignment="1">
      <alignment horizontal="center" vertical="center"/>
    </xf>
    <xf numFmtId="0" fontId="48" fillId="0" borderId="55" xfId="0" applyFont="1" applyBorder="1" applyAlignment="1">
      <alignment horizontal="center" vertical="center"/>
    </xf>
    <xf numFmtId="174" fontId="48" fillId="0" borderId="55" xfId="0" applyNumberFormat="1" applyFont="1" applyBorder="1" applyAlignment="1">
      <alignment horizontal="right" vertical="center"/>
    </xf>
    <xf numFmtId="177" fontId="48" fillId="0" borderId="55" xfId="0" applyNumberFormat="1" applyFont="1" applyBorder="1" applyAlignment="1">
      <alignment horizontal="right" vertical="center"/>
    </xf>
    <xf numFmtId="175" fontId="48" fillId="0" borderId="55" xfId="0" applyNumberFormat="1" applyFont="1" applyBorder="1" applyAlignment="1">
      <alignment horizontal="right" vertical="center"/>
    </xf>
    <xf numFmtId="175" fontId="52" fillId="46" borderId="55" xfId="4" applyNumberFormat="1" applyFont="1" applyFill="1" applyBorder="1" applyAlignment="1">
      <alignment horizontal="right" vertical="center"/>
    </xf>
    <xf numFmtId="176" fontId="27" fillId="38" borderId="55" xfId="0" applyNumberFormat="1" applyFont="1" applyFill="1" applyBorder="1" applyAlignment="1">
      <alignment horizontal="right"/>
    </xf>
    <xf numFmtId="174" fontId="53" fillId="27" borderId="52" xfId="0" applyNumberFormat="1" applyFont="1" applyFill="1" applyBorder="1" applyAlignment="1">
      <alignment horizontal="right" vertical="center"/>
    </xf>
    <xf numFmtId="177" fontId="49" fillId="0" borderId="55" xfId="0" applyNumberFormat="1" applyFont="1" applyBorder="1" applyAlignment="1">
      <alignment horizontal="right" vertical="center"/>
    </xf>
    <xf numFmtId="0" fontId="48" fillId="0" borderId="55" xfId="5" applyFont="1" applyFill="1" applyBorder="1" applyAlignment="1">
      <alignment horizontal="center"/>
    </xf>
    <xf numFmtId="169" fontId="48" fillId="0" borderId="58" xfId="0" applyNumberFormat="1" applyFont="1" applyBorder="1" applyAlignment="1">
      <alignment horizontal="center" vertical="center"/>
    </xf>
    <xf numFmtId="169" fontId="48" fillId="0" borderId="56" xfId="0" applyNumberFormat="1" applyFont="1" applyBorder="1" applyAlignment="1">
      <alignment horizontal="center" vertical="center"/>
    </xf>
    <xf numFmtId="0" fontId="48" fillId="0" borderId="104" xfId="5" applyFont="1" applyFill="1" applyBorder="1" applyAlignment="1">
      <alignment horizontal="center"/>
    </xf>
    <xf numFmtId="0" fontId="48" fillId="0" borderId="104" xfId="0" applyFont="1" applyBorder="1" applyAlignment="1">
      <alignment horizontal="center" vertical="center"/>
    </xf>
    <xf numFmtId="174" fontId="48" fillId="0" borderId="104" xfId="0" applyNumberFormat="1" applyFont="1" applyBorder="1" applyAlignment="1">
      <alignment horizontal="right" vertical="center"/>
    </xf>
    <xf numFmtId="177" fontId="48" fillId="0" borderId="104" xfId="0" applyNumberFormat="1" applyFont="1" applyBorder="1" applyAlignment="1">
      <alignment horizontal="right" vertical="center"/>
    </xf>
    <xf numFmtId="175" fontId="48" fillId="0" borderId="104" xfId="0" applyNumberFormat="1" applyFont="1" applyBorder="1" applyAlignment="1">
      <alignment horizontal="right" vertical="center"/>
    </xf>
    <xf numFmtId="175" fontId="52" fillId="46" borderId="104" xfId="4" applyNumberFormat="1" applyFont="1" applyFill="1" applyBorder="1" applyAlignment="1">
      <alignment horizontal="right" vertical="center"/>
    </xf>
    <xf numFmtId="176" fontId="27" fillId="38" borderId="104" xfId="0" applyNumberFormat="1" applyFont="1" applyFill="1" applyBorder="1" applyAlignment="1">
      <alignment horizontal="right"/>
    </xf>
    <xf numFmtId="174" fontId="53" fillId="27" borderId="53" xfId="0" applyNumberFormat="1" applyFont="1" applyFill="1" applyBorder="1" applyAlignment="1">
      <alignment horizontal="right" vertical="center"/>
    </xf>
    <xf numFmtId="169" fontId="48" fillId="0" borderId="57" xfId="0" applyNumberFormat="1" applyFont="1" applyBorder="1" applyAlignment="1">
      <alignment horizontal="center"/>
    </xf>
    <xf numFmtId="0" fontId="48" fillId="0" borderId="59" xfId="5" applyFont="1" applyFill="1" applyBorder="1" applyAlignment="1">
      <alignment horizontal="center" vertical="center"/>
    </xf>
    <xf numFmtId="0" fontId="48" fillId="0" borderId="59" xfId="0" applyFont="1" applyBorder="1" applyAlignment="1">
      <alignment horizontal="center" vertical="center"/>
    </xf>
    <xf numFmtId="174" fontId="48" fillId="0" borderId="59" xfId="0" applyNumberFormat="1" applyFont="1" applyBorder="1" applyAlignment="1">
      <alignment horizontal="right" vertical="center"/>
    </xf>
    <xf numFmtId="177" fontId="48" fillId="0" borderId="59" xfId="0" applyNumberFormat="1" applyFont="1" applyBorder="1" applyAlignment="1">
      <alignment horizontal="right" vertical="center"/>
    </xf>
    <xf numFmtId="175" fontId="48" fillId="0" borderId="59" xfId="0" applyNumberFormat="1" applyFont="1" applyBorder="1" applyAlignment="1">
      <alignment horizontal="right" vertical="center"/>
    </xf>
    <xf numFmtId="175" fontId="52" fillId="46" borderId="59" xfId="4" applyNumberFormat="1" applyFont="1" applyFill="1" applyBorder="1" applyAlignment="1">
      <alignment horizontal="right" vertical="center"/>
    </xf>
    <xf numFmtId="176" fontId="27" fillId="38" borderId="59" xfId="0" applyNumberFormat="1" applyFont="1" applyFill="1" applyBorder="1" applyAlignment="1">
      <alignment horizontal="right"/>
    </xf>
    <xf numFmtId="174" fontId="53" fillId="27" borderId="54" xfId="0" applyNumberFormat="1" applyFont="1" applyFill="1" applyBorder="1" applyAlignment="1">
      <alignment horizontal="right" vertical="center"/>
    </xf>
    <xf numFmtId="0" fontId="14" fillId="39" borderId="105" xfId="6" applyFont="1" applyFill="1" applyBorder="1" applyAlignment="1">
      <alignment horizontal="center" vertical="center" wrapText="1"/>
    </xf>
    <xf numFmtId="0" fontId="14" fillId="39" borderId="106" xfId="6" applyFont="1" applyFill="1" applyBorder="1" applyAlignment="1">
      <alignment horizontal="center" vertical="center" wrapText="1"/>
    </xf>
    <xf numFmtId="0" fontId="14" fillId="40" borderId="106" xfId="2" applyFont="1" applyFill="1" applyBorder="1" applyAlignment="1">
      <alignment horizontal="center" vertical="center" wrapText="1"/>
    </xf>
    <xf numFmtId="0" fontId="14" fillId="41" borderId="106" xfId="3" applyFont="1" applyFill="1" applyBorder="1" applyAlignment="1">
      <alignment horizontal="center" vertical="center" wrapText="1"/>
    </xf>
    <xf numFmtId="0" fontId="14" fillId="42" borderId="106" xfId="4" applyFont="1" applyFill="1" applyBorder="1" applyAlignment="1">
      <alignment horizontal="center" vertical="center" wrapText="1"/>
    </xf>
    <xf numFmtId="0" fontId="50" fillId="43" borderId="106" xfId="0" applyFont="1" applyFill="1" applyBorder="1" applyAlignment="1">
      <alignment horizontal="center" vertical="center" wrapText="1"/>
    </xf>
    <xf numFmtId="0" fontId="14" fillId="35" borderId="107" xfId="6" applyFont="1" applyFill="1" applyBorder="1" applyAlignment="1">
      <alignment horizontal="center" vertical="center" wrapText="1"/>
    </xf>
    <xf numFmtId="174" fontId="48" fillId="0" borderId="59" xfId="0" applyNumberFormat="1" applyFont="1" applyBorder="1" applyAlignment="1">
      <alignment horizontal="center" vertical="center"/>
    </xf>
    <xf numFmtId="174" fontId="48" fillId="0" borderId="55" xfId="0" applyNumberFormat="1" applyFont="1" applyBorder="1" applyAlignment="1">
      <alignment horizontal="center" vertical="center"/>
    </xf>
    <xf numFmtId="174" fontId="48" fillId="0" borderId="104" xfId="0" applyNumberFormat="1" applyFont="1" applyBorder="1" applyAlignment="1">
      <alignment horizontal="center" vertical="center"/>
    </xf>
    <xf numFmtId="174" fontId="51" fillId="44" borderId="59" xfId="2" applyNumberFormat="1" applyFont="1" applyFill="1" applyBorder="1" applyAlignment="1">
      <alignment horizontal="center" vertical="center"/>
    </xf>
    <xf numFmtId="174" fontId="51" fillId="44" borderId="55" xfId="2" applyNumberFormat="1" applyFont="1" applyFill="1" applyBorder="1" applyAlignment="1">
      <alignment horizontal="center" vertical="center"/>
    </xf>
    <xf numFmtId="174" fontId="51" fillId="44" borderId="104" xfId="2" applyNumberFormat="1" applyFont="1" applyFill="1" applyBorder="1" applyAlignment="1">
      <alignment horizontal="center" vertical="center"/>
    </xf>
    <xf numFmtId="174" fontId="46" fillId="45" borderId="59" xfId="3" applyNumberFormat="1" applyFont="1" applyFill="1" applyBorder="1" applyAlignment="1">
      <alignment horizontal="center" vertical="center"/>
    </xf>
    <xf numFmtId="174" fontId="46" fillId="45" borderId="55" xfId="3" applyNumberFormat="1" applyFont="1" applyFill="1" applyBorder="1" applyAlignment="1">
      <alignment horizontal="center" vertical="center"/>
    </xf>
    <xf numFmtId="174" fontId="46" fillId="45" borderId="104" xfId="3" applyNumberFormat="1" applyFont="1" applyFill="1" applyBorder="1" applyAlignment="1">
      <alignment horizontal="center" vertical="center"/>
    </xf>
    <xf numFmtId="169" fontId="54" fillId="0" borderId="113" xfId="0" applyNumberFormat="1" applyFont="1" applyBorder="1" applyAlignment="1">
      <alignment horizontal="center"/>
    </xf>
    <xf numFmtId="0" fontId="54" fillId="0" borderId="109" xfId="5" applyFont="1" applyFill="1" applyBorder="1" applyAlignment="1">
      <alignment horizontal="center" vertical="center"/>
    </xf>
    <xf numFmtId="0" fontId="54" fillId="0" borderId="109" xfId="0" applyFont="1" applyBorder="1" applyAlignment="1">
      <alignment horizontal="center" vertical="center"/>
    </xf>
    <xf numFmtId="174" fontId="54" fillId="0" borderId="109" xfId="0" applyNumberFormat="1" applyFont="1" applyBorder="1" applyAlignment="1">
      <alignment horizontal="right" vertical="center"/>
    </xf>
    <xf numFmtId="177" fontId="54" fillId="0" borderId="109" xfId="0" applyNumberFormat="1" applyFont="1" applyBorder="1" applyAlignment="1">
      <alignment horizontal="right" vertical="center"/>
    </xf>
    <xf numFmtId="175" fontId="54" fillId="0" borderId="109" xfId="0" applyNumberFormat="1" applyFont="1" applyBorder="1" applyAlignment="1">
      <alignment horizontal="right" vertical="center"/>
    </xf>
    <xf numFmtId="175" fontId="59" fillId="51" borderId="109" xfId="4" applyNumberFormat="1" applyFont="1" applyFill="1" applyBorder="1" applyAlignment="1">
      <alignment horizontal="right" vertical="center"/>
    </xf>
    <xf numFmtId="176" fontId="27" fillId="33" borderId="109" xfId="0" applyNumberFormat="1" applyFont="1" applyFill="1" applyBorder="1" applyAlignment="1">
      <alignment horizontal="right"/>
    </xf>
    <xf numFmtId="174" fontId="60" fillId="32" borderId="114" xfId="0" applyNumberFormat="1" applyFont="1" applyFill="1" applyBorder="1" applyAlignment="1">
      <alignment horizontal="right" vertical="center"/>
    </xf>
    <xf numFmtId="177" fontId="55" fillId="0" borderId="109" xfId="0" applyNumberFormat="1" applyFont="1" applyBorder="1" applyAlignment="1">
      <alignment horizontal="right" vertical="center"/>
    </xf>
    <xf numFmtId="0" fontId="54" fillId="0" borderId="109" xfId="5" applyFont="1" applyFill="1" applyBorder="1" applyAlignment="1">
      <alignment horizontal="center"/>
    </xf>
    <xf numFmtId="169" fontId="54" fillId="0" borderId="113" xfId="0" applyNumberFormat="1" applyFont="1" applyBorder="1" applyAlignment="1">
      <alignment horizontal="center" vertical="center"/>
    </xf>
    <xf numFmtId="169" fontId="54" fillId="0" borderId="115" xfId="0" applyNumberFormat="1" applyFont="1" applyBorder="1" applyAlignment="1">
      <alignment horizontal="center" vertical="center"/>
    </xf>
    <xf numFmtId="0" fontId="54" fillId="0" borderId="116" xfId="5" applyFont="1" applyFill="1" applyBorder="1" applyAlignment="1">
      <alignment horizontal="center"/>
    </xf>
    <xf numFmtId="0" fontId="54" fillId="0" borderId="116" xfId="0" applyFont="1" applyBorder="1" applyAlignment="1">
      <alignment horizontal="center" vertical="center"/>
    </xf>
    <xf numFmtId="174" fontId="54" fillId="0" borderId="116" xfId="0" applyNumberFormat="1" applyFont="1" applyBorder="1" applyAlignment="1">
      <alignment horizontal="right" vertical="center"/>
    </xf>
    <xf numFmtId="177" fontId="54" fillId="0" borderId="116" xfId="0" applyNumberFormat="1" applyFont="1" applyBorder="1" applyAlignment="1">
      <alignment horizontal="right" vertical="center"/>
    </xf>
    <xf numFmtId="175" fontId="54" fillId="0" borderId="116" xfId="0" applyNumberFormat="1" applyFont="1" applyBorder="1" applyAlignment="1">
      <alignment horizontal="right" vertical="center"/>
    </xf>
    <xf numFmtId="175" fontId="59" fillId="51" borderId="116" xfId="4" applyNumberFormat="1" applyFont="1" applyFill="1" applyBorder="1" applyAlignment="1">
      <alignment horizontal="right" vertical="center"/>
    </xf>
    <xf numFmtId="176" fontId="27" fillId="33" borderId="116" xfId="0" applyNumberFormat="1" applyFont="1" applyFill="1" applyBorder="1" applyAlignment="1">
      <alignment horizontal="right"/>
    </xf>
    <xf numFmtId="174" fontId="60" fillId="32" borderId="108" xfId="0" applyNumberFormat="1" applyFont="1" applyFill="1" applyBorder="1" applyAlignment="1">
      <alignment horizontal="right" vertical="center"/>
    </xf>
    <xf numFmtId="169" fontId="54" fillId="0" borderId="110" xfId="0" applyNumberFormat="1" applyFont="1" applyBorder="1" applyAlignment="1">
      <alignment horizontal="center"/>
    </xf>
    <xf numFmtId="0" fontId="54" fillId="0" borderId="111" xfId="5" applyFont="1" applyFill="1" applyBorder="1" applyAlignment="1">
      <alignment horizontal="center" vertical="center"/>
    </xf>
    <xf numFmtId="0" fontId="54" fillId="0" borderId="111" xfId="0" applyFont="1" applyBorder="1" applyAlignment="1">
      <alignment horizontal="center" vertical="center"/>
    </xf>
    <xf numFmtId="174" fontId="54" fillId="0" borderId="111" xfId="0" applyNumberFormat="1" applyFont="1" applyBorder="1" applyAlignment="1">
      <alignment horizontal="right" vertical="center"/>
    </xf>
    <xf numFmtId="177" fontId="54" fillId="0" borderId="111" xfId="0" applyNumberFormat="1" applyFont="1" applyBorder="1" applyAlignment="1">
      <alignment horizontal="right" vertical="center"/>
    </xf>
    <xf numFmtId="175" fontId="54" fillId="0" borderId="111" xfId="0" applyNumberFormat="1" applyFont="1" applyBorder="1" applyAlignment="1">
      <alignment horizontal="right" vertical="center"/>
    </xf>
    <xf numFmtId="175" fontId="59" fillId="51" borderId="111" xfId="4" applyNumberFormat="1" applyFont="1" applyFill="1" applyBorder="1" applyAlignment="1">
      <alignment horizontal="right" vertical="center"/>
    </xf>
    <xf numFmtId="176" fontId="27" fillId="33" borderId="111" xfId="0" applyNumberFormat="1" applyFont="1" applyFill="1" applyBorder="1" applyAlignment="1">
      <alignment horizontal="right"/>
    </xf>
    <xf numFmtId="174" fontId="60" fillId="32" borderId="112" xfId="0" applyNumberFormat="1" applyFont="1" applyFill="1" applyBorder="1" applyAlignment="1">
      <alignment horizontal="right" vertical="center"/>
    </xf>
    <xf numFmtId="0" fontId="56" fillId="48" borderId="117" xfId="6" applyFont="1" applyFill="1" applyBorder="1" applyAlignment="1">
      <alignment horizontal="center" vertical="center" wrapText="1"/>
    </xf>
    <xf numFmtId="0" fontId="56" fillId="48" borderId="118" xfId="6" applyFont="1" applyFill="1" applyBorder="1" applyAlignment="1">
      <alignment horizontal="center" vertical="center" wrapText="1"/>
    </xf>
    <xf numFmtId="0" fontId="56" fillId="28" borderId="118" xfId="2" applyFont="1" applyFill="1" applyBorder="1" applyAlignment="1">
      <alignment horizontal="center" vertical="center" wrapText="1"/>
    </xf>
    <xf numFmtId="0" fontId="56" fillId="35" borderId="118" xfId="3" applyFont="1" applyFill="1" applyBorder="1" applyAlignment="1">
      <alignment horizontal="center" vertical="center" wrapText="1"/>
    </xf>
    <xf numFmtId="0" fontId="56" fillId="49" borderId="118" xfId="4" applyFont="1" applyFill="1" applyBorder="1" applyAlignment="1">
      <alignment horizontal="center" vertical="center" wrapText="1"/>
    </xf>
    <xf numFmtId="0" fontId="57" fillId="31" borderId="118" xfId="0" applyFont="1" applyFill="1" applyBorder="1" applyAlignment="1">
      <alignment horizontal="center" vertical="center" wrapText="1"/>
    </xf>
    <xf numFmtId="0" fontId="56" fillId="50" borderId="119" xfId="6" applyFont="1" applyFill="1" applyBorder="1" applyAlignment="1">
      <alignment horizontal="center" vertical="center" wrapText="1"/>
    </xf>
    <xf numFmtId="174" fontId="54" fillId="0" borderId="111" xfId="0" applyNumberFormat="1" applyFont="1" applyBorder="1" applyAlignment="1">
      <alignment horizontal="center" vertical="center"/>
    </xf>
    <xf numFmtId="174" fontId="54" fillId="0" borderId="109" xfId="0" applyNumberFormat="1" applyFont="1" applyBorder="1" applyAlignment="1">
      <alignment horizontal="center" vertical="center"/>
    </xf>
    <xf numFmtId="174" fontId="54" fillId="0" borderId="116" xfId="0" applyNumberFormat="1" applyFont="1" applyBorder="1" applyAlignment="1">
      <alignment horizontal="center" vertical="center"/>
    </xf>
    <xf numFmtId="174" fontId="58" fillId="27" borderId="111" xfId="3" applyNumberFormat="1" applyFont="1" applyFill="1" applyBorder="1" applyAlignment="1">
      <alignment horizontal="center" vertical="center"/>
    </xf>
    <xf numFmtId="174" fontId="58" fillId="27" borderId="109" xfId="3" applyNumberFormat="1" applyFont="1" applyFill="1" applyBorder="1" applyAlignment="1">
      <alignment horizontal="center" vertical="center"/>
    </xf>
    <xf numFmtId="174" fontId="58" fillId="27" borderId="116" xfId="3" applyNumberFormat="1" applyFont="1" applyFill="1" applyBorder="1" applyAlignment="1">
      <alignment horizontal="center" vertical="center"/>
    </xf>
    <xf numFmtId="174" fontId="11" fillId="11" borderId="111" xfId="2" applyNumberFormat="1" applyFont="1" applyFill="1" applyBorder="1" applyAlignment="1">
      <alignment horizontal="center" vertical="center"/>
    </xf>
    <xf numFmtId="174" fontId="11" fillId="11" borderId="109" xfId="2" applyNumberFormat="1" applyFont="1" applyFill="1" applyBorder="1" applyAlignment="1">
      <alignment horizontal="center" vertical="center"/>
    </xf>
    <xf numFmtId="174" fontId="11" fillId="11" borderId="116" xfId="2" applyNumberFormat="1" applyFont="1" applyFill="1" applyBorder="1" applyAlignment="1">
      <alignment horizontal="center" vertical="center"/>
    </xf>
    <xf numFmtId="0" fontId="63" fillId="0" borderId="41" xfId="0" applyFont="1" applyBorder="1" applyAlignment="1">
      <alignment horizontal="left"/>
    </xf>
    <xf numFmtId="0" fontId="61" fillId="0" borderId="41" xfId="0" applyFont="1" applyBorder="1" applyAlignment="1">
      <alignment horizontal="center"/>
    </xf>
    <xf numFmtId="175" fontId="64" fillId="38" borderId="41" xfId="0" applyNumberFormat="1" applyFont="1" applyFill="1" applyBorder="1" applyAlignment="1">
      <alignment horizontal="right"/>
    </xf>
    <xf numFmtId="176" fontId="61" fillId="53" borderId="41" xfId="1" applyNumberFormat="1" applyFont="1" applyFill="1" applyBorder="1" applyAlignment="1">
      <alignment horizontal="right"/>
    </xf>
    <xf numFmtId="175" fontId="64" fillId="38" borderId="41" xfId="1" applyNumberFormat="1" applyFont="1" applyFill="1" applyBorder="1" applyAlignment="1">
      <alignment horizontal="right"/>
    </xf>
    <xf numFmtId="176" fontId="61" fillId="53" borderId="41" xfId="0" applyNumberFormat="1" applyFont="1" applyFill="1" applyBorder="1" applyAlignment="1">
      <alignment horizontal="right"/>
    </xf>
    <xf numFmtId="0" fontId="63" fillId="0" borderId="43" xfId="0" applyFont="1" applyBorder="1" applyAlignment="1">
      <alignment horizontal="left"/>
    </xf>
    <xf numFmtId="0" fontId="61" fillId="0" borderId="43" xfId="0" applyFont="1" applyBorder="1" applyAlignment="1">
      <alignment horizontal="center"/>
    </xf>
    <xf numFmtId="175" fontId="64" fillId="38" borderId="43" xfId="0" applyNumberFormat="1" applyFont="1" applyFill="1" applyBorder="1" applyAlignment="1">
      <alignment horizontal="right"/>
    </xf>
    <xf numFmtId="176" fontId="61" fillId="53" borderId="43" xfId="1" applyNumberFormat="1" applyFont="1" applyFill="1" applyBorder="1" applyAlignment="1">
      <alignment horizontal="right"/>
    </xf>
    <xf numFmtId="0" fontId="67" fillId="0" borderId="55" xfId="0" applyFont="1" applyBorder="1" applyAlignment="1">
      <alignment horizontal="left"/>
    </xf>
    <xf numFmtId="0" fontId="49" fillId="0" borderId="55" xfId="0" applyFont="1" applyBorder="1" applyAlignment="1">
      <alignment horizontal="center"/>
    </xf>
    <xf numFmtId="173" fontId="49" fillId="0" borderId="55" xfId="0" applyNumberFormat="1" applyFont="1" applyBorder="1" applyAlignment="1">
      <alignment horizontal="right"/>
    </xf>
    <xf numFmtId="175" fontId="69" fillId="55" borderId="55" xfId="0" applyNumberFormat="1" applyFont="1" applyFill="1" applyBorder="1" applyAlignment="1">
      <alignment horizontal="right"/>
    </xf>
    <xf numFmtId="175" fontId="27" fillId="33" borderId="55" xfId="1" applyNumberFormat="1" applyFont="1" applyFill="1" applyBorder="1" applyAlignment="1">
      <alignment horizontal="right"/>
    </xf>
    <xf numFmtId="0" fontId="67" fillId="0" borderId="120" xfId="0" applyFont="1" applyBorder="1" applyAlignment="1">
      <alignment horizontal="left"/>
    </xf>
    <xf numFmtId="0" fontId="49" fillId="0" borderId="120" xfId="0" applyFont="1" applyBorder="1" applyAlignment="1">
      <alignment horizontal="center"/>
    </xf>
    <xf numFmtId="173" fontId="49" fillId="0" borderId="120" xfId="0" applyNumberFormat="1" applyFont="1" applyBorder="1" applyAlignment="1">
      <alignment horizontal="right"/>
    </xf>
    <xf numFmtId="175" fontId="69" fillId="55" borderId="120" xfId="0" applyNumberFormat="1" applyFont="1" applyFill="1" applyBorder="1" applyAlignment="1">
      <alignment horizontal="right"/>
    </xf>
    <xf numFmtId="175" fontId="27" fillId="33" borderId="120" xfId="1" applyNumberFormat="1" applyFont="1" applyFill="1" applyBorder="1" applyAlignment="1">
      <alignment horizontal="right"/>
    </xf>
    <xf numFmtId="169" fontId="49" fillId="0" borderId="121" xfId="0" applyNumberFormat="1" applyFont="1" applyBorder="1" applyAlignment="1">
      <alignment horizontal="center"/>
    </xf>
    <xf numFmtId="169" fontId="49" fillId="0" borderId="122" xfId="0" applyNumberFormat="1" applyFont="1" applyBorder="1" applyAlignment="1">
      <alignment horizontal="center"/>
    </xf>
    <xf numFmtId="176" fontId="68" fillId="47" borderId="123" xfId="0" applyNumberFormat="1" applyFont="1" applyFill="1" applyBorder="1" applyAlignment="1">
      <alignment horizontal="right"/>
    </xf>
    <xf numFmtId="176" fontId="68" fillId="47" borderId="124" xfId="0" applyNumberFormat="1" applyFont="1" applyFill="1" applyBorder="1" applyAlignment="1">
      <alignment horizontal="right"/>
    </xf>
    <xf numFmtId="169" fontId="49" fillId="0" borderId="125" xfId="0" applyNumberFormat="1" applyFont="1" applyBorder="1" applyAlignment="1">
      <alignment horizontal="center"/>
    </xf>
    <xf numFmtId="0" fontId="67" fillId="0" borderId="59" xfId="0" applyFont="1" applyBorder="1" applyAlignment="1">
      <alignment horizontal="left"/>
    </xf>
    <xf numFmtId="0" fontId="49" fillId="0" borderId="59" xfId="0" applyFont="1" applyBorder="1" applyAlignment="1">
      <alignment horizontal="center"/>
    </xf>
    <xf numFmtId="175" fontId="69" fillId="55" borderId="59" xfId="0" applyNumberFormat="1" applyFont="1" applyFill="1" applyBorder="1" applyAlignment="1">
      <alignment horizontal="right"/>
    </xf>
    <xf numFmtId="175" fontId="27" fillId="33" borderId="59" xfId="1" applyNumberFormat="1" applyFont="1" applyFill="1" applyBorder="1" applyAlignment="1">
      <alignment horizontal="right"/>
    </xf>
    <xf numFmtId="176" fontId="68" fillId="47" borderId="126" xfId="0" applyNumberFormat="1" applyFont="1" applyFill="1" applyBorder="1" applyAlignment="1">
      <alignment horizontal="right"/>
    </xf>
    <xf numFmtId="0" fontId="66" fillId="54" borderId="127" xfId="0" applyFont="1" applyFill="1" applyBorder="1" applyAlignment="1">
      <alignment horizontal="center" vertical="center" wrapText="1"/>
    </xf>
    <xf numFmtId="0" fontId="66" fillId="54" borderId="128" xfId="0" applyFont="1" applyFill="1" applyBorder="1" applyAlignment="1">
      <alignment horizontal="center" vertical="center" wrapText="1"/>
    </xf>
    <xf numFmtId="0" fontId="66" fillId="54" borderId="129" xfId="0" applyFont="1" applyFill="1" applyBorder="1" applyAlignment="1">
      <alignment horizontal="center" vertical="center" wrapText="1"/>
    </xf>
    <xf numFmtId="0" fontId="62" fillId="52" borderId="130" xfId="0" applyFont="1" applyFill="1" applyBorder="1" applyAlignment="1">
      <alignment horizontal="center" vertical="center" wrapText="1"/>
    </xf>
    <xf numFmtId="0" fontId="62" fillId="52" borderId="131" xfId="0" applyFont="1" applyFill="1" applyBorder="1" applyAlignment="1">
      <alignment horizontal="center" vertical="center" wrapText="1"/>
    </xf>
    <xf numFmtId="0" fontId="62" fillId="52" borderId="132" xfId="0" applyFont="1" applyFill="1" applyBorder="1" applyAlignment="1">
      <alignment horizontal="center" vertical="center" wrapText="1"/>
    </xf>
    <xf numFmtId="169" fontId="61" fillId="0" borderId="133" xfId="0" applyNumberFormat="1" applyFont="1" applyBorder="1" applyAlignment="1">
      <alignment horizontal="center"/>
    </xf>
    <xf numFmtId="169" fontId="61" fillId="0" borderId="134" xfId="0" applyNumberFormat="1" applyFont="1" applyBorder="1" applyAlignment="1">
      <alignment horizontal="center"/>
    </xf>
    <xf numFmtId="176" fontId="65" fillId="53" borderId="135" xfId="0" applyNumberFormat="1" applyFont="1" applyFill="1" applyBorder="1" applyAlignment="1">
      <alignment horizontal="right"/>
    </xf>
    <xf numFmtId="176" fontId="65" fillId="53" borderId="136" xfId="0" applyNumberFormat="1" applyFont="1" applyFill="1" applyBorder="1" applyAlignment="1">
      <alignment horizontal="right"/>
    </xf>
    <xf numFmtId="169" fontId="61" fillId="0" borderId="137" xfId="0" applyNumberFormat="1" applyFont="1" applyBorder="1" applyAlignment="1">
      <alignment horizontal="center"/>
    </xf>
    <xf numFmtId="0" fontId="63" fillId="0" borderId="138" xfId="0" applyFont="1" applyBorder="1" applyAlignment="1">
      <alignment horizontal="left"/>
    </xf>
    <xf numFmtId="0" fontId="61" fillId="0" borderId="138" xfId="0" applyFont="1" applyBorder="1" applyAlignment="1">
      <alignment horizontal="center"/>
    </xf>
    <xf numFmtId="175" fontId="64" fillId="38" borderId="138" xfId="0" applyNumberFormat="1" applyFont="1" applyFill="1" applyBorder="1" applyAlignment="1">
      <alignment horizontal="right"/>
    </xf>
    <xf numFmtId="176" fontId="61" fillId="53" borderId="138" xfId="1" applyNumberFormat="1" applyFont="1" applyFill="1" applyBorder="1" applyAlignment="1">
      <alignment horizontal="right"/>
    </xf>
    <xf numFmtId="176" fontId="65" fillId="53" borderId="139" xfId="0" applyNumberFormat="1" applyFont="1" applyFill="1" applyBorder="1" applyAlignment="1">
      <alignment horizontal="right"/>
    </xf>
    <xf numFmtId="169" fontId="70" fillId="0" borderId="140" xfId="0" applyNumberFormat="1" applyFont="1" applyBorder="1" applyAlignment="1">
      <alignment horizontal="center" vertical="center"/>
    </xf>
    <xf numFmtId="0" fontId="70" fillId="0" borderId="140" xfId="0" applyFont="1" applyBorder="1" applyAlignment="1">
      <alignment horizontal="center" vertical="center"/>
    </xf>
    <xf numFmtId="3" fontId="70" fillId="0" borderId="140" xfId="0" applyNumberFormat="1" applyFont="1" applyBorder="1" applyAlignment="1">
      <alignment horizontal="center" vertical="center"/>
    </xf>
    <xf numFmtId="178" fontId="70" fillId="0" borderId="140" xfId="0" applyNumberFormat="1" applyFont="1" applyBorder="1" applyAlignment="1">
      <alignment horizontal="center" vertical="center"/>
    </xf>
    <xf numFmtId="169" fontId="70" fillId="0" borderId="141" xfId="0" applyNumberFormat="1" applyFont="1" applyBorder="1" applyAlignment="1">
      <alignment horizontal="center" vertical="center"/>
    </xf>
    <xf numFmtId="0" fontId="70" fillId="0" borderId="141" xfId="0" applyFont="1" applyBorder="1" applyAlignment="1">
      <alignment horizontal="center" vertical="center"/>
    </xf>
    <xf numFmtId="3" fontId="70" fillId="0" borderId="141" xfId="0" applyNumberFormat="1" applyFont="1" applyBorder="1" applyAlignment="1">
      <alignment horizontal="center" vertical="center"/>
    </xf>
    <xf numFmtId="178" fontId="70" fillId="0" borderId="141" xfId="0" applyNumberFormat="1" applyFont="1" applyBorder="1" applyAlignment="1">
      <alignment horizontal="center" vertical="center"/>
    </xf>
    <xf numFmtId="0" fontId="13" fillId="0" borderId="41" xfId="0" applyFont="1" applyBorder="1" applyAlignment="1">
      <alignment horizontal="right" vertical="center"/>
    </xf>
    <xf numFmtId="0" fontId="15" fillId="21" borderId="43" xfId="0" applyFont="1" applyFill="1" applyBorder="1" applyAlignment="1">
      <alignment horizontal="right" vertical="center"/>
    </xf>
    <xf numFmtId="0" fontId="15" fillId="0" borderId="41" xfId="0" applyFont="1" applyBorder="1" applyAlignment="1">
      <alignment horizontal="right" vertical="center"/>
    </xf>
    <xf numFmtId="0" fontId="15" fillId="21" borderId="41" xfId="0" applyFont="1" applyFill="1" applyBorder="1" applyAlignment="1">
      <alignment horizontal="right" vertical="center"/>
    </xf>
    <xf numFmtId="0" fontId="13" fillId="0" borderId="42" xfId="0" applyFont="1" applyBorder="1" applyAlignment="1">
      <alignment horizontal="right" vertical="center"/>
    </xf>
    <xf numFmtId="0" fontId="28" fillId="0" borderId="5" xfId="0" applyFont="1" applyBorder="1" applyAlignment="1">
      <alignment horizontal="right" vertical="center"/>
    </xf>
    <xf numFmtId="0" fontId="22" fillId="0" borderId="5" xfId="0" applyFont="1" applyBorder="1" applyAlignment="1">
      <alignment horizontal="right" vertical="center"/>
    </xf>
    <xf numFmtId="169" fontId="32" fillId="0" borderId="143" xfId="5" applyNumberFormat="1" applyFont="1" applyFill="1" applyBorder="1" applyAlignment="1">
      <alignment horizontal="center" vertical="center"/>
    </xf>
    <xf numFmtId="0" fontId="33" fillId="0" borderId="144" xfId="0" applyFont="1" applyBorder="1" applyAlignment="1">
      <alignment horizontal="left" vertical="center"/>
    </xf>
    <xf numFmtId="0" fontId="33" fillId="0" borderId="144" xfId="0" applyFont="1" applyBorder="1" applyAlignment="1">
      <alignment horizontal="center" vertical="center"/>
    </xf>
    <xf numFmtId="0" fontId="33" fillId="0" borderId="145" xfId="0" applyFont="1" applyBorder="1" applyAlignment="1">
      <alignment horizontal="center" vertical="center"/>
    </xf>
    <xf numFmtId="174" fontId="35" fillId="11" borderId="146" xfId="2" applyNumberFormat="1" applyFont="1" applyFill="1" applyBorder="1" applyAlignment="1">
      <alignment horizontal="right" vertical="center"/>
    </xf>
    <xf numFmtId="175" fontId="34" fillId="11" borderId="143" xfId="0" applyNumberFormat="1" applyFont="1" applyFill="1" applyBorder="1" applyAlignment="1">
      <alignment horizontal="right" vertical="center"/>
    </xf>
    <xf numFmtId="175" fontId="37" fillId="32" borderId="143" xfId="0" applyNumberFormat="1" applyFont="1" applyFill="1" applyBorder="1" applyAlignment="1">
      <alignment horizontal="right" vertical="center"/>
    </xf>
    <xf numFmtId="0" fontId="33" fillId="0" borderId="148" xfId="0" applyFont="1" applyBorder="1" applyAlignment="1">
      <alignment horizontal="center" vertical="center"/>
    </xf>
    <xf numFmtId="0" fontId="32" fillId="0" borderId="147" xfId="0" applyFont="1" applyBorder="1" applyAlignment="1">
      <alignment horizontal="left" vertical="center"/>
    </xf>
    <xf numFmtId="0" fontId="33" fillId="0" borderId="150" xfId="0" applyFont="1" applyBorder="1" applyAlignment="1">
      <alignment horizontal="left" vertical="center"/>
    </xf>
    <xf numFmtId="0" fontId="33" fillId="0" borderId="150" xfId="0" applyFont="1" applyBorder="1" applyAlignment="1">
      <alignment horizontal="center" vertical="center"/>
    </xf>
    <xf numFmtId="0" fontId="33" fillId="0" borderId="151" xfId="0" applyFont="1" applyBorder="1" applyAlignment="1">
      <alignment horizontal="center" vertical="center"/>
    </xf>
    <xf numFmtId="174" fontId="35" fillId="11" borderId="152" xfId="2" applyNumberFormat="1" applyFont="1" applyFill="1" applyBorder="1" applyAlignment="1">
      <alignment horizontal="right" vertical="center"/>
    </xf>
    <xf numFmtId="175" fontId="34" fillId="11" borderId="153" xfId="0" applyNumberFormat="1" applyFont="1" applyFill="1" applyBorder="1" applyAlignment="1">
      <alignment horizontal="right" vertical="center"/>
    </xf>
    <xf numFmtId="175" fontId="37" fillId="32" borderId="153" xfId="0" applyNumberFormat="1" applyFont="1" applyFill="1" applyBorder="1" applyAlignment="1">
      <alignment horizontal="right" vertical="center"/>
    </xf>
    <xf numFmtId="0" fontId="33" fillId="0" borderId="149" xfId="0" applyFont="1" applyBorder="1" applyAlignment="1">
      <alignment horizontal="center" vertical="center"/>
    </xf>
    <xf numFmtId="0" fontId="32" fillId="0" borderId="154" xfId="0" applyFont="1" applyBorder="1" applyAlignment="1">
      <alignment horizontal="left" vertical="center"/>
    </xf>
    <xf numFmtId="176" fontId="39" fillId="33" borderId="155" xfId="0" applyNumberFormat="1" applyFont="1" applyFill="1" applyBorder="1" applyAlignment="1">
      <alignment horizontal="right" vertical="center"/>
    </xf>
    <xf numFmtId="169" fontId="32" fillId="0" borderId="153" xfId="5" applyNumberFormat="1" applyFont="1" applyFill="1" applyBorder="1" applyAlignment="1">
      <alignment horizontal="center" vertical="center"/>
    </xf>
    <xf numFmtId="169" fontId="32" fillId="0" borderId="156" xfId="5" applyNumberFormat="1" applyFont="1" applyFill="1" applyBorder="1" applyAlignment="1">
      <alignment horizontal="center" vertical="center"/>
    </xf>
    <xf numFmtId="0" fontId="33" fillId="0" borderId="157" xfId="0" applyFont="1" applyBorder="1" applyAlignment="1">
      <alignment horizontal="left" vertical="center"/>
    </xf>
    <xf numFmtId="0" fontId="33" fillId="0" borderId="157" xfId="0" applyFont="1" applyBorder="1" applyAlignment="1">
      <alignment horizontal="center" vertical="center"/>
    </xf>
    <xf numFmtId="0" fontId="33" fillId="0" borderId="158" xfId="0" applyFont="1" applyBorder="1" applyAlignment="1">
      <alignment horizontal="center" vertical="center"/>
    </xf>
    <xf numFmtId="174" fontId="35" fillId="11" borderId="159" xfId="2" applyNumberFormat="1" applyFont="1" applyFill="1" applyBorder="1" applyAlignment="1">
      <alignment horizontal="right" vertical="center"/>
    </xf>
    <xf numFmtId="175" fontId="34" fillId="11" borderId="160" xfId="0" applyNumberFormat="1" applyFont="1" applyFill="1" applyBorder="1" applyAlignment="1">
      <alignment horizontal="right" vertical="center"/>
    </xf>
    <xf numFmtId="175" fontId="37" fillId="32" borderId="160" xfId="0" applyNumberFormat="1" applyFont="1" applyFill="1" applyBorder="1" applyAlignment="1">
      <alignment horizontal="right" vertical="center"/>
    </xf>
    <xf numFmtId="0" fontId="33" fillId="0" borderId="162" xfId="0" applyFont="1" applyBorder="1" applyAlignment="1">
      <alignment horizontal="center" vertical="center"/>
    </xf>
    <xf numFmtId="0" fontId="32" fillId="0" borderId="161" xfId="0" applyFont="1" applyBorder="1" applyAlignment="1">
      <alignment horizontal="left" vertical="center"/>
    </xf>
    <xf numFmtId="0" fontId="0" fillId="0" borderId="163" xfId="0" applyBorder="1"/>
    <xf numFmtId="169" fontId="32" fillId="0" borderId="164" xfId="5" applyNumberFormat="1" applyFont="1" applyFill="1" applyBorder="1" applyAlignment="1">
      <alignment horizontal="center" vertical="center"/>
    </xf>
    <xf numFmtId="169" fontId="32" fillId="0" borderId="165" xfId="5" applyNumberFormat="1" applyFont="1" applyFill="1" applyBorder="1" applyAlignment="1">
      <alignment horizontal="center" vertical="center"/>
    </xf>
    <xf numFmtId="169" fontId="32" fillId="0" borderId="166" xfId="5" applyNumberFormat="1" applyFont="1" applyFill="1" applyBorder="1" applyAlignment="1">
      <alignment horizontal="center" vertical="center"/>
    </xf>
    <xf numFmtId="0" fontId="33" fillId="0" borderId="167" xfId="0" applyFont="1" applyBorder="1" applyAlignment="1">
      <alignment horizontal="left" vertical="center"/>
    </xf>
    <xf numFmtId="0" fontId="33" fillId="0" borderId="167" xfId="0" applyFont="1" applyBorder="1" applyAlignment="1">
      <alignment horizontal="center" vertical="center"/>
    </xf>
    <xf numFmtId="0" fontId="33" fillId="0" borderId="168" xfId="0" applyFont="1" applyBorder="1" applyAlignment="1">
      <alignment horizontal="center" vertical="center"/>
    </xf>
    <xf numFmtId="174" fontId="35" fillId="11" borderId="169" xfId="2" applyNumberFormat="1" applyFont="1" applyFill="1" applyBorder="1" applyAlignment="1">
      <alignment horizontal="right" vertical="center"/>
    </xf>
    <xf numFmtId="175" fontId="34" fillId="11" borderId="170" xfId="0" applyNumberFormat="1" applyFont="1" applyFill="1" applyBorder="1" applyAlignment="1">
      <alignment horizontal="right" vertical="center"/>
    </xf>
    <xf numFmtId="175" fontId="37" fillId="32" borderId="170" xfId="0" applyNumberFormat="1" applyFont="1" applyFill="1" applyBorder="1" applyAlignment="1">
      <alignment horizontal="right" vertical="center"/>
    </xf>
    <xf numFmtId="0" fontId="33" fillId="0" borderId="172" xfId="0" applyFont="1" applyBorder="1" applyAlignment="1">
      <alignment horizontal="center" vertical="center"/>
    </xf>
    <xf numFmtId="0" fontId="32" fillId="0" borderId="171" xfId="0" applyFont="1" applyBorder="1" applyAlignment="1">
      <alignment horizontal="left" vertical="center"/>
    </xf>
    <xf numFmtId="0" fontId="0" fillId="0" borderId="173" xfId="0" applyBorder="1"/>
    <xf numFmtId="0" fontId="33" fillId="57" borderId="62" xfId="0" applyFont="1" applyFill="1" applyBorder="1" applyAlignment="1">
      <alignment horizontal="left" vertical="center"/>
    </xf>
    <xf numFmtId="0" fontId="33" fillId="0" borderId="174" xfId="0" applyFont="1" applyBorder="1" applyAlignment="1">
      <alignment horizontal="left" vertical="center"/>
    </xf>
    <xf numFmtId="0" fontId="33" fillId="0" borderId="175" xfId="0" applyFont="1" applyBorder="1" applyAlignment="1">
      <alignment horizontal="center" vertical="center"/>
    </xf>
    <xf numFmtId="0" fontId="33" fillId="0" borderId="176" xfId="0" applyFont="1" applyBorder="1" applyAlignment="1">
      <alignment horizontal="center" vertical="center"/>
    </xf>
    <xf numFmtId="0" fontId="33" fillId="57" borderId="63" xfId="0" applyFont="1" applyFill="1" applyBorder="1" applyAlignment="1">
      <alignment horizontal="center" vertical="center"/>
    </xf>
    <xf numFmtId="0" fontId="33" fillId="57" borderId="60" xfId="0" applyFont="1" applyFill="1" applyBorder="1" applyAlignment="1">
      <alignment horizontal="center" vertical="center"/>
    </xf>
    <xf numFmtId="0" fontId="75" fillId="15" borderId="177" xfId="0" applyFont="1" applyFill="1" applyBorder="1" applyAlignment="1">
      <alignment horizontal="left" vertical="center"/>
    </xf>
    <xf numFmtId="0" fontId="74" fillId="15" borderId="177" xfId="0" applyFont="1" applyFill="1" applyBorder="1" applyAlignment="1">
      <alignment horizontal="center" vertical="center"/>
    </xf>
    <xf numFmtId="0" fontId="75" fillId="15" borderId="178" xfId="0" applyFont="1" applyFill="1" applyBorder="1" applyAlignment="1">
      <alignment horizontal="left" vertical="center"/>
    </xf>
    <xf numFmtId="169" fontId="74" fillId="15" borderId="177" xfId="0" applyNumberFormat="1" applyFont="1" applyFill="1" applyBorder="1" applyAlignment="1">
      <alignment horizontal="center" vertical="center"/>
    </xf>
    <xf numFmtId="0" fontId="38" fillId="32" borderId="75" xfId="3" applyNumberFormat="1" applyFont="1" applyFill="1" applyBorder="1" applyAlignment="1">
      <alignment horizontal="right" vertical="center"/>
    </xf>
    <xf numFmtId="0" fontId="38" fillId="32" borderId="74" xfId="3" applyNumberFormat="1" applyFont="1" applyFill="1" applyBorder="1" applyAlignment="1">
      <alignment horizontal="right" vertical="center"/>
    </xf>
    <xf numFmtId="0" fontId="38" fillId="32" borderId="146" xfId="3" applyNumberFormat="1" applyFont="1" applyFill="1" applyBorder="1" applyAlignment="1">
      <alignment horizontal="right" vertical="center"/>
    </xf>
    <xf numFmtId="0" fontId="38" fillId="32" borderId="159" xfId="3" applyNumberFormat="1" applyFont="1" applyFill="1" applyBorder="1" applyAlignment="1">
      <alignment horizontal="right" vertical="center"/>
    </xf>
    <xf numFmtId="0" fontId="38" fillId="32" borderId="169" xfId="3" applyNumberFormat="1" applyFont="1" applyFill="1" applyBorder="1" applyAlignment="1">
      <alignment horizontal="right" vertical="center"/>
    </xf>
    <xf numFmtId="0" fontId="38" fillId="32" borderId="152" xfId="3" applyNumberFormat="1" applyFont="1" applyFill="1" applyBorder="1" applyAlignment="1">
      <alignment horizontal="right" vertical="center"/>
    </xf>
    <xf numFmtId="0" fontId="78" fillId="0" borderId="0" xfId="0" applyFont="1" applyAlignment="1">
      <alignment horizontal="right"/>
    </xf>
    <xf numFmtId="1" fontId="79" fillId="59" borderId="0" xfId="0" applyNumberFormat="1" applyFont="1" applyFill="1" applyAlignment="1">
      <alignment horizontal="center"/>
    </xf>
    <xf numFmtId="0" fontId="80" fillId="0" borderId="0" xfId="0" applyFont="1"/>
    <xf numFmtId="0" fontId="8" fillId="26" borderId="0" xfId="0" applyFont="1" applyFill="1" applyAlignment="1">
      <alignment horizontal="center"/>
    </xf>
    <xf numFmtId="0" fontId="8" fillId="31" borderId="0" xfId="0" applyFont="1" applyFill="1" applyAlignment="1">
      <alignment horizontal="center"/>
    </xf>
    <xf numFmtId="0" fontId="8" fillId="29" borderId="0" xfId="0" applyFont="1" applyFill="1" applyAlignment="1">
      <alignment horizontal="center"/>
    </xf>
    <xf numFmtId="0" fontId="81" fillId="0" borderId="62" xfId="0" applyFont="1" applyBorder="1" applyAlignment="1">
      <alignment horizontal="center"/>
    </xf>
    <xf numFmtId="0" fontId="81" fillId="0" borderId="62" xfId="0" applyFont="1" applyBorder="1" applyAlignment="1">
      <alignment horizontal="left"/>
    </xf>
    <xf numFmtId="179" fontId="81" fillId="0" borderId="62" xfId="0" applyNumberFormat="1" applyFont="1" applyBorder="1" applyAlignment="1">
      <alignment horizontal="center"/>
    </xf>
    <xf numFmtId="175" fontId="81" fillId="0" borderId="62" xfId="0" applyNumberFormat="1" applyFont="1" applyBorder="1" applyAlignment="1">
      <alignment horizontal="center"/>
    </xf>
    <xf numFmtId="0" fontId="8" fillId="60" borderId="0" xfId="0" applyFont="1" applyFill="1" applyAlignment="1">
      <alignment horizontal="center"/>
    </xf>
    <xf numFmtId="0" fontId="81" fillId="0" borderId="61" xfId="0" applyFont="1" applyBorder="1" applyAlignment="1">
      <alignment horizontal="left"/>
    </xf>
    <xf numFmtId="0" fontId="82" fillId="15" borderId="62" xfId="0" applyFont="1" applyFill="1" applyBorder="1" applyAlignment="1">
      <alignment horizontal="center"/>
    </xf>
    <xf numFmtId="0" fontId="8" fillId="22" borderId="179" xfId="0" applyFont="1" applyFill="1" applyBorder="1" applyAlignment="1">
      <alignment horizontal="center" vertical="center" wrapText="1"/>
    </xf>
    <xf numFmtId="0" fontId="8" fillId="22" borderId="180" xfId="0" applyFont="1" applyFill="1" applyBorder="1" applyAlignment="1">
      <alignment horizontal="center" vertical="center" wrapText="1"/>
    </xf>
    <xf numFmtId="0" fontId="8" fillId="22" borderId="181" xfId="0" applyFont="1" applyFill="1" applyBorder="1" applyAlignment="1">
      <alignment horizontal="center" vertical="center" wrapText="1"/>
    </xf>
    <xf numFmtId="0" fontId="28" fillId="0" borderId="182" xfId="0" applyFont="1" applyBorder="1" applyAlignment="1">
      <alignment horizontal="right" vertical="center"/>
    </xf>
    <xf numFmtId="169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right" vertical="center"/>
    </xf>
    <xf numFmtId="175" fontId="0" fillId="0" borderId="5" xfId="0" applyNumberFormat="1" applyBorder="1" applyAlignment="1">
      <alignment horizontal="right" vertical="center"/>
    </xf>
    <xf numFmtId="174" fontId="0" fillId="0" borderId="5" xfId="0" applyNumberFormat="1" applyBorder="1" applyAlignment="1">
      <alignment horizontal="right" vertical="center"/>
    </xf>
    <xf numFmtId="176" fontId="0" fillId="0" borderId="5" xfId="0" applyNumberFormat="1" applyBorder="1" applyAlignment="1">
      <alignment horizontal="right" vertical="center"/>
    </xf>
    <xf numFmtId="0" fontId="0" fillId="0" borderId="182" xfId="0" applyBorder="1" applyAlignment="1">
      <alignment horizontal="center" vertical="center"/>
    </xf>
    <xf numFmtId="0" fontId="0" fillId="0" borderId="182" xfId="0" applyBorder="1" applyAlignment="1">
      <alignment horizontal="right" vertical="center"/>
    </xf>
    <xf numFmtId="175" fontId="0" fillId="0" borderId="182" xfId="0" applyNumberFormat="1" applyBorder="1" applyAlignment="1">
      <alignment horizontal="right" vertical="center"/>
    </xf>
    <xf numFmtId="174" fontId="0" fillId="0" borderId="182" xfId="0" applyNumberFormat="1" applyBorder="1" applyAlignment="1">
      <alignment horizontal="right" vertical="center"/>
    </xf>
    <xf numFmtId="176" fontId="0" fillId="0" borderId="182" xfId="0" applyNumberFormat="1" applyBorder="1" applyAlignment="1">
      <alignment horizontal="right" vertical="center"/>
    </xf>
    <xf numFmtId="168" fontId="0" fillId="14" borderId="20" xfId="7" applyNumberFormat="1" applyFont="1" applyFill="1" applyBorder="1" applyAlignment="1">
      <alignment horizontal="right" vertical="center"/>
    </xf>
    <xf numFmtId="167" fontId="0" fillId="14" borderId="20" xfId="7" applyNumberFormat="1" applyFont="1" applyFill="1" applyBorder="1" applyAlignment="1">
      <alignment horizontal="right" vertical="center"/>
    </xf>
    <xf numFmtId="168" fontId="0" fillId="14" borderId="11" xfId="7" applyNumberFormat="1" applyFont="1" applyFill="1" applyBorder="1" applyAlignment="1">
      <alignment horizontal="right" vertical="center"/>
    </xf>
    <xf numFmtId="169" fontId="15" fillId="21" borderId="133" xfId="0" applyNumberFormat="1" applyFont="1" applyFill="1" applyBorder="1" applyAlignment="1">
      <alignment horizontal="center" vertical="center"/>
    </xf>
    <xf numFmtId="169" fontId="15" fillId="0" borderId="134" xfId="0" applyNumberFormat="1" applyFont="1" applyBorder="1" applyAlignment="1">
      <alignment horizontal="center" vertical="center"/>
    </xf>
    <xf numFmtId="169" fontId="15" fillId="21" borderId="134" xfId="0" applyNumberFormat="1" applyFont="1" applyFill="1" applyBorder="1" applyAlignment="1">
      <alignment horizontal="center" vertical="center"/>
    </xf>
    <xf numFmtId="169" fontId="20" fillId="21" borderId="134" xfId="0" applyNumberFormat="1" applyFont="1" applyFill="1" applyBorder="1" applyAlignment="1">
      <alignment horizontal="center" vertical="center"/>
    </xf>
    <xf numFmtId="169" fontId="20" fillId="0" borderId="134" xfId="0" applyNumberFormat="1" applyFont="1" applyBorder="1" applyAlignment="1">
      <alignment horizontal="center" vertical="center"/>
    </xf>
    <xf numFmtId="169" fontId="15" fillId="0" borderId="183" xfId="0" applyNumberFormat="1" applyFont="1" applyBorder="1" applyAlignment="1">
      <alignment horizontal="center" vertical="center"/>
    </xf>
    <xf numFmtId="172" fontId="13" fillId="0" borderId="135" xfId="0" applyNumberFormat="1" applyFont="1" applyBorder="1" applyAlignment="1">
      <alignment vertical="center"/>
    </xf>
    <xf numFmtId="172" fontId="13" fillId="0" borderId="136" xfId="0" applyNumberFormat="1" applyFont="1" applyBorder="1" applyAlignment="1">
      <alignment vertical="center"/>
    </xf>
    <xf numFmtId="0" fontId="13" fillId="0" borderId="136" xfId="0" applyFont="1" applyBorder="1" applyAlignment="1">
      <alignment vertical="center"/>
    </xf>
    <xf numFmtId="0" fontId="13" fillId="0" borderId="184" xfId="0" applyFont="1" applyBorder="1" applyAlignment="1">
      <alignment vertical="center"/>
    </xf>
    <xf numFmtId="0" fontId="41" fillId="61" borderId="80" xfId="0" applyFont="1" applyFill="1" applyBorder="1" applyAlignment="1">
      <alignment horizontal="center"/>
    </xf>
    <xf numFmtId="174" fontId="41" fillId="61" borderId="80" xfId="0" applyNumberFormat="1" applyFont="1" applyFill="1" applyBorder="1" applyAlignment="1">
      <alignment horizontal="right"/>
    </xf>
    <xf numFmtId="0" fontId="41" fillId="0" borderId="188" xfId="0" applyFont="1" applyBorder="1" applyAlignment="1">
      <alignment horizontal="center"/>
    </xf>
    <xf numFmtId="174" fontId="41" fillId="0" borderId="188" xfId="0" applyNumberFormat="1" applyFont="1" applyBorder="1" applyAlignment="1">
      <alignment horizontal="right"/>
    </xf>
    <xf numFmtId="169" fontId="15" fillId="0" borderId="137" xfId="0" applyNumberFormat="1" applyFont="1" applyBorder="1" applyAlignment="1">
      <alignment horizontal="center" vertical="center"/>
    </xf>
    <xf numFmtId="0" fontId="15" fillId="0" borderId="138" xfId="0" applyFont="1" applyBorder="1" applyAlignment="1">
      <alignment horizontal="left" vertical="center" indent="1"/>
    </xf>
    <xf numFmtId="0" fontId="15" fillId="0" borderId="138" xfId="0" applyFont="1" applyBorder="1" applyAlignment="1">
      <alignment horizontal="center" vertical="center"/>
    </xf>
    <xf numFmtId="0" fontId="13" fillId="0" borderId="138" xfId="0" applyFont="1" applyBorder="1" applyAlignment="1">
      <alignment horizontal="right" vertical="center"/>
    </xf>
    <xf numFmtId="170" fontId="15" fillId="0" borderId="138" xfId="1" applyNumberFormat="1" applyFont="1" applyBorder="1" applyAlignment="1">
      <alignment horizontal="right" vertical="center"/>
    </xf>
    <xf numFmtId="168" fontId="13" fillId="21" borderId="189" xfId="0" applyNumberFormat="1" applyFont="1" applyFill="1" applyBorder="1" applyAlignment="1">
      <alignment horizontal="right" vertical="center"/>
    </xf>
    <xf numFmtId="0" fontId="13" fillId="0" borderId="139" xfId="0" applyFont="1" applyBorder="1" applyAlignment="1">
      <alignment vertical="center"/>
    </xf>
    <xf numFmtId="0" fontId="71" fillId="48" borderId="190" xfId="0" applyFont="1" applyFill="1" applyBorder="1" applyAlignment="1">
      <alignment horizontal="center"/>
    </xf>
    <xf numFmtId="0" fontId="71" fillId="48" borderId="191" xfId="0" applyFont="1" applyFill="1" applyBorder="1"/>
    <xf numFmtId="0" fontId="71" fillId="48" borderId="190" xfId="0" applyFont="1" applyFill="1" applyBorder="1"/>
    <xf numFmtId="0" fontId="71" fillId="48" borderId="190" xfId="0" applyFont="1" applyFill="1" applyBorder="1" applyAlignment="1">
      <alignment vertical="center"/>
    </xf>
    <xf numFmtId="0" fontId="71" fillId="48" borderId="192" xfId="0" applyFont="1" applyFill="1" applyBorder="1"/>
    <xf numFmtId="0" fontId="72" fillId="13" borderId="191" xfId="0" applyFont="1" applyFill="1" applyBorder="1" applyAlignment="1">
      <alignment horizontal="center"/>
    </xf>
    <xf numFmtId="0" fontId="72" fillId="13" borderId="190" xfId="0" applyFont="1" applyFill="1" applyBorder="1" applyAlignment="1">
      <alignment horizontal="center"/>
    </xf>
    <xf numFmtId="0" fontId="72" fillId="13" borderId="192" xfId="0" applyFont="1" applyFill="1" applyBorder="1" applyAlignment="1">
      <alignment horizontal="center"/>
    </xf>
    <xf numFmtId="0" fontId="71" fillId="48" borderId="191" xfId="0" applyFont="1" applyFill="1" applyBorder="1" applyAlignment="1">
      <alignment horizontal="center" vertical="center"/>
    </xf>
    <xf numFmtId="0" fontId="71" fillId="48" borderId="190" xfId="0" applyFont="1" applyFill="1" applyBorder="1" applyAlignment="1">
      <alignment horizontal="center" vertical="center"/>
    </xf>
    <xf numFmtId="0" fontId="71" fillId="48" borderId="192" xfId="0" applyFont="1" applyFill="1" applyBorder="1" applyAlignment="1">
      <alignment horizontal="center" vertical="center"/>
    </xf>
    <xf numFmtId="169" fontId="74" fillId="15" borderId="193" xfId="0" applyNumberFormat="1" applyFont="1" applyFill="1" applyBorder="1" applyAlignment="1">
      <alignment horizontal="center" vertical="center"/>
    </xf>
    <xf numFmtId="0" fontId="74" fillId="15" borderId="193" xfId="0" applyFont="1" applyFill="1" applyBorder="1" applyAlignment="1">
      <alignment horizontal="center" vertical="center"/>
    </xf>
    <xf numFmtId="0" fontId="76" fillId="15" borderId="178" xfId="0" applyFont="1" applyFill="1" applyBorder="1" applyAlignment="1">
      <alignment horizontal="left" vertical="center"/>
    </xf>
    <xf numFmtId="169" fontId="73" fillId="15" borderId="193" xfId="0" applyNumberFormat="1" applyFont="1" applyFill="1" applyBorder="1" applyAlignment="1">
      <alignment horizontal="center" vertical="center"/>
    </xf>
    <xf numFmtId="0" fontId="73" fillId="15" borderId="193" xfId="0" applyFont="1" applyFill="1" applyBorder="1" applyAlignment="1">
      <alignment horizontal="center" vertical="center"/>
    </xf>
    <xf numFmtId="3" fontId="73" fillId="15" borderId="193" xfId="0" applyNumberFormat="1" applyFont="1" applyFill="1" applyBorder="1" applyAlignment="1">
      <alignment horizontal="center" vertical="center"/>
    </xf>
    <xf numFmtId="0" fontId="74" fillId="58" borderId="193" xfId="0" applyFont="1" applyFill="1" applyBorder="1" applyAlignment="1">
      <alignment horizontal="center" vertical="center"/>
    </xf>
    <xf numFmtId="0" fontId="76" fillId="58" borderId="178" xfId="0" applyFont="1" applyFill="1" applyBorder="1" applyAlignment="1">
      <alignment horizontal="left" vertical="center"/>
    </xf>
    <xf numFmtId="169" fontId="83" fillId="15" borderId="193" xfId="0" applyNumberFormat="1" applyFont="1" applyFill="1" applyBorder="1" applyAlignment="1">
      <alignment horizontal="center" vertical="center"/>
    </xf>
    <xf numFmtId="0" fontId="83" fillId="15" borderId="193" xfId="0" applyFont="1" applyFill="1" applyBorder="1" applyAlignment="1">
      <alignment horizontal="center" vertical="center"/>
    </xf>
    <xf numFmtId="0" fontId="73" fillId="15" borderId="194" xfId="0" applyFont="1" applyFill="1" applyBorder="1" applyAlignment="1">
      <alignment horizontal="center" vertical="center"/>
    </xf>
    <xf numFmtId="0" fontId="83" fillId="15" borderId="194" xfId="0" applyFont="1" applyFill="1" applyBorder="1" applyAlignment="1">
      <alignment horizontal="center" vertical="center"/>
    </xf>
    <xf numFmtId="169" fontId="84" fillId="15" borderId="177" xfId="0" applyNumberFormat="1" applyFont="1" applyFill="1" applyBorder="1" applyAlignment="1">
      <alignment horizontal="center" vertical="center"/>
    </xf>
    <xf numFmtId="0" fontId="84" fillId="15" borderId="177" xfId="0" applyFont="1" applyFill="1" applyBorder="1" applyAlignment="1">
      <alignment horizontal="center" vertical="center"/>
    </xf>
    <xf numFmtId="0" fontId="49" fillId="0" borderId="59" xfId="0" applyFont="1" applyBorder="1" applyAlignment="1">
      <alignment horizontal="right"/>
    </xf>
    <xf numFmtId="0" fontId="49" fillId="0" borderId="55" xfId="0" applyFont="1" applyBorder="1" applyAlignment="1">
      <alignment horizontal="right"/>
    </xf>
    <xf numFmtId="0" fontId="42" fillId="34" borderId="195" xfId="0" applyFont="1" applyFill="1" applyBorder="1" applyAlignment="1">
      <alignment horizontal="center"/>
    </xf>
    <xf numFmtId="0" fontId="86" fillId="62" borderId="87" xfId="0" applyFont="1" applyFill="1" applyBorder="1" applyAlignment="1">
      <alignment horizontal="center" vertical="center"/>
    </xf>
    <xf numFmtId="49" fontId="86" fillId="62" borderId="87" xfId="0" applyNumberFormat="1" applyFont="1" applyFill="1" applyBorder="1" applyAlignment="1">
      <alignment horizontal="center" vertical="center"/>
    </xf>
    <xf numFmtId="0" fontId="87" fillId="62" borderId="87" xfId="0" applyFont="1" applyFill="1" applyBorder="1" applyAlignment="1">
      <alignment horizontal="center" vertical="center"/>
    </xf>
    <xf numFmtId="0" fontId="86" fillId="15" borderId="80" xfId="0" applyFont="1" applyFill="1" applyBorder="1" applyAlignment="1">
      <alignment horizontal="center" vertical="center"/>
    </xf>
    <xf numFmtId="49" fontId="86" fillId="15" borderId="80" xfId="0" applyNumberFormat="1" applyFont="1" applyFill="1" applyBorder="1" applyAlignment="1">
      <alignment horizontal="center" vertical="center"/>
    </xf>
    <xf numFmtId="0" fontId="87" fillId="15" borderId="80" xfId="0" applyFont="1" applyFill="1" applyBorder="1" applyAlignment="1">
      <alignment horizontal="center" vertical="center"/>
    </xf>
    <xf numFmtId="0" fontId="86" fillId="62" borderId="80" xfId="0" applyFont="1" applyFill="1" applyBorder="1" applyAlignment="1">
      <alignment horizontal="center" vertical="center"/>
    </xf>
    <xf numFmtId="49" fontId="86" fillId="62" borderId="80" xfId="0" applyNumberFormat="1" applyFont="1" applyFill="1" applyBorder="1" applyAlignment="1">
      <alignment horizontal="center" vertical="center"/>
    </xf>
    <xf numFmtId="0" fontId="87" fillId="62" borderId="8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3" fillId="0" borderId="99" xfId="0" applyFont="1" applyBorder="1" applyAlignment="1">
      <alignment horizontal="right" vertical="center"/>
    </xf>
    <xf numFmtId="0" fontId="43" fillId="0" borderId="92" xfId="0" applyFont="1" applyBorder="1" applyAlignment="1">
      <alignment horizontal="right" vertical="center"/>
    </xf>
    <xf numFmtId="0" fontId="0" fillId="63" borderId="0" xfId="0" applyFill="1"/>
    <xf numFmtId="0" fontId="89" fillId="65" borderId="196" xfId="0" applyFont="1" applyFill="1" applyBorder="1" applyAlignment="1">
      <alignment horizontal="center" vertical="center"/>
    </xf>
    <xf numFmtId="0" fontId="90" fillId="63" borderId="0" xfId="0" applyFont="1" applyFill="1" applyAlignment="1">
      <alignment horizontal="center" vertical="center"/>
    </xf>
    <xf numFmtId="169" fontId="90" fillId="63" borderId="0" xfId="0" applyNumberFormat="1" applyFont="1" applyFill="1" applyAlignment="1">
      <alignment horizontal="center" vertical="center"/>
    </xf>
    <xf numFmtId="180" fontId="90" fillId="63" borderId="0" xfId="0" applyNumberFormat="1" applyFont="1" applyFill="1" applyAlignment="1">
      <alignment horizontal="center" vertical="center"/>
    </xf>
    <xf numFmtId="169" fontId="90" fillId="66" borderId="0" xfId="0" applyNumberFormat="1" applyFont="1" applyFill="1" applyAlignment="1">
      <alignment horizontal="center" vertical="center"/>
    </xf>
    <xf numFmtId="0" fontId="90" fillId="66" borderId="0" xfId="0" applyFont="1" applyFill="1" applyAlignment="1">
      <alignment horizontal="center" vertical="center"/>
    </xf>
    <xf numFmtId="180" fontId="90" fillId="66" borderId="0" xfId="0" applyNumberFormat="1" applyFont="1" applyFill="1" applyAlignment="1">
      <alignment horizontal="center" vertical="center"/>
    </xf>
    <xf numFmtId="180" fontId="91" fillId="66" borderId="0" xfId="0" applyNumberFormat="1" applyFont="1" applyFill="1" applyAlignment="1">
      <alignment horizontal="center" vertical="center"/>
    </xf>
    <xf numFmtId="180" fontId="91" fillId="63" borderId="0" xfId="0" applyNumberFormat="1" applyFont="1" applyFill="1" applyAlignment="1">
      <alignment horizontal="center" vertical="center"/>
    </xf>
    <xf numFmtId="180" fontId="93" fillId="64" borderId="197" xfId="0" applyNumberFormat="1" applyFont="1" applyFill="1" applyBorder="1" applyAlignment="1">
      <alignment horizontal="center" vertical="center"/>
    </xf>
    <xf numFmtId="175" fontId="43" fillId="0" borderId="92" xfId="0" applyNumberFormat="1" applyFont="1" applyBorder="1" applyAlignment="1">
      <alignment horizontal="right" vertical="center"/>
    </xf>
    <xf numFmtId="175" fontId="43" fillId="0" borderId="99" xfId="0" applyNumberFormat="1" applyFont="1" applyBorder="1" applyAlignment="1">
      <alignment horizontal="right" vertical="center"/>
    </xf>
    <xf numFmtId="167" fontId="2" fillId="14" borderId="12" xfId="7" applyNumberFormat="1" applyFont="1" applyFill="1" applyBorder="1" applyAlignment="1">
      <alignment horizontal="right" vertical="center"/>
    </xf>
    <xf numFmtId="167" fontId="2" fillId="15" borderId="11" xfId="7" applyNumberFormat="1" applyFont="1" applyFill="1" applyBorder="1" applyAlignment="1">
      <alignment horizontal="right" vertical="center"/>
    </xf>
    <xf numFmtId="167" fontId="2" fillId="14" borderId="11" xfId="7" applyNumberFormat="1" applyFont="1" applyFill="1" applyBorder="1" applyAlignment="1">
      <alignment horizontal="right" vertical="center"/>
    </xf>
    <xf numFmtId="165" fontId="2" fillId="12" borderId="11" xfId="7" applyNumberFormat="1" applyFont="1" applyFill="1" applyBorder="1" applyAlignment="1">
      <alignment horizontal="right" vertical="center"/>
    </xf>
    <xf numFmtId="167" fontId="2" fillId="15" borderId="13" xfId="7" applyNumberFormat="1" applyFont="1" applyFill="1" applyBorder="1" applyAlignment="1">
      <alignment horizontal="right" vertical="center"/>
    </xf>
    <xf numFmtId="167" fontId="2" fillId="14" borderId="15" xfId="7" applyNumberFormat="1" applyFont="1" applyFill="1" applyBorder="1" applyAlignment="1">
      <alignment horizontal="right" vertical="center"/>
    </xf>
    <xf numFmtId="168" fontId="2" fillId="14" borderId="12" xfId="7" applyNumberFormat="1" applyFont="1" applyFill="1" applyBorder="1" applyAlignment="1">
      <alignment horizontal="right" vertical="center"/>
    </xf>
    <xf numFmtId="168" fontId="2" fillId="15" borderId="11" xfId="7" applyNumberFormat="1" applyFont="1" applyFill="1" applyBorder="1" applyAlignment="1">
      <alignment horizontal="right" vertical="center"/>
    </xf>
    <xf numFmtId="168" fontId="2" fillId="14" borderId="11" xfId="7" applyNumberFormat="1" applyFont="1" applyFill="1" applyBorder="1" applyAlignment="1">
      <alignment horizontal="right" vertical="center"/>
    </xf>
    <xf numFmtId="168" fontId="2" fillId="15" borderId="13" xfId="7" applyNumberFormat="1" applyFont="1" applyFill="1" applyBorder="1" applyAlignment="1">
      <alignment horizontal="right" vertical="center"/>
    </xf>
    <xf numFmtId="168" fontId="2" fillId="14" borderId="15" xfId="7" applyNumberFormat="1" applyFont="1" applyFill="1" applyBorder="1" applyAlignment="1">
      <alignment horizontal="right" vertical="center"/>
    </xf>
    <xf numFmtId="0" fontId="50" fillId="56" borderId="142" xfId="0" applyFont="1" applyFill="1" applyBorder="1" applyAlignment="1">
      <alignment horizontal="center" vertical="center"/>
    </xf>
    <xf numFmtId="0" fontId="8" fillId="22" borderId="185" xfId="0" applyFont="1" applyFill="1" applyBorder="1" applyAlignment="1">
      <alignment horizontal="center" vertical="center"/>
    </xf>
    <xf numFmtId="0" fontId="8" fillId="22" borderId="186" xfId="0" applyFont="1" applyFill="1" applyBorder="1" applyAlignment="1">
      <alignment horizontal="center" vertical="center"/>
    </xf>
    <xf numFmtId="172" fontId="8" fillId="22" borderId="187" xfId="0" applyNumberFormat="1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69" fontId="2" fillId="0" borderId="5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right" vertical="center"/>
    </xf>
    <xf numFmtId="175" fontId="2" fillId="0" borderId="5" xfId="0" applyNumberFormat="1" applyFont="1" applyBorder="1" applyAlignment="1">
      <alignment horizontal="right" vertical="center"/>
    </xf>
    <xf numFmtId="174" fontId="2" fillId="0" borderId="5" xfId="0" applyNumberFormat="1" applyFont="1" applyBorder="1" applyAlignment="1">
      <alignment horizontal="right" vertical="center"/>
    </xf>
    <xf numFmtId="176" fontId="2" fillId="0" borderId="5" xfId="0" applyNumberFormat="1" applyFont="1" applyBorder="1" applyAlignment="1">
      <alignment horizontal="right" vertical="center"/>
    </xf>
    <xf numFmtId="0" fontId="2" fillId="0" borderId="182" xfId="0" applyFont="1" applyBorder="1" applyAlignment="1">
      <alignment horizontal="center" vertical="center"/>
    </xf>
    <xf numFmtId="169" fontId="2" fillId="0" borderId="182" xfId="0" applyNumberFormat="1" applyFont="1" applyBorder="1" applyAlignment="1">
      <alignment horizontal="center" vertical="center"/>
    </xf>
    <xf numFmtId="0" fontId="2" fillId="0" borderId="182" xfId="0" applyFont="1" applyBorder="1" applyAlignment="1">
      <alignment horizontal="right" vertical="center"/>
    </xf>
    <xf numFmtId="175" fontId="2" fillId="0" borderId="182" xfId="0" applyNumberFormat="1" applyFont="1" applyBorder="1" applyAlignment="1">
      <alignment horizontal="right" vertical="center"/>
    </xf>
    <xf numFmtId="174" fontId="2" fillId="0" borderId="182" xfId="0" applyNumberFormat="1" applyFont="1" applyBorder="1" applyAlignment="1">
      <alignment horizontal="right" vertical="center"/>
    </xf>
    <xf numFmtId="176" fontId="2" fillId="0" borderId="182" xfId="0" applyNumberFormat="1" applyFont="1" applyBorder="1" applyAlignment="1">
      <alignment horizontal="right" vertical="center"/>
    </xf>
    <xf numFmtId="0" fontId="31" fillId="30" borderId="74" xfId="0" applyFont="1" applyFill="1" applyBorder="1" applyAlignment="1">
      <alignment horizontal="center" vertical="center" wrapText="1"/>
    </xf>
    <xf numFmtId="0" fontId="31" fillId="31" borderId="67" xfId="0" applyFont="1" applyFill="1" applyBorder="1" applyAlignment="1">
      <alignment horizontal="center" vertical="center" wrapText="1"/>
    </xf>
    <xf numFmtId="0" fontId="40" fillId="33" borderId="67" xfId="0" applyFont="1" applyFill="1" applyBorder="1" applyAlignment="1">
      <alignment horizontal="right" vertical="center"/>
    </xf>
    <xf numFmtId="0" fontId="40" fillId="33" borderId="143" xfId="0" applyFont="1" applyFill="1" applyBorder="1" applyAlignment="1">
      <alignment horizontal="right" vertical="center"/>
    </xf>
    <xf numFmtId="0" fontId="40" fillId="33" borderId="160" xfId="0" applyFont="1" applyFill="1" applyBorder="1" applyAlignment="1">
      <alignment horizontal="right" vertical="center"/>
    </xf>
    <xf numFmtId="0" fontId="40" fillId="33" borderId="68" xfId="0" applyFont="1" applyFill="1" applyBorder="1" applyAlignment="1">
      <alignment horizontal="right" vertical="center"/>
    </xf>
    <xf numFmtId="0" fontId="40" fillId="33" borderId="170" xfId="0" applyFont="1" applyFill="1" applyBorder="1" applyAlignment="1">
      <alignment horizontal="right" vertical="center"/>
    </xf>
    <xf numFmtId="0" fontId="40" fillId="33" borderId="153" xfId="0" applyFont="1" applyFill="1" applyBorder="1" applyAlignment="1">
      <alignment horizontal="right" vertical="center"/>
    </xf>
    <xf numFmtId="0" fontId="76" fillId="15" borderId="17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69" fontId="0" fillId="0" borderId="182" xfId="0" applyNumberFormat="1" applyBorder="1" applyAlignment="1">
      <alignment horizontal="center" vertical="center"/>
    </xf>
    <xf numFmtId="0" fontId="43" fillId="23" borderId="100" xfId="0" applyFont="1" applyFill="1" applyBorder="1" applyAlignment="1">
      <alignment horizontal="right" vertical="center"/>
    </xf>
    <xf numFmtId="0" fontId="95" fillId="0" borderId="198" xfId="0" applyFont="1" applyBorder="1" applyAlignment="1">
      <alignment horizontal="center" vertical="center"/>
    </xf>
    <xf numFmtId="0" fontId="97" fillId="67" borderId="198" xfId="0" applyFont="1" applyFill="1" applyBorder="1" applyAlignment="1">
      <alignment horizontal="center" vertical="center"/>
    </xf>
    <xf numFmtId="181" fontId="95" fillId="0" borderId="198" xfId="0" applyNumberFormat="1" applyFont="1" applyBorder="1" applyAlignment="1">
      <alignment horizontal="center" vertical="center"/>
    </xf>
    <xf numFmtId="0" fontId="98" fillId="68" borderId="198" xfId="0" applyFont="1" applyFill="1" applyBorder="1" applyAlignment="1">
      <alignment horizontal="center" vertical="center"/>
    </xf>
    <xf numFmtId="3" fontId="98" fillId="68" borderId="198" xfId="0" applyNumberFormat="1" applyFont="1" applyFill="1" applyBorder="1" applyAlignment="1">
      <alignment horizontal="center" vertical="center"/>
    </xf>
    <xf numFmtId="168" fontId="0" fillId="14" borderId="200" xfId="7" applyNumberFormat="1" applyFont="1" applyFill="1" applyBorder="1" applyAlignment="1">
      <alignment horizontal="right" vertical="center"/>
    </xf>
    <xf numFmtId="168" fontId="0" fillId="15" borderId="20" xfId="7" applyNumberFormat="1" applyFont="1" applyFill="1" applyBorder="1" applyAlignment="1">
      <alignment horizontal="right" vertical="center"/>
    </xf>
    <xf numFmtId="165" fontId="0" fillId="12" borderId="20" xfId="7" applyNumberFormat="1" applyFont="1" applyFill="1" applyBorder="1" applyAlignment="1">
      <alignment horizontal="right" vertical="center"/>
    </xf>
    <xf numFmtId="168" fontId="0" fillId="15" borderId="199" xfId="7" applyNumberFormat="1" applyFont="1" applyFill="1" applyBorder="1" applyAlignment="1">
      <alignment horizontal="right" vertical="center"/>
    </xf>
    <xf numFmtId="168" fontId="0" fillId="14" borderId="21" xfId="7" applyNumberFormat="1" applyFont="1" applyFill="1" applyBorder="1" applyAlignment="1">
      <alignment horizontal="right" vertical="center"/>
    </xf>
    <xf numFmtId="0" fontId="41" fillId="0" borderId="201" xfId="0" applyFont="1" applyBorder="1" applyAlignment="1">
      <alignment horizontal="center"/>
    </xf>
    <xf numFmtId="174" fontId="41" fillId="0" borderId="201" xfId="0" applyNumberFormat="1" applyFont="1" applyBorder="1" applyAlignment="1">
      <alignment horizontal="right"/>
    </xf>
    <xf numFmtId="164" fontId="90" fillId="63" borderId="0" xfId="0" applyNumberFormat="1" applyFont="1" applyFill="1" applyAlignment="1">
      <alignment horizontal="center" vertical="center"/>
    </xf>
    <xf numFmtId="0" fontId="99" fillId="66" borderId="0" xfId="0" applyFont="1" applyFill="1" applyAlignment="1">
      <alignment horizontal="center" vertical="center"/>
    </xf>
    <xf numFmtId="164" fontId="90" fillId="66" borderId="0" xfId="0" applyNumberFormat="1" applyFont="1" applyFill="1" applyAlignment="1">
      <alignment horizontal="center" vertical="center"/>
    </xf>
    <xf numFmtId="0" fontId="9" fillId="9" borderId="0" xfId="0" applyFont="1" applyFill="1" applyAlignment="1">
      <alignment horizontal="center" vertical="center"/>
    </xf>
    <xf numFmtId="0" fontId="30" fillId="25" borderId="66" xfId="0" applyFont="1" applyFill="1" applyBorder="1" applyAlignment="1">
      <alignment horizontal="center" vertical="center"/>
    </xf>
    <xf numFmtId="0" fontId="29" fillId="0" borderId="64" xfId="0" applyFont="1" applyBorder="1" applyAlignment="1">
      <alignment horizontal="left" vertical="top"/>
    </xf>
    <xf numFmtId="0" fontId="29" fillId="0" borderId="69" xfId="0" applyFont="1" applyBorder="1" applyAlignment="1">
      <alignment horizontal="left" vertical="top"/>
    </xf>
    <xf numFmtId="0" fontId="29" fillId="0" borderId="73" xfId="0" applyFont="1" applyBorder="1" applyAlignment="1">
      <alignment horizontal="left" vertical="top"/>
    </xf>
    <xf numFmtId="0" fontId="29" fillId="0" borderId="66" xfId="0" applyFont="1" applyBorder="1" applyAlignment="1">
      <alignment horizontal="left" vertical="top"/>
    </xf>
    <xf numFmtId="0" fontId="29" fillId="0" borderId="76" xfId="0" applyFont="1" applyBorder="1" applyAlignment="1">
      <alignment horizontal="left" vertical="top"/>
    </xf>
    <xf numFmtId="0" fontId="29" fillId="0" borderId="71" xfId="0" applyFont="1" applyBorder="1" applyAlignment="1">
      <alignment horizontal="left" vertical="top"/>
    </xf>
    <xf numFmtId="0" fontId="29" fillId="0" borderId="78" xfId="0" applyFont="1" applyBorder="1" applyAlignment="1">
      <alignment horizontal="left" vertical="top"/>
    </xf>
    <xf numFmtId="0" fontId="96" fillId="0" borderId="0" xfId="0" applyFont="1"/>
    <xf numFmtId="0" fontId="9" fillId="30" borderId="0" xfId="0" applyFont="1" applyFill="1" applyAlignment="1">
      <alignment horizontal="center"/>
    </xf>
    <xf numFmtId="0" fontId="85" fillId="48" borderId="0" xfId="0" applyFont="1" applyFill="1" applyAlignment="1">
      <alignment horizontal="center"/>
    </xf>
    <xf numFmtId="175" fontId="43" fillId="0" borderId="92" xfId="0" applyNumberFormat="1" applyFont="1" applyBorder="1" applyAlignment="1">
      <alignment horizontal="right" vertical="center"/>
    </xf>
    <xf numFmtId="175" fontId="43" fillId="0" borderId="99" xfId="0" applyNumberFormat="1" applyFont="1" applyBorder="1" applyAlignment="1">
      <alignment horizontal="right" vertical="center"/>
    </xf>
    <xf numFmtId="0" fontId="88" fillId="64" borderId="0" xfId="0" applyFont="1" applyFill="1" applyAlignment="1">
      <alignment horizontal="center" vertical="center"/>
    </xf>
    <xf numFmtId="0" fontId="92" fillId="65" borderId="197" xfId="0" applyFont="1" applyFill="1" applyBorder="1" applyAlignment="1">
      <alignment horizontal="right" vertical="center"/>
    </xf>
  </cellXfs>
  <cellStyles count="9">
    <cellStyle name="20% — акцент1" xfId="8" builtinId="30"/>
    <cellStyle name="Вывод" xfId="5" builtinId="21"/>
    <cellStyle name="Денежный" xfId="1" builtinId="4"/>
    <cellStyle name="Контрольная ячейка" xfId="6" builtinId="23"/>
    <cellStyle name="Нейтральный" xfId="4" builtinId="28"/>
    <cellStyle name="Обычный" xfId="0" builtinId="0"/>
    <cellStyle name="Плохой" xfId="3" builtinId="27"/>
    <cellStyle name="Примечание" xfId="7" builtinId="10"/>
    <cellStyle name="Хороший" xfId="2" builtinId="26"/>
  </cellStyles>
  <dxfs count="198"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FFFF"/>
        </patternFill>
      </fill>
    </dxf>
    <dxf>
      <font>
        <b/>
        <i val="0"/>
        <color rgb="FF37474F"/>
      </font>
      <fill>
        <patternFill patternType="solid">
          <fgColor indexed="64"/>
          <bgColor rgb="FFE0E0E0"/>
        </patternFill>
      </fill>
    </dxf>
    <dxf>
      <font>
        <b/>
        <i val="0"/>
        <color rgb="FFBF360C"/>
      </font>
      <fill>
        <patternFill patternType="solid">
          <fgColor indexed="64"/>
          <bgColor rgb="FFFFCCBC"/>
        </patternFill>
      </fill>
    </dxf>
    <dxf>
      <font>
        <b/>
        <i val="0"/>
        <color rgb="FF1B5E20"/>
      </font>
      <fill>
        <patternFill patternType="solid">
          <fgColor indexed="64"/>
          <bgColor rgb="FFC8E6C9"/>
        </patternFill>
      </fill>
    </dxf>
    <dxf>
      <font>
        <b/>
        <i val="0"/>
        <color rgb="FF311B92"/>
      </font>
      <fill>
        <patternFill patternType="solid">
          <fgColor indexed="64"/>
          <bgColor rgb="FFD1C4E9"/>
        </patternFill>
      </fill>
    </dxf>
    <dxf>
      <font>
        <b/>
        <i val="0"/>
        <color rgb="FF311B92"/>
      </font>
      <fill>
        <patternFill patternType="solid">
          <fgColor indexed="64"/>
          <bgColor rgb="FFD1C4E9"/>
        </patternFill>
      </fill>
    </dxf>
    <dxf>
      <font>
        <b/>
        <i val="0"/>
        <color rgb="FF01579B"/>
      </font>
      <fill>
        <patternFill patternType="solid">
          <fgColor indexed="64"/>
          <bgColor rgb="FFB3E5FC"/>
        </patternFill>
      </fill>
    </dxf>
    <dxf>
      <font>
        <b/>
        <i val="0"/>
        <color rgb="FF01579B"/>
      </font>
      <fill>
        <patternFill patternType="solid">
          <fgColor indexed="64"/>
          <bgColor rgb="FFB3E5FC"/>
        </patternFill>
      </fill>
    </dxf>
    <dxf>
      <font>
        <b/>
        <i val="0"/>
        <color rgb="FFFF6F00"/>
      </font>
      <fill>
        <patternFill patternType="solid">
          <fgColor indexed="64"/>
          <bgColor rgb="FFFFE082"/>
        </patternFill>
      </fill>
    </dxf>
    <dxf>
      <font>
        <b/>
        <i val="0"/>
        <color rgb="FFFF6F00"/>
      </font>
      <fill>
        <patternFill patternType="solid">
          <fgColor indexed="64"/>
          <bgColor rgb="FFFFE082"/>
        </patternFill>
      </fill>
    </dxf>
    <dxf>
      <font>
        <b/>
        <i val="0"/>
        <color rgb="FFFFB300"/>
      </font>
      <fill>
        <patternFill patternType="solid">
          <fgColor indexed="64"/>
          <bgColor rgb="FF263238"/>
        </patternFill>
      </fill>
    </dxf>
    <dxf>
      <fill>
        <patternFill patternType="solid">
          <fgColor indexed="64"/>
          <bgColor rgb="FFF5F7F8"/>
        </patternFill>
      </fill>
    </dxf>
    <dxf>
      <font>
        <color rgb="FFFF0000"/>
      </font>
    </dxf>
    <dxf>
      <fill>
        <patternFill patternType="solid">
          <fgColor indexed="64"/>
          <bgColor rgb="FFF1F8E9"/>
        </patternFill>
      </fill>
    </dxf>
    <dxf>
      <fill>
        <patternFill patternType="solid">
          <fgColor indexed="64"/>
          <bgColor rgb="FFF1F8E9"/>
        </patternFill>
      </fill>
    </dxf>
    <dxf>
      <font>
        <b/>
        <i val="0"/>
        <color rgb="FFBF360C"/>
      </font>
      <fill>
        <patternFill patternType="solid">
          <fgColor indexed="64"/>
          <bgColor rgb="FFFFCC80"/>
        </patternFill>
      </fill>
    </dxf>
    <dxf>
      <font>
        <b/>
        <i val="0"/>
        <color rgb="FF1B5E20"/>
      </font>
      <fill>
        <patternFill patternType="solid">
          <fgColor indexed="64"/>
          <bgColor rgb="FFC8E6C9"/>
        </patternFill>
      </fill>
    </dxf>
    <dxf>
      <font>
        <b/>
        <i val="0"/>
        <color rgb="FFFFD180"/>
      </font>
      <fill>
        <patternFill patternType="solid">
          <fgColor indexed="64"/>
          <bgColor rgb="FF4A148C"/>
        </patternFill>
      </fill>
    </dxf>
    <dxf>
      <fill>
        <patternFill patternType="solid">
          <fgColor indexed="64"/>
          <bgColor rgb="FFF1F8E9"/>
        </patternFill>
      </fill>
    </dxf>
    <dxf>
      <font>
        <b val="0"/>
        <i/>
        <color rgb="FFB0BEC5"/>
      </font>
    </dxf>
    <dxf>
      <font>
        <color rgb="FFFF0000"/>
      </font>
    </dxf>
    <dxf>
      <font>
        <b/>
        <i val="0"/>
        <color rgb="FF0D2C54"/>
      </font>
      <fill>
        <patternFill patternType="solid">
          <fgColor indexed="64"/>
          <bgColor rgb="FFFFD700"/>
        </patternFill>
      </fill>
    </dxf>
    <dxf>
      <font>
        <b/>
        <i val="0"/>
        <color rgb="FF880E4F"/>
      </font>
      <fill>
        <patternFill patternType="solid">
          <fgColor indexed="64"/>
          <bgColor rgb="FFF8BBD0"/>
        </patternFill>
      </fill>
    </dxf>
    <dxf>
      <font>
        <b/>
        <i val="0"/>
        <color rgb="FF1B5E20"/>
      </font>
      <fill>
        <patternFill patternType="solid">
          <fgColor indexed="64"/>
          <bgColor rgb="FFC8E6C9"/>
        </patternFill>
      </fill>
    </dxf>
    <dxf>
      <font>
        <b/>
        <i val="0"/>
        <color rgb="FFE65100"/>
      </font>
      <fill>
        <patternFill patternType="solid">
          <fgColor indexed="64"/>
          <bgColor rgb="FFFFE0B2"/>
        </patternFill>
      </fill>
    </dxf>
    <dxf>
      <fill>
        <patternFill patternType="solid">
          <fgColor indexed="64"/>
          <bgColor rgb="FFF5F7FA"/>
        </patternFill>
      </fill>
    </dxf>
    <dxf>
      <fill>
        <patternFill patternType="solid">
          <fgColor indexed="64"/>
          <bgColor rgb="FFECEFF1"/>
        </patternFill>
      </fill>
    </dxf>
    <dxf>
      <fill>
        <patternFill patternType="solid">
          <fgColor indexed="64"/>
          <bgColor rgb="FFECEFF1"/>
        </patternFill>
      </fill>
    </dxf>
    <dxf>
      <font>
        <b/>
        <i val="0"/>
        <color rgb="FFE65100"/>
      </font>
      <fill>
        <patternFill patternType="solid">
          <fgColor indexed="64"/>
          <bgColor rgb="FFFFE082"/>
        </patternFill>
      </fill>
    </dxf>
    <dxf>
      <font>
        <b/>
        <i val="0"/>
        <color rgb="FFBF360C"/>
      </font>
      <fill>
        <patternFill patternType="solid">
          <fgColor indexed="64"/>
          <bgColor rgb="FFFFCCBC"/>
        </patternFill>
      </fill>
    </dxf>
    <dxf>
      <font>
        <b/>
        <i val="0"/>
        <color rgb="FFFFD180"/>
      </font>
      <fill>
        <patternFill patternType="solid">
          <fgColor indexed="64"/>
          <bgColor rgb="FF263238"/>
        </patternFill>
      </fill>
    </dxf>
    <dxf>
      <fill>
        <patternFill patternType="solid">
          <fgColor indexed="64"/>
          <bgColor rgb="FFECEFF1"/>
        </patternFill>
      </fill>
    </dxf>
    <dxf>
      <font>
        <b/>
        <i val="0"/>
        <color rgb="FFBF360C"/>
      </font>
      <fill>
        <patternFill patternType="solid">
          <fgColor indexed="64"/>
          <bgColor rgb="FFFFE0B2"/>
        </patternFill>
      </fill>
    </dxf>
    <dxf>
      <font>
        <b/>
        <i val="0"/>
        <color rgb="FFFFFFFF"/>
      </font>
      <fill>
        <patternFill patternType="solid">
          <fgColor indexed="64"/>
          <bgColor rgb="FFC62828"/>
        </patternFill>
      </fill>
    </dxf>
    <dxf>
      <fill>
        <patternFill patternType="solid">
          <fgColor indexed="64"/>
          <bgColor rgb="FFFFF8E1"/>
        </patternFill>
      </fill>
    </dxf>
    <dxf>
      <font>
        <b/>
        <i val="0"/>
        <color rgb="FFFFFFFF"/>
      </font>
      <fill>
        <patternFill patternType="solid">
          <fgColor indexed="64"/>
          <bgColor rgb="FFC62828"/>
        </patternFill>
      </fill>
    </dxf>
    <dxf>
      <fill>
        <patternFill patternType="solid">
          <fgColor indexed="64"/>
          <bgColor rgb="FFE8EAF6"/>
        </patternFill>
      </fill>
    </dxf>
    <dxf>
      <font>
        <b/>
        <i val="0"/>
        <color rgb="FFFFFFFF"/>
      </font>
      <fill>
        <patternFill patternType="solid">
          <fgColor indexed="64"/>
          <bgColor rgb="FFC62828"/>
        </patternFill>
      </fill>
    </dxf>
    <dxf>
      <fill>
        <patternFill patternType="solid">
          <fgColor indexed="64"/>
          <bgColor rgb="FFE8EAF6"/>
        </patternFill>
      </fill>
    </dxf>
    <dxf>
      <font>
        <strike/>
        <color rgb="FF9E9E9E"/>
      </font>
      <fill>
        <patternFill patternType="solid">
          <fgColor indexed="64"/>
          <bgColor rgb="FFE0E0E0"/>
        </patternFill>
      </fill>
    </dxf>
    <dxf>
      <font>
        <color rgb="FF9E9E9E"/>
      </font>
      <fill>
        <patternFill patternType="solid">
          <fgColor indexed="64"/>
          <bgColor rgb="FFF5F5F5"/>
        </patternFill>
      </fill>
    </dxf>
    <dxf>
      <font>
        <b/>
        <i val="0"/>
        <color rgb="FFE65100"/>
      </font>
      <fill>
        <patternFill patternType="solid">
          <fgColor indexed="64"/>
          <bgColor rgb="FFFFF9C4"/>
        </patternFill>
      </fill>
    </dxf>
    <dxf>
      <font>
        <b/>
        <i val="0"/>
        <color rgb="FFB71C1C"/>
      </font>
      <fill>
        <patternFill patternType="solid">
          <fgColor indexed="64"/>
          <bgColor rgb="FFFFCDD2"/>
        </patternFill>
      </fill>
    </dxf>
    <dxf>
      <font>
        <sz val="11"/>
        <color rgb="FF999999"/>
        <name val="Arial"/>
        <charset val="1"/>
      </font>
      <fill>
        <patternFill>
          <bgColor rgb="FFF0F0F0"/>
        </patternFill>
      </fill>
    </dxf>
    <dxf>
      <font>
        <sz val="11"/>
        <color rgb="FF999999"/>
        <name val="Arial"/>
        <charset val="1"/>
      </font>
      <fill>
        <patternFill>
          <bgColor rgb="FFF0F0F0"/>
        </patternFill>
      </fill>
    </dxf>
    <dxf>
      <font>
        <sz val="11"/>
        <color rgb="FF999999"/>
        <name val="Arial"/>
        <charset val="1"/>
      </font>
      <fill>
        <patternFill>
          <bgColor rgb="FFF0F0F0"/>
        </patternFill>
      </fill>
    </dxf>
    <dxf>
      <font>
        <sz val="11"/>
        <color rgb="FF999999"/>
        <name val="Arial"/>
        <charset val="1"/>
      </font>
      <fill>
        <patternFill>
          <bgColor rgb="FFF0F0F0"/>
        </patternFill>
      </fill>
    </dxf>
    <dxf>
      <font>
        <sz val="11"/>
        <color rgb="FF999999"/>
        <name val="Arial"/>
        <charset val="1"/>
      </font>
      <fill>
        <patternFill>
          <bgColor rgb="FFF0F0F0"/>
        </patternFill>
      </fill>
    </dxf>
    <dxf>
      <font>
        <sz val="11"/>
        <color rgb="FF999999"/>
        <name val="Arial"/>
        <charset val="1"/>
      </font>
      <fill>
        <patternFill>
          <bgColor rgb="FFF0F0F0"/>
        </patternFill>
      </fill>
    </dxf>
    <dxf>
      <font>
        <sz val="11"/>
        <color rgb="FF999999"/>
        <name val="Arial"/>
        <charset val="1"/>
      </font>
      <fill>
        <patternFill>
          <bgColor rgb="FFF0F0F0"/>
        </patternFill>
      </fill>
    </dxf>
    <dxf>
      <font>
        <sz val="11"/>
        <color rgb="FF999999"/>
        <name val="Arial"/>
        <charset val="1"/>
      </font>
      <fill>
        <patternFill>
          <bgColor rgb="FFF0F0F0"/>
        </patternFill>
      </fill>
    </dxf>
    <dxf>
      <font>
        <sz val="11"/>
        <color rgb="FF999999"/>
        <name val="Arial"/>
        <charset val="1"/>
      </font>
      <fill>
        <patternFill>
          <bgColor rgb="FFF0F0F0"/>
        </patternFill>
      </fill>
    </dxf>
    <dxf>
      <font>
        <sz val="11"/>
        <color rgb="FF999999"/>
        <name val="Arial"/>
        <charset val="1"/>
      </font>
      <fill>
        <patternFill>
          <bgColor rgb="FFF0F0F0"/>
        </patternFill>
      </fill>
    </dxf>
    <dxf>
      <font>
        <b/>
        <i val="0"/>
        <color rgb="FFE65100"/>
      </font>
      <fill>
        <patternFill patternType="solid">
          <fgColor indexed="64"/>
          <bgColor rgb="FFFFE0B2"/>
        </patternFill>
      </fill>
    </dxf>
    <dxf>
      <font>
        <b/>
        <i val="0"/>
        <color rgb="FF004D40"/>
      </font>
      <fill>
        <patternFill patternType="solid">
          <fgColor indexed="64"/>
          <bgColor rgb="FFB2DFDB"/>
        </patternFill>
      </fill>
    </dxf>
    <dxf>
      <fill>
        <patternFill patternType="solid">
          <fgColor indexed="64"/>
          <bgColor rgb="FFE0F2F1"/>
        </patternFill>
      </fill>
    </dxf>
    <dxf>
      <font>
        <b/>
        <i val="0"/>
        <color rgb="FFFFFFFF"/>
      </font>
      <fill>
        <patternFill patternType="solid">
          <fgColor indexed="64"/>
          <bgColor rgb="FF1976D2"/>
        </patternFill>
      </fill>
    </dxf>
    <dxf>
      <fill>
        <patternFill patternType="solid">
          <fgColor indexed="64"/>
          <bgColor rgb="FFF3E5F5"/>
        </patternFill>
      </fill>
    </dxf>
    <dxf>
      <font>
        <b val="0"/>
        <i/>
        <color rgb="FF9E9E9E"/>
      </font>
      <fill>
        <patternFill patternType="solid">
          <fgColor indexed="64"/>
          <bgColor rgb="FFEEEEEE"/>
        </patternFill>
      </fill>
    </dxf>
    <dxf>
      <font>
        <b/>
        <i val="0"/>
        <color rgb="FFFFFFFF"/>
      </font>
      <fill>
        <patternFill patternType="solid">
          <fgColor indexed="64"/>
          <bgColor rgb="FFC62828"/>
        </patternFill>
      </fill>
    </dxf>
    <dxf>
      <fill>
        <patternFill patternType="solid">
          <fgColor indexed="64"/>
          <bgColor rgb="FFF3E5F5"/>
        </patternFill>
      </fill>
    </dxf>
    <dxf>
      <font>
        <b/>
        <i val="0"/>
        <color rgb="FF2E7D32"/>
      </font>
    </dxf>
    <dxf>
      <fill>
        <patternFill patternType="solid">
          <fgColor indexed="64"/>
          <bgColor rgb="FFF3E5F5"/>
        </patternFill>
      </fill>
    </dxf>
    <dxf>
      <fill>
        <patternFill patternType="solid">
          <fgColor indexed="64"/>
          <bgColor rgb="FFF3E5F5"/>
        </patternFill>
      </fill>
    </dxf>
    <dxf>
      <fill>
        <patternFill patternType="solid">
          <fgColor indexed="64"/>
          <bgColor rgb="FFF3E5F5"/>
        </patternFill>
      </fill>
    </dxf>
    <dxf>
      <font>
        <color rgb="FFFF0000"/>
      </font>
    </dxf>
    <dxf>
      <fill>
        <patternFill patternType="solid">
          <fgColor indexed="64"/>
          <bgColor rgb="FFE0F2F1"/>
        </patternFill>
      </fill>
    </dxf>
    <dxf>
      <font>
        <b/>
        <i val="0"/>
        <color rgb="FFFFFFFF"/>
      </font>
      <fill>
        <patternFill patternType="solid">
          <fgColor indexed="64"/>
          <bgColor rgb="FFC62828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fgColor indexed="64"/>
          <bgColor rgb="FFF0FD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880E4F"/>
        <name val="Calibri"/>
        <scheme val="none"/>
      </font>
      <numFmt numFmtId="174" formatCode="#,##0;;\-"/>
      <fill>
        <patternFill patternType="solid">
          <fgColor indexed="64"/>
          <bgColor rgb="FFFCE4EC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C8E6C9"/>
        </left>
        <right/>
        <top style="thin">
          <color rgb="FFC8E6C9"/>
        </top>
        <bottom style="thin">
          <color rgb="FFC8E6C9"/>
        </bottom>
        <vertical style="thin">
          <color rgb="FFC8E6C9"/>
        </vertical>
        <horizontal style="thin">
          <color rgb="FFC8E6C9"/>
        </horizontal>
      </border>
    </dxf>
    <dxf>
      <font>
        <b/>
        <i val="0"/>
        <sz val="11"/>
        <color rgb="FFE65100"/>
        <name val="Calibri"/>
      </font>
      <numFmt numFmtId="176" formatCode="[$$-409]#,##0.00;;\-"/>
      <fill>
        <patternFill patternType="solid">
          <fgColor indexed="64"/>
          <bgColor rgb="FFFFF3E0"/>
        </patternFill>
      </fill>
      <alignment horizontal="right"/>
      <border diagonalUp="0" diagonalDown="0">
        <left style="thin">
          <color rgb="FFC8E6C9"/>
        </left>
        <right style="thin">
          <color rgb="FFC8E6C9"/>
        </right>
        <top style="thin">
          <color rgb="FFC8E6C9"/>
        </top>
        <bottom style="thin">
          <color rgb="FFC8E6C9"/>
        </bottom>
        <vertical style="thin">
          <color rgb="FFC8E6C9"/>
        </vertical>
        <horizontal style="thin">
          <color rgb="FFC8E6C9"/>
        </horizontal>
      </border>
    </dxf>
    <dxf>
      <font>
        <b val="0"/>
        <i val="0"/>
        <sz val="11"/>
        <color rgb="FF006064"/>
        <name val="Calibri"/>
      </font>
      <numFmt numFmtId="175" formatCode="#,##0\ &quot;сум&quot;;;\-"/>
      <fill>
        <patternFill patternType="solid">
          <fgColor indexed="64"/>
          <bgColor rgb="FFE0F7FA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C8E6C9"/>
        </left>
        <right style="thin">
          <color rgb="FFC8E6C9"/>
        </right>
        <top style="thin">
          <color rgb="FFC8E6C9"/>
        </top>
        <bottom style="thin">
          <color rgb="FFC8E6C9"/>
        </bottom>
        <vertical style="thin">
          <color rgb="FFC8E6C9"/>
        </vertical>
        <horizontal style="thin">
          <color rgb="FFC8E6C9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B1B"/>
        <name val="Calibri"/>
        <scheme val="none"/>
      </font>
      <numFmt numFmtId="175" formatCode="#,##0\ &quot;сум&quot;;;\-"/>
      <fill>
        <patternFill patternType="none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C8E6C9"/>
        </left>
        <right style="thin">
          <color rgb="FFC8E6C9"/>
        </right>
        <top style="thin">
          <color rgb="FFC8E6C9"/>
        </top>
        <bottom style="thin">
          <color rgb="FFC8E6C9"/>
        </bottom>
        <vertical style="thin">
          <color rgb="FFC8E6C9"/>
        </vertical>
        <horizontal style="thin">
          <color rgb="FFC8E6C9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B1B"/>
        <name val="Calibri"/>
        <scheme val="none"/>
      </font>
      <numFmt numFmtId="177" formatCode="#,##0.00;;\-"/>
      <fill>
        <patternFill patternType="none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C8E6C9"/>
        </left>
        <right style="thin">
          <color rgb="FFC8E6C9"/>
        </right>
        <top style="thin">
          <color rgb="FFC8E6C9"/>
        </top>
        <bottom style="thin">
          <color rgb="FFC8E6C9"/>
        </bottom>
        <vertical style="thin">
          <color rgb="FFC8E6C9"/>
        </vertical>
        <horizontal style="thin">
          <color rgb="FFC8E6C9"/>
        </horizontal>
      </border>
    </dxf>
    <dxf>
      <font>
        <b/>
        <i val="0"/>
        <sz val="11"/>
        <color rgb="FF4A148C"/>
        <name val="Calibri"/>
      </font>
      <numFmt numFmtId="174" formatCode="#,##0;;\-"/>
      <fill>
        <patternFill patternType="solid">
          <fgColor indexed="64"/>
          <bgColor rgb="FFF3E5F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C8E6C9"/>
        </left>
        <right style="thin">
          <color rgb="FFC8E6C9"/>
        </right>
        <top style="thin">
          <color rgb="FFC8E6C9"/>
        </top>
        <bottom style="thin">
          <color rgb="FFC8E6C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B1B"/>
        <name val="Calibri"/>
        <scheme val="none"/>
      </font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8E6C9"/>
        </left>
        <right style="thin">
          <color rgb="FFC8E6C9"/>
        </right>
        <top style="thin">
          <color rgb="FFC8E6C9"/>
        </top>
        <bottom style="thin">
          <color rgb="FFC8E6C9"/>
        </bottom>
        <vertical style="thin">
          <color rgb="FFC8E6C9"/>
        </vertical>
        <horizontal style="thin">
          <color rgb="FFC8E6C9"/>
        </horizontal>
      </border>
    </dxf>
    <dxf>
      <font>
        <b/>
        <i val="0"/>
        <sz val="11"/>
        <color rgb="FF1B5E20"/>
        <name val="Calibri"/>
      </font>
      <numFmt numFmtId="174" formatCode="#,##0;;\-"/>
      <fill>
        <patternFill patternType="solid">
          <fgColor indexed="64"/>
          <bgColor rgb="FFE8F5E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C8E6C9"/>
        </left>
        <right style="thin">
          <color rgb="FFC8E6C9"/>
        </right>
        <top style="thin">
          <color rgb="FFC8E6C9"/>
        </top>
        <bottom style="thin">
          <color rgb="FFC8E6C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B1B"/>
        <name val="Calibri"/>
        <scheme val="none"/>
      </font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8E6C9"/>
        </left>
        <right style="thin">
          <color rgb="FFC8E6C9"/>
        </right>
        <top style="thin">
          <color rgb="FFC8E6C9"/>
        </top>
        <bottom style="thin">
          <color rgb="FFC8E6C9"/>
        </bottom>
        <vertical style="thin">
          <color rgb="FFC8E6C9"/>
        </vertical>
        <horizontal style="thin">
          <color rgb="FFC8E6C9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B1B"/>
        <name val="Calibri"/>
        <scheme val="none"/>
      </font>
      <numFmt numFmtId="174" formatCode="#,##0;;\-"/>
      <fill>
        <patternFill patternType="none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C8E6C9"/>
        </left>
        <right style="thin">
          <color rgb="FFC8E6C9"/>
        </right>
        <top style="thin">
          <color rgb="FFC8E6C9"/>
        </top>
        <bottom style="thin">
          <color rgb="FFC8E6C9"/>
        </bottom>
        <vertical style="thin">
          <color rgb="FFC8E6C9"/>
        </vertical>
        <horizontal style="thin">
          <color rgb="FFC8E6C9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B1B"/>
        <name val="Calibri"/>
        <scheme val="none"/>
      </font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8E6C9"/>
        </left>
        <right style="thin">
          <color rgb="FFC8E6C9"/>
        </right>
        <top style="thin">
          <color rgb="FFC8E6C9"/>
        </top>
        <bottom style="thin">
          <color rgb="FFC8E6C9"/>
        </bottom>
        <vertical style="thin">
          <color rgb="FFC8E6C9"/>
        </vertical>
        <horizontal style="thin">
          <color rgb="FFC8E6C9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B1B"/>
        <name val="Calibri"/>
        <scheme val="none"/>
      </font>
      <numFmt numFmtId="174" formatCode="#,##0;;\-"/>
      <fill>
        <patternFill patternType="none"/>
      </fill>
      <alignment horizontal="center" vertical="center" textRotation="0" wrapText="0" indent="0" justifyLastLine="0" shrinkToFit="0" readingOrder="0"/>
      <border diagonalUp="0" diagonalDown="0" outline="0">
        <left style="thin">
          <color rgb="FFC8E6C9"/>
        </left>
        <right style="thin">
          <color rgb="FFC8E6C9"/>
        </right>
        <top style="thin">
          <color rgb="FFC8E6C9"/>
        </top>
        <bottom style="thin">
          <color rgb="FFC8E6C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B1B"/>
        <name val="Calibri"/>
        <scheme val="none"/>
      </font>
      <fill>
        <patternFill patternType="none"/>
      </fill>
      <alignment horizontal="center" vertical="center" textRotation="0" wrapText="0" indent="0" justifyLastLine="0" shrinkToFit="0" readingOrder="0"/>
      <border diagonalUp="0" diagonalDown="0">
        <left style="thin">
          <color rgb="FFC8E6C9"/>
        </left>
        <right style="thin">
          <color rgb="FFC8E6C9"/>
        </right>
        <top style="thin">
          <color rgb="FFC8E6C9"/>
        </top>
        <bottom style="thin">
          <color rgb="FFC8E6C9"/>
        </bottom>
        <vertical style="thin">
          <color rgb="FFC8E6C9"/>
        </vertical>
        <horizontal style="thin">
          <color rgb="FFC8E6C9"/>
        </horizontal>
      </border>
    </dxf>
    <dxf>
      <font>
        <b val="0"/>
        <i val="0"/>
        <sz val="11"/>
        <color rgb="FF1B1B1B"/>
        <name val="Calibri"/>
      </font>
      <fill>
        <patternFill patternType="none"/>
      </fill>
      <alignment horizontal="center" vertical="bottom" textRotation="0" wrapText="0" indent="0" justifyLastLine="0" shrinkToFit="0" readingOrder="0"/>
      <border diagonalUp="0" diagonalDown="0">
        <left style="thin">
          <color rgb="FFC8E6C9"/>
        </left>
        <right style="thin">
          <color rgb="FFC8E6C9"/>
        </right>
        <top style="thin">
          <color rgb="FFC8E6C9"/>
        </top>
        <bottom style="thin">
          <color rgb="FFC8E6C9"/>
        </bottom>
        <vertical style="thin">
          <color rgb="FFC8E6C9"/>
        </vertical>
        <horizontal style="thin">
          <color rgb="FFC8E6C9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B1B"/>
        <name val="Calibri"/>
        <scheme val="none"/>
      </font>
      <numFmt numFmtId="169" formatCode="dd\.mm\.yyyy"/>
      <fill>
        <patternFill patternType="none"/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C8E6C9"/>
        </right>
        <top style="thin">
          <color rgb="FFC8E6C9"/>
        </top>
        <bottom style="thin">
          <color rgb="FFC8E6C9"/>
        </bottom>
        <vertical style="thin">
          <color rgb="FFC8E6C9"/>
        </vertical>
        <horizontal style="thin">
          <color rgb="FFC8E6C9"/>
        </horizontal>
      </border>
    </dxf>
    <dxf>
      <border>
        <top style="thin">
          <color rgb="FFC8E6C9"/>
        </top>
      </border>
    </dxf>
    <dxf>
      <border diagonalUp="0" diagonalDown="0">
        <left style="medium">
          <color rgb="FF1B5E20"/>
        </left>
        <right style="medium">
          <color rgb="FF1B5E20"/>
        </right>
        <top style="medium">
          <color rgb="FF1B5E20"/>
        </top>
        <bottom style="medium">
          <color rgb="FF1B5E2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B1B"/>
        <name val="Calibri"/>
        <scheme val="none"/>
      </font>
      <fill>
        <patternFill patternType="none"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border>
        <bottom style="thick">
          <color rgb="FFEF6C00"/>
        </bottom>
      </border>
    </dxf>
    <dxf>
      <font>
        <b/>
        <i val="0"/>
        <sz val="12"/>
        <color rgb="FFFFECB3"/>
        <name val="Calibri"/>
      </font>
      <fill>
        <patternFill patternType="solid">
          <fgColor indexed="64"/>
          <bgColor rgb="FF1B5E2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C8E6C9"/>
        </left>
        <right style="thin">
          <color rgb="FFC8E6C9"/>
        </right>
        <top/>
        <bottom/>
        <vertical style="thin">
          <color rgb="FFC8E6C9"/>
        </vertical>
        <horizontal style="thin">
          <color rgb="FFC8E6C9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D47A1"/>
        <name val="Calibri"/>
        <family val="2"/>
        <scheme val="minor"/>
      </font>
      <numFmt numFmtId="176" formatCode="[$$-409]#,##0.00;;\-"/>
      <fill>
        <patternFill patternType="solid">
          <fgColor indexed="64"/>
          <bgColor rgb="FFE3F2FD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B0BEC5"/>
        </left>
        <right/>
        <top style="thin">
          <color rgb="FFB0BEC5"/>
        </top>
        <bottom style="thin">
          <color rgb="FFB0BE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D1B2A"/>
        <name val="Calibri"/>
        <family val="2"/>
        <scheme val="minor"/>
      </font>
      <numFmt numFmtId="176" formatCode="[$$-409]#,##0.00;;\-"/>
      <fill>
        <patternFill patternType="solid">
          <fgColor indexed="64"/>
          <bgColor rgb="FFE3F2FD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B0BEC5"/>
        </left>
        <right style="thin">
          <color rgb="FFB0BEC5"/>
        </right>
        <top style="thin">
          <color rgb="FFB0BEC5"/>
        </top>
        <bottom style="thin">
          <color rgb="FFB0BEC5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8D6E00"/>
        <name val="Calibri"/>
        <family val="2"/>
        <scheme val="minor"/>
      </font>
      <numFmt numFmtId="175" formatCode="#,##0\ &quot;сум&quot;;;\-"/>
      <fill>
        <patternFill patternType="solid">
          <fgColor indexed="64"/>
          <bgColor rgb="FFFFF8E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B0BEC5"/>
        </left>
        <right style="thin">
          <color rgb="FFB0BEC5"/>
        </right>
        <top style="thin">
          <color rgb="FFB0BEC5"/>
        </top>
        <bottom style="thin">
          <color rgb="FFB0BE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D1B2A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B0BEC5"/>
        </left>
        <right style="thin">
          <color rgb="FFB0BEC5"/>
        </right>
        <top style="thin">
          <color rgb="FFB0BEC5"/>
        </top>
        <bottom style="thin">
          <color rgb="FFB0BEC5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D2C54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B0BEC5"/>
        </left>
        <right style="thin">
          <color rgb="FFB0BEC5"/>
        </right>
        <top style="thin">
          <color rgb="FFB0BEC5"/>
        </top>
        <bottom style="thin">
          <color rgb="FFB0BE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D1B2A"/>
        <name val="Calibri"/>
        <family val="2"/>
        <scheme val="minor"/>
      </font>
      <numFmt numFmtId="169" formatCode="dd\.mm\.yyyy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rgb="FFB0BEC5"/>
        </right>
        <top style="thin">
          <color rgb="FFB0BEC5"/>
        </top>
        <bottom style="thin">
          <color rgb="FFB0BEC5"/>
        </bottom>
        <vertical/>
        <horizontal/>
      </border>
    </dxf>
    <dxf>
      <border outline="0">
        <left style="medium">
          <color rgb="FF0D2C54"/>
        </left>
        <right style="medium">
          <color rgb="FF0D2C54"/>
        </right>
        <top style="thick">
          <color rgb="FFFFC107"/>
        </top>
        <bottom style="medium">
          <color rgb="FF0D2C54"/>
        </bottom>
      </border>
    </dxf>
    <dxf>
      <border outline="0">
        <bottom style="thin">
          <color rgb="FFB0BEC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A148C"/>
        <name val="Calibri"/>
        <scheme val="none"/>
      </font>
      <numFmt numFmtId="174" formatCode="#,##0;;\-"/>
      <fill>
        <patternFill patternType="solid">
          <fgColor indexed="64"/>
          <bgColor rgb="FFF3E5F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CFD8DC"/>
        </left>
        <right/>
        <top style="thin">
          <color rgb="FFCFD8DC"/>
        </top>
        <bottom style="thin">
          <color rgb="FFCFD8DC"/>
        </bottom>
        <vertical style="thin">
          <color rgb="FFCFD8DC"/>
        </vertical>
        <horizontal style="thin">
          <color rgb="FFCFD8DC"/>
        </horizontal>
      </border>
    </dxf>
    <dxf>
      <font>
        <b/>
        <i val="0"/>
        <sz val="11"/>
        <color rgb="FFE65100"/>
        <name val="Calibri"/>
      </font>
      <numFmt numFmtId="176" formatCode="[$$-409]#,##0.00;;\-"/>
      <fill>
        <patternFill patternType="solid">
          <fgColor indexed="64"/>
          <bgColor rgb="FFFFF8E1"/>
        </patternFill>
      </fill>
      <alignment horizontal="right"/>
      <border diagonalUp="0" diagonalDown="0">
        <left style="thin">
          <color rgb="FFCFD8DC"/>
        </left>
        <right style="thin">
          <color rgb="FFCFD8DC"/>
        </right>
        <top style="thin">
          <color rgb="FFCFD8DC"/>
        </top>
        <bottom style="thin">
          <color rgb="FFCFD8DC"/>
        </bottom>
        <vertical style="thin">
          <color rgb="FFCFD8DC"/>
        </vertical>
        <horizontal style="thin">
          <color rgb="FFCFD8DC"/>
        </horizontal>
      </border>
    </dxf>
    <dxf>
      <font>
        <b val="0"/>
        <i val="0"/>
        <sz val="11"/>
        <color rgb="FF01579B"/>
        <name val="Calibri"/>
      </font>
      <numFmt numFmtId="175" formatCode="#,##0\ &quot;сум&quot;;;\-"/>
      <fill>
        <patternFill patternType="solid">
          <fgColor indexed="64"/>
          <bgColor rgb="FFE1F5FE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CFD8DC"/>
        </left>
        <right style="thin">
          <color rgb="FFCFD8DC"/>
        </right>
        <top style="thin">
          <color rgb="FFCFD8DC"/>
        </top>
        <bottom style="thin">
          <color rgb="FFCFD8DC"/>
        </bottom>
        <vertical style="thin">
          <color rgb="FFCFD8DC"/>
        </vertical>
        <horizontal style="thin">
          <color rgb="FFCFD8DC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12121"/>
        <name val="Calibri"/>
        <scheme val="none"/>
      </font>
      <numFmt numFmtId="175" formatCode="#,##0\ &quot;сум&quot;;;\-"/>
      <fill>
        <patternFill patternType="none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CFD8DC"/>
        </left>
        <right style="thin">
          <color rgb="FFCFD8DC"/>
        </right>
        <top style="thin">
          <color rgb="FFCFD8DC"/>
        </top>
        <bottom style="thin">
          <color rgb="FFCFD8DC"/>
        </bottom>
        <vertical style="thin">
          <color rgb="FFCFD8DC"/>
        </vertical>
        <horizontal style="thin">
          <color rgb="FFCFD8DC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12121"/>
        <name val="Calibri"/>
        <scheme val="none"/>
      </font>
      <numFmt numFmtId="177" formatCode="#,##0.00;;\-"/>
      <fill>
        <patternFill patternType="none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CFD8DC"/>
        </left>
        <right style="thin">
          <color rgb="FFCFD8DC"/>
        </right>
        <top style="thin">
          <color rgb="FFCFD8DC"/>
        </top>
        <bottom style="thin">
          <color rgb="FFCFD8DC"/>
        </bottom>
        <vertical style="thin">
          <color rgb="FFCFD8DC"/>
        </vertical>
        <horizontal style="thin">
          <color rgb="FFCFD8DC"/>
        </horizontal>
      </border>
    </dxf>
    <dxf>
      <font>
        <b/>
        <i val="0"/>
        <sz val="11"/>
        <color rgb="FFBF360C"/>
        <name val="Calibri"/>
      </font>
      <numFmt numFmtId="174" formatCode="#,##0;;\-"/>
      <fill>
        <patternFill patternType="solid">
          <fgColor indexed="64"/>
          <bgColor rgb="FFFBE9E7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CFD8DC"/>
        </left>
        <right style="thin">
          <color rgb="FFCFD8DC"/>
        </right>
        <top style="thin">
          <color rgb="FFCFD8DC"/>
        </top>
        <bottom style="thin">
          <color rgb="FFCFD8D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12121"/>
        <name val="Calibri"/>
        <scheme val="none"/>
      </font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FD8DC"/>
        </left>
        <right style="thin">
          <color rgb="FFCFD8DC"/>
        </right>
        <top style="thin">
          <color rgb="FFCFD8DC"/>
        </top>
        <bottom style="thin">
          <color rgb="FFCFD8DC"/>
        </bottom>
        <vertical style="thin">
          <color rgb="FFCFD8DC"/>
        </vertical>
        <horizontal style="thin">
          <color rgb="FFCFD8DC"/>
        </horizontal>
      </border>
    </dxf>
    <dxf>
      <font>
        <b/>
        <i val="0"/>
        <sz val="11"/>
        <color rgb="FF33691E"/>
        <name val="Calibri"/>
      </font>
      <numFmt numFmtId="174" formatCode="#,##0;;\-"/>
      <fill>
        <patternFill patternType="solid">
          <fgColor indexed="64"/>
          <bgColor rgb="FFF1F8E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CFD8DC"/>
        </left>
        <right style="thin">
          <color rgb="FFCFD8DC"/>
        </right>
        <top style="thin">
          <color rgb="FFCFD8DC"/>
        </top>
        <bottom style="thin">
          <color rgb="FFCFD8D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12121"/>
        <name val="Calibri"/>
        <scheme val="none"/>
      </font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FD8DC"/>
        </left>
        <right style="thin">
          <color rgb="FFCFD8DC"/>
        </right>
        <top style="thin">
          <color rgb="FFCFD8DC"/>
        </top>
        <bottom style="thin">
          <color rgb="FFCFD8DC"/>
        </bottom>
        <vertical style="thin">
          <color rgb="FFCFD8DC"/>
        </vertical>
        <horizontal style="thin">
          <color rgb="FFCFD8DC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12121"/>
        <name val="Calibri"/>
        <scheme val="none"/>
      </font>
      <numFmt numFmtId="174" formatCode="#,##0;;\-"/>
      <fill>
        <patternFill patternType="none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CFD8DC"/>
        </left>
        <right style="thin">
          <color rgb="FFCFD8DC"/>
        </right>
        <top style="thin">
          <color rgb="FFCFD8DC"/>
        </top>
        <bottom style="thin">
          <color rgb="FFCFD8DC"/>
        </bottom>
        <vertical style="thin">
          <color rgb="FFCFD8DC"/>
        </vertical>
        <horizontal style="thin">
          <color rgb="FFCFD8DC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12121"/>
        <name val="Calibri"/>
        <scheme val="none"/>
      </font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FD8DC"/>
        </left>
        <right style="thin">
          <color rgb="FFCFD8DC"/>
        </right>
        <top style="thin">
          <color rgb="FFCFD8DC"/>
        </top>
        <bottom style="thin">
          <color rgb="FFCFD8DC"/>
        </bottom>
        <vertical style="thin">
          <color rgb="FFCFD8DC"/>
        </vertical>
        <horizontal style="thin">
          <color rgb="FFCFD8DC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12121"/>
        <name val="Calibri"/>
        <scheme val="none"/>
      </font>
      <numFmt numFmtId="174" formatCode="#,##0;;\-"/>
      <fill>
        <patternFill patternType="none"/>
      </fill>
      <alignment horizontal="center" vertical="center" textRotation="0" wrapText="0" indent="0" justifyLastLine="0" shrinkToFit="0" readingOrder="0"/>
      <border diagonalUp="0" diagonalDown="0" outline="0">
        <left style="thin">
          <color rgb="FFCFD8DC"/>
        </left>
        <right style="thin">
          <color rgb="FFCFD8DC"/>
        </right>
        <top style="thin">
          <color rgb="FFCFD8DC"/>
        </top>
        <bottom style="thin">
          <color rgb="FFCFD8D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12121"/>
        <name val="Calibri"/>
        <scheme val="none"/>
      </font>
      <fill>
        <patternFill patternType="none"/>
      </fill>
      <alignment horizontal="center" vertical="center" textRotation="0" wrapText="0" indent="0" justifyLastLine="0" shrinkToFit="0" readingOrder="0"/>
      <border diagonalUp="0" diagonalDown="0">
        <left style="thin">
          <color rgb="FFCFD8DC"/>
        </left>
        <right style="thin">
          <color rgb="FFCFD8DC"/>
        </right>
        <top style="thin">
          <color rgb="FFCFD8DC"/>
        </top>
        <bottom style="thin">
          <color rgb="FFCFD8DC"/>
        </bottom>
        <vertical style="thin">
          <color rgb="FFCFD8DC"/>
        </vertical>
        <horizontal style="thin">
          <color rgb="FFCFD8DC"/>
        </horizontal>
      </border>
    </dxf>
    <dxf>
      <font>
        <b val="0"/>
        <i val="0"/>
        <sz val="11"/>
        <color rgb="FF212121"/>
        <name val="Calibri"/>
      </font>
      <fill>
        <patternFill patternType="none"/>
      </fill>
      <alignment horizontal="center" vertical="bottom" textRotation="0" wrapText="0" indent="0" justifyLastLine="0" shrinkToFit="0" readingOrder="0"/>
      <border diagonalUp="0" diagonalDown="0">
        <left style="thin">
          <color rgb="FFCFD8DC"/>
        </left>
        <right style="thin">
          <color rgb="FFCFD8DC"/>
        </right>
        <top style="thin">
          <color rgb="FFCFD8DC"/>
        </top>
        <bottom style="thin">
          <color rgb="FFCFD8DC"/>
        </bottom>
        <vertical style="thin">
          <color rgb="FFCFD8DC"/>
        </vertical>
        <horizontal style="thin">
          <color rgb="FFCFD8DC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12121"/>
        <name val="Calibri"/>
        <scheme val="none"/>
      </font>
      <numFmt numFmtId="169" formatCode="dd\.mm\.yyyy"/>
      <fill>
        <patternFill patternType="none"/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CFD8DC"/>
        </right>
        <top style="thin">
          <color rgb="FFCFD8DC"/>
        </top>
        <bottom style="thin">
          <color rgb="FFCFD8DC"/>
        </bottom>
        <vertical style="thin">
          <color rgb="FFCFD8DC"/>
        </vertical>
        <horizontal style="thin">
          <color rgb="FFCFD8DC"/>
        </horizontal>
      </border>
    </dxf>
    <dxf>
      <border>
        <top style="thin">
          <color rgb="FFCFD8DC"/>
        </top>
      </border>
    </dxf>
    <dxf>
      <border diagonalUp="0" diagonalDown="0">
        <left style="medium">
          <color rgb="FF37474F"/>
        </left>
        <right style="medium">
          <color rgb="FF37474F"/>
        </right>
        <top style="medium">
          <color rgb="FF37474F"/>
        </top>
        <bottom style="medium">
          <color rgb="FF37474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12121"/>
        <name val="Calibri"/>
        <scheme val="none"/>
      </font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>
        <bottom style="thick">
          <color rgb="FFE64A19"/>
        </bottom>
      </border>
    </dxf>
    <dxf>
      <font>
        <b/>
        <i val="0"/>
        <sz val="12"/>
        <color rgb="FFFFFFFF"/>
        <name val="Calibri"/>
      </font>
      <fill>
        <patternFill patternType="solid">
          <fgColor indexed="64"/>
          <bgColor rgb="FF37474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CFD8DC"/>
        </left>
        <right style="thin">
          <color rgb="FFCFD8DC"/>
        </right>
        <top/>
        <bottom/>
        <vertical style="thin">
          <color rgb="FFCFD8DC"/>
        </vertical>
        <horizontal style="thin">
          <color rgb="FFCFD8DC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B0BEC5"/>
        </left>
        <right/>
        <top style="thin">
          <color rgb="FFB0BEC5"/>
        </top>
        <bottom style="thin">
          <color rgb="FFB0BE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68" formatCode="[$$-409]#,##0.00;[Red]\-[$$-409]#,##0.00;&quot;-&quot;"/>
      <fill>
        <patternFill patternType="solid">
          <fgColor theme="4" tint="0.79998168889431442"/>
          <bgColor theme="4" tint="0.79998168889431442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B0BEC5"/>
        </left>
        <right style="thin">
          <color rgb="FFB0BEC5"/>
        </right>
        <top/>
        <bottom style="thin">
          <color rgb="FFB0BE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70" formatCode="#,##0&quot; сум&quot;"/>
      <alignment horizontal="right" vertical="center" textRotation="0" wrapText="0" indent="0" justifyLastLine="0" shrinkToFit="0" readingOrder="0"/>
      <border diagonalUp="0" diagonalDown="0">
        <left style="thin">
          <color rgb="FFB0BEC5"/>
        </left>
        <right style="thin">
          <color rgb="FFB0BEC5"/>
        </right>
        <top style="thin">
          <color rgb="FFB0BEC5"/>
        </top>
        <bottom style="thin">
          <color rgb="FFB0BE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70" formatCode="#,##0&quot; сум&quot;"/>
      <alignment horizontal="right" vertical="center" textRotation="0" wrapText="0" indent="0" justifyLastLine="0" shrinkToFit="0" readingOrder="0"/>
      <border diagonalUp="0" diagonalDown="0">
        <left style="thin">
          <color rgb="FFB0BEC5"/>
        </left>
        <right style="thin">
          <color rgb="FFB0BEC5"/>
        </right>
        <top style="thin">
          <color rgb="FFB0BEC5"/>
        </top>
        <bottom style="thin">
          <color rgb="FFB0BE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0" formatCode="General"/>
      <alignment horizontal="right" vertical="center" textRotation="0" wrapText="0" indent="0" justifyLastLine="0" shrinkToFit="0" readingOrder="0"/>
      <border diagonalUp="0" diagonalDown="0">
        <left style="thin">
          <color rgb="FFB0BEC5"/>
        </left>
        <right style="thin">
          <color rgb="FFB0BEC5"/>
        </right>
        <top style="thin">
          <color rgb="FFB0BEC5"/>
        </top>
        <bottom style="thin">
          <color rgb="FFB0BE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0BEC5"/>
        </left>
        <right style="thin">
          <color rgb="FFB0BEC5"/>
        </right>
        <top style="thin">
          <color rgb="FFB0BEC5"/>
        </top>
        <bottom style="thin">
          <color rgb="FFB0BE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rgb="FFB0BEC5"/>
        </left>
        <right style="thin">
          <color rgb="FFB0BEC5"/>
        </right>
        <top style="thin">
          <color rgb="FFB0BEC5"/>
        </top>
        <bottom style="thin">
          <color rgb="FFB0BE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9" formatCode="dd\.mm\.yyyy"/>
      <alignment horizontal="center" vertical="center" textRotation="0" wrapText="0" indent="0" justifyLastLine="0" shrinkToFit="0" readingOrder="0"/>
      <border diagonalUp="0" diagonalDown="0">
        <left/>
        <right style="thin">
          <color rgb="FFB0BEC5"/>
        </right>
        <top style="thin">
          <color rgb="FFB0BEC5"/>
        </top>
        <bottom style="thin">
          <color rgb="FFB0BEC5"/>
        </bottom>
        <vertical/>
        <horizontal/>
      </border>
    </dxf>
    <dxf>
      <border outline="0">
        <left style="medium">
          <color rgb="FF0F6E7A"/>
        </left>
        <right style="medium">
          <color rgb="FF0F6E7A"/>
        </right>
        <top style="medium">
          <color rgb="FF0F6E7A"/>
        </top>
      </border>
    </dxf>
    <dxf>
      <border outline="0">
        <bottom style="medium">
          <color rgb="FF0F6E7A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0F6E7A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0BEC5"/>
        </left>
        <right style="thin">
          <color rgb="FFB0BEC5"/>
        </right>
        <top/>
        <bottom/>
      </border>
    </dxf>
    <dxf>
      <border outline="0">
        <top style="thin">
          <color rgb="FF8EA9DB"/>
        </top>
      </border>
    </dxf>
    <dxf>
      <border outline="0">
        <left style="medium">
          <color rgb="FF1F4E78"/>
        </left>
        <right style="medium">
          <color rgb="FF1F4E78"/>
        </right>
        <top style="medium">
          <color rgb="FF1F4E78"/>
        </top>
        <bottom style="medium">
          <color rgb="FF1F4E78"/>
        </bottom>
      </border>
    </dxf>
    <dxf>
      <border outline="0">
        <bottom style="thin">
          <color rgb="FF8EA9DB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8EA9DB"/>
        </left>
        <right style="thin">
          <color rgb="FF8EA9DB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[$$-409]* #,##0.00_ ;_-[$$-409]* \-#,##0.00\ ;_-[$$-409]* &quot;-&quot;??_ ;_-@_ "/>
      <border diagonalUp="0" diagonalDown="0">
        <left style="thin">
          <color rgb="FFBDBDBD"/>
        </left>
        <right/>
        <top style="thin">
          <color rgb="FFBDBDBD"/>
        </top>
        <bottom style="thin">
          <color rgb="FFBDBDBD"/>
        </bottom>
        <vertical style="thin">
          <color rgb="FFBDBDBD"/>
        </vertical>
        <horizontal style="thin">
          <color rgb="FFBDBDBD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[$$-409]* #,##0.00_ ;_-[$$-409]* \-#,##0.00\ ;_-[$$-409]* &quot;-&quot;??_ ;_-@_ 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 style="thin">
          <color rgb="FFBDBDBD"/>
        </vertical>
        <horizontal style="thin">
          <color rgb="FFBDBDBD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[$$-409]* #,##0.00_ ;_-[$$-409]* \-#,##0.00\ ;_-[$$-409]* &quot;-&quot;??_ ;_-@_ 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 style="thin">
          <color rgb="FFBDBDBD"/>
        </vertical>
        <horizontal style="thin">
          <color rgb="FFBDBDBD"/>
        </horizontal>
      </border>
    </dxf>
    <dxf>
      <numFmt numFmtId="166" formatCode="_-[$$-409]* #,##0.00_ ;_-[$$-409]* \-#,##0.00\ ;_-[$$-409]* &quot;-&quot;??_ ;_-@_ 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 style="thin">
          <color rgb="FFBDBDBD"/>
        </vertical>
        <horizontal style="thin">
          <color rgb="FFBDBDBD"/>
        </horizontal>
      </border>
    </dxf>
    <dxf>
      <numFmt numFmtId="166" formatCode="_-[$$-409]* #,##0.00_ ;_-[$$-409]* \-#,##0.00\ ;_-[$$-409]* &quot;-&quot;??_ ;_-@_ 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 style="thin">
          <color rgb="FFBDBDBD"/>
        </vertical>
        <horizontal style="thin">
          <color rgb="FFBDBDBD"/>
        </horizontal>
      </border>
    </dxf>
    <dxf>
      <border diagonalUp="0" diagonalDown="0">
        <left/>
        <right style="thin">
          <color rgb="FFBDBDBD"/>
        </right>
        <top style="thin">
          <color rgb="FFBDBDBD"/>
        </top>
        <bottom style="thin">
          <color rgb="FFBDBDBD"/>
        </bottom>
        <vertical style="thin">
          <color rgb="FFBDBDBD"/>
        </vertical>
        <horizontal style="thin">
          <color rgb="FFBDBDBD"/>
        </horizontal>
      </border>
    </dxf>
    <dxf>
      <border>
        <top style="thin">
          <color rgb="FFBDBDBD"/>
        </top>
      </border>
    </dxf>
    <dxf>
      <border diagonalUp="0" diagonalDown="0">
        <left style="medium">
          <color rgb="FF1E6B3A"/>
        </left>
        <right style="medium">
          <color rgb="FF1E6B3A"/>
        </right>
        <top style="medium">
          <color rgb="FF1E6B3A"/>
        </top>
        <bottom style="medium">
          <color rgb="FF1E6B3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>
        <bottom style="medium">
          <color rgb="FF1E6B3A"/>
        </bottom>
      </border>
    </dxf>
    <dxf>
      <font>
        <b/>
        <sz val="11"/>
        <color rgb="FFFFFFFF"/>
        <name val="Calibri"/>
      </font>
      <fill>
        <patternFill patternType="solid">
          <fgColor indexed="64"/>
          <bgColor rgb="FF2E8B57"/>
        </patternFill>
      </fill>
      <alignment horizontal="center" vertical="center"/>
      <border diagonalUp="0" diagonalDown="0">
        <left style="thin">
          <color rgb="FFBDBDBD"/>
        </left>
        <right style="thin">
          <color rgb="FFBDBDBD"/>
        </right>
        <top/>
        <bottom/>
        <vertical style="thin">
          <color rgb="FFBDBDBD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\ _₽_-;\-* #,##0.00\ _₽_-;_-* &quot;-&quot;??\ _₽_-;_-@_-"/>
      <border diagonalUp="0" diagonalDown="0">
        <left style="thin">
          <color rgb="FFBDBDBD"/>
        </left>
        <right/>
        <top style="thin">
          <color rgb="FFBDBDBD"/>
        </top>
        <bottom style="thin">
          <color rgb="FFBDBDBD"/>
        </bottom>
        <vertical style="thin">
          <color rgb="FFBDBDBD"/>
        </vertical>
        <horizontal style="thin">
          <color rgb="FFBDBDBD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\ _₽_-;\-* #,##0.00\ _₽_-;_-* &quot;-&quot;??\ _₽_-;_-@_-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 style="thin">
          <color rgb="FFBDBDBD"/>
        </vertical>
        <horizontal style="thin">
          <color rgb="FFBDBDBD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\ _₽_-;\-* #,##0.00\ _₽_-;_-* &quot;-&quot;??\ _₽_-;_-@_-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 style="thin">
          <color rgb="FFBDBDBD"/>
        </vertical>
        <horizontal style="thin">
          <color rgb="FFBDBDBD"/>
        </horizontal>
      </border>
    </dxf>
    <dxf>
      <numFmt numFmtId="164" formatCode="_-* #,##0.00\ _₽_-;\-* #,##0.00\ _₽_-;_-* &quot;-&quot;??\ _₽_-;_-@_-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 style="thin">
          <color rgb="FFBDBDBD"/>
        </vertical>
        <horizontal style="thin">
          <color rgb="FFBDBDBD"/>
        </horizontal>
      </border>
    </dxf>
    <dxf>
      <numFmt numFmtId="164" formatCode="_-* #,##0.00\ _₽_-;\-* #,##0.00\ _₽_-;_-* &quot;-&quot;??\ _₽_-;_-@_-"/>
      <border diagonalUp="0" diagonalDown="0"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  <vertical style="thin">
          <color rgb="FFBDBDBD"/>
        </vertical>
        <horizontal style="thin">
          <color rgb="FFBDBDBD"/>
        </horizontal>
      </border>
    </dxf>
    <dxf>
      <border diagonalUp="0" diagonalDown="0">
        <left/>
        <right style="thin">
          <color rgb="FFBDBDBD"/>
        </right>
        <top style="thin">
          <color rgb="FFBDBDBD"/>
        </top>
        <bottom style="thin">
          <color rgb="FFBDBDBD"/>
        </bottom>
        <vertical style="thin">
          <color rgb="FFBDBDBD"/>
        </vertical>
        <horizontal style="thin">
          <color rgb="FFBDBDBD"/>
        </horizontal>
      </border>
    </dxf>
    <dxf>
      <border>
        <top style="thin">
          <color rgb="FFBDBDBD"/>
        </top>
      </border>
    </dxf>
    <dxf>
      <border diagonalUp="0" diagonalDown="0">
        <left style="medium">
          <color rgb="FF1E6B3A"/>
        </left>
        <right style="medium">
          <color rgb="FF1E6B3A"/>
        </right>
        <top style="medium">
          <color rgb="FF1E6B3A"/>
        </top>
        <bottom style="medium">
          <color rgb="FF1E6B3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>
        <bottom style="medium">
          <color rgb="FF1E6B3A"/>
        </bottom>
      </border>
    </dxf>
    <dxf>
      <font>
        <b/>
        <sz val="11"/>
        <color rgb="FFFFFFFF"/>
        <name val="Calibri"/>
      </font>
      <fill>
        <patternFill patternType="solid">
          <fgColor indexed="64"/>
          <bgColor rgb="FF2E8B57"/>
        </patternFill>
      </fill>
      <alignment horizontal="center" vertical="center"/>
      <border diagonalUp="0" diagonalDown="0">
        <left style="thin">
          <color rgb="FFBDBDBD"/>
        </left>
        <right style="thin">
          <color rgb="FFBDBDBD"/>
        </right>
        <top/>
        <bottom/>
        <vertical style="thin">
          <color rgb="FFBDBDBD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6" formatCode="[$$-409]#,##0.00;;\-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4" formatCode="#,##0;;\-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5" formatCode="#,##0\ &quot;сум&quot;;;\-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C62828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  <name val="Arial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BBBBB"/>
        </left>
        <right style="thin">
          <color rgb="FFBBBBBB"/>
        </right>
        <top style="thin">
          <color rgb="FFBBBBBB"/>
        </top>
        <bottom style="thin">
          <color rgb="FFBBBBB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  <name val="Arial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BBBBB"/>
        </left>
        <right style="thin">
          <color rgb="FFBBBBBB"/>
        </right>
        <top style="thin">
          <color rgb="FFBBBBBB"/>
        </top>
        <bottom style="thin">
          <color rgb="FFBBBBB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  <name val="Arial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BBBBB"/>
        </left>
        <right style="thin">
          <color rgb="FFBBBBBB"/>
        </right>
        <top style="thin">
          <color rgb="FFBBBBBB"/>
        </top>
        <bottom style="thin">
          <color rgb="FFBBBBB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  <name val="Arial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BBBBB"/>
        </left>
        <right style="thin">
          <color rgb="FFBBBBBB"/>
        </right>
        <top style="thin">
          <color rgb="FFBBBBBB"/>
        </top>
        <bottom style="thin">
          <color rgb="FFBBBBB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  <name val="Arial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BBBBB"/>
        </left>
        <right style="thin">
          <color rgb="FFBBBBBB"/>
        </right>
        <top style="thin">
          <color rgb="FFBBBBBB"/>
        </top>
        <bottom style="thin">
          <color rgb="FFBBBBB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  <name val="Arial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BBBBB"/>
        </left>
        <right style="thin">
          <color rgb="FFBBBBBB"/>
        </right>
        <top style="thin">
          <color rgb="FFBBBBBB"/>
        </top>
        <bottom style="thin">
          <color rgb="FFBBBBB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  <name val="Arial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BBBBB"/>
        </left>
        <right style="thin">
          <color rgb="FFBBBBBB"/>
        </right>
        <top style="thin">
          <color rgb="FFBBBBBB"/>
        </top>
        <bottom style="thin">
          <color rgb="FFBBBBB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  <name val="Arial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BBBBB"/>
        </left>
        <right style="thin">
          <color rgb="FFBBBBBB"/>
        </right>
        <top style="thin">
          <color rgb="FFBBBBBB"/>
        </top>
        <bottom style="thin">
          <color rgb="FFBBBBB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auto="1"/>
        <name val="Arial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BBBBB"/>
        </left>
        <right style="thin">
          <color rgb="FFBBBBBB"/>
        </right>
        <top style="thin">
          <color rgb="FFBBBBBB"/>
        </top>
        <bottom style="thin">
          <color rgb="FFBBBBB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BBBBBB"/>
        </left>
        <right style="thin">
          <color rgb="FFBBBBBB"/>
        </right>
        <top style="thin">
          <color rgb="FFBBBBBB"/>
        </top>
        <bottom style="thin">
          <color rgb="FFBBBBB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dd\.mm\.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medium">
          <color rgb="FF0F6E7A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0F6E7A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CFD8DC"/>
        </left>
        <right style="thin">
          <color rgb="FFCFD8DC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C:/Users/umarx/OneDrive/Desktop/Green%20Tashkent/GT.xlsx" TargetMode="External"/><Relationship Id="rId1" Type="http://schemas.openxmlformats.org/officeDocument/2006/relationships/externalLinkPath" Target="Green%20Tashkent/G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Прайс"/>
      <sheetName val="Чек"/>
      <sheetName val="Квитанция"/>
      <sheetName val="Контакты"/>
      <sheetName val="Расходы"/>
      <sheetName val="Кухня"/>
      <sheetName val="Остатка"/>
      <sheetName val="Учет расходов"/>
      <sheetName val="Опалубка"/>
      <sheetName val="Процесс Стройки"/>
      <sheetName val=" Квартиры Диёр Ака"/>
      <sheetName val="Оплата рабочих"/>
      <sheetName val="Бозорлик"/>
      <sheetName val="Арматура приход"/>
      <sheetName val="Снабжения"/>
      <sheetName val="Бетон"/>
      <sheetName val="Строй.Мат"/>
      <sheetName val="Учет расходов1"/>
      <sheetName val="Курс валют"/>
      <sheetName val="Итого месяцев"/>
      <sheetName val="Учет расходов1 "/>
      <sheetName val="Зарплата"/>
      <sheetName val="Спец.Техник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">
          <cell r="D2">
            <v>60</v>
          </cell>
          <cell r="E2">
            <v>7000</v>
          </cell>
        </row>
        <row r="3">
          <cell r="D3">
            <v>35</v>
          </cell>
          <cell r="E3">
            <v>4000</v>
          </cell>
        </row>
        <row r="4">
          <cell r="D4">
            <v>10</v>
          </cell>
          <cell r="E4">
            <v>21000</v>
          </cell>
        </row>
        <row r="5">
          <cell r="D5">
            <v>10</v>
          </cell>
          <cell r="E5">
            <v>7000</v>
          </cell>
        </row>
        <row r="6">
          <cell r="D6">
            <v>1</v>
          </cell>
          <cell r="E6">
            <v>10000</v>
          </cell>
        </row>
        <row r="8">
          <cell r="D8">
            <v>10</v>
          </cell>
          <cell r="E8">
            <v>20000</v>
          </cell>
        </row>
        <row r="9">
          <cell r="D9">
            <v>3</v>
          </cell>
          <cell r="E9">
            <v>30000</v>
          </cell>
        </row>
        <row r="10">
          <cell r="D10">
            <v>24</v>
          </cell>
          <cell r="E10">
            <v>10000</v>
          </cell>
        </row>
        <row r="11">
          <cell r="D11">
            <v>44</v>
          </cell>
          <cell r="E11">
            <v>7500</v>
          </cell>
        </row>
        <row r="12">
          <cell r="D12">
            <v>61</v>
          </cell>
          <cell r="E12">
            <v>5900</v>
          </cell>
        </row>
        <row r="13">
          <cell r="D13">
            <v>1</v>
          </cell>
          <cell r="E13">
            <v>100000</v>
          </cell>
        </row>
        <row r="14">
          <cell r="D14">
            <v>6</v>
          </cell>
          <cell r="E14">
            <v>45000</v>
          </cell>
        </row>
        <row r="15">
          <cell r="D15">
            <v>2</v>
          </cell>
          <cell r="E15">
            <v>45000</v>
          </cell>
        </row>
        <row r="16">
          <cell r="D16">
            <v>2</v>
          </cell>
          <cell r="E16">
            <v>30000</v>
          </cell>
        </row>
        <row r="17">
          <cell r="D17">
            <v>10</v>
          </cell>
          <cell r="E17">
            <v>15000</v>
          </cell>
        </row>
        <row r="18">
          <cell r="D18">
            <v>10</v>
          </cell>
          <cell r="E18">
            <v>46000</v>
          </cell>
        </row>
        <row r="20">
          <cell r="D20">
            <v>10</v>
          </cell>
          <cell r="E20">
            <v>20000</v>
          </cell>
        </row>
        <row r="21">
          <cell r="D21">
            <v>10</v>
          </cell>
          <cell r="E21">
            <v>20000</v>
          </cell>
        </row>
        <row r="22">
          <cell r="D22">
            <v>20</v>
          </cell>
          <cell r="E22">
            <v>80000</v>
          </cell>
        </row>
        <row r="23">
          <cell r="D23">
            <v>10</v>
          </cell>
          <cell r="E23">
            <v>45000</v>
          </cell>
        </row>
        <row r="24">
          <cell r="D24">
            <v>5</v>
          </cell>
          <cell r="E24">
            <v>45000</v>
          </cell>
        </row>
        <row r="25">
          <cell r="D25">
            <v>37</v>
          </cell>
          <cell r="E25">
            <v>3500</v>
          </cell>
        </row>
        <row r="26">
          <cell r="D26">
            <v>129</v>
          </cell>
          <cell r="E26">
            <v>6000</v>
          </cell>
        </row>
        <row r="27">
          <cell r="D27">
            <v>44</v>
          </cell>
          <cell r="E27">
            <v>6000</v>
          </cell>
        </row>
        <row r="28">
          <cell r="D28">
            <v>5</v>
          </cell>
          <cell r="E28">
            <v>10000</v>
          </cell>
        </row>
        <row r="29">
          <cell r="D29">
            <v>5</v>
          </cell>
          <cell r="E29">
            <v>14000</v>
          </cell>
        </row>
        <row r="31">
          <cell r="D31">
            <v>160</v>
          </cell>
          <cell r="E31">
            <v>14000</v>
          </cell>
        </row>
        <row r="33">
          <cell r="D33">
            <v>5</v>
          </cell>
          <cell r="E33">
            <v>90000</v>
          </cell>
        </row>
        <row r="34">
          <cell r="D34">
            <v>2</v>
          </cell>
          <cell r="E34">
            <v>70000</v>
          </cell>
        </row>
        <row r="35">
          <cell r="D35">
            <v>7</v>
          </cell>
          <cell r="E35">
            <v>50000</v>
          </cell>
        </row>
        <row r="36">
          <cell r="D36">
            <v>10</v>
          </cell>
          <cell r="E36">
            <v>45000</v>
          </cell>
        </row>
        <row r="37">
          <cell r="D37">
            <v>10</v>
          </cell>
          <cell r="E37">
            <v>14000</v>
          </cell>
        </row>
        <row r="38">
          <cell r="D38">
            <v>1</v>
          </cell>
          <cell r="E38">
            <v>70000</v>
          </cell>
        </row>
        <row r="40">
          <cell r="D40">
            <v>18</v>
          </cell>
          <cell r="E40">
            <v>100000</v>
          </cell>
        </row>
        <row r="41">
          <cell r="D41">
            <v>1</v>
          </cell>
          <cell r="E41">
            <v>120000</v>
          </cell>
        </row>
        <row r="43">
          <cell r="D43">
            <v>20</v>
          </cell>
          <cell r="E43">
            <v>16000</v>
          </cell>
        </row>
        <row r="44">
          <cell r="D44">
            <v>2</v>
          </cell>
          <cell r="E44">
            <v>30000</v>
          </cell>
        </row>
        <row r="45">
          <cell r="D45">
            <v>10</v>
          </cell>
          <cell r="E45">
            <v>21000</v>
          </cell>
        </row>
        <row r="46">
          <cell r="D46">
            <v>10</v>
          </cell>
          <cell r="E46">
            <v>22000</v>
          </cell>
        </row>
        <row r="47">
          <cell r="D47">
            <v>10</v>
          </cell>
          <cell r="E47">
            <v>45000</v>
          </cell>
        </row>
        <row r="48">
          <cell r="D48">
            <v>68</v>
          </cell>
          <cell r="E48">
            <v>7280</v>
          </cell>
        </row>
        <row r="49">
          <cell r="D49">
            <v>2</v>
          </cell>
          <cell r="E49">
            <v>30000</v>
          </cell>
        </row>
        <row r="50">
          <cell r="D50">
            <v>1</v>
          </cell>
          <cell r="E50">
            <v>80000</v>
          </cell>
        </row>
        <row r="52">
          <cell r="D52">
            <v>10</v>
          </cell>
          <cell r="E52">
            <v>45000</v>
          </cell>
        </row>
        <row r="53">
          <cell r="D53">
            <v>36.25</v>
          </cell>
          <cell r="E53">
            <v>4000</v>
          </cell>
        </row>
        <row r="54">
          <cell r="D54">
            <v>2</v>
          </cell>
          <cell r="E54">
            <v>70000</v>
          </cell>
        </row>
        <row r="55">
          <cell r="D55">
            <v>30</v>
          </cell>
          <cell r="E55">
            <v>6000</v>
          </cell>
        </row>
        <row r="56">
          <cell r="D56">
            <v>25</v>
          </cell>
          <cell r="E56">
            <v>105000</v>
          </cell>
        </row>
        <row r="58">
          <cell r="D58">
            <v>27.5</v>
          </cell>
          <cell r="E58">
            <v>105000</v>
          </cell>
        </row>
        <row r="60">
          <cell r="D60">
            <v>60</v>
          </cell>
          <cell r="E60">
            <v>6000</v>
          </cell>
        </row>
        <row r="61">
          <cell r="D61">
            <v>15</v>
          </cell>
          <cell r="E61">
            <v>48000</v>
          </cell>
        </row>
        <row r="62">
          <cell r="D62">
            <v>10</v>
          </cell>
          <cell r="E62">
            <v>48000</v>
          </cell>
        </row>
        <row r="63">
          <cell r="D63">
            <v>2</v>
          </cell>
          <cell r="E63">
            <v>30000</v>
          </cell>
        </row>
        <row r="64">
          <cell r="D64">
            <v>12</v>
          </cell>
          <cell r="E64">
            <v>12000</v>
          </cell>
        </row>
        <row r="65">
          <cell r="D65">
            <v>34</v>
          </cell>
          <cell r="E65">
            <v>4000</v>
          </cell>
        </row>
        <row r="66">
          <cell r="D66">
            <v>10</v>
          </cell>
          <cell r="E66">
            <v>21000</v>
          </cell>
        </row>
        <row r="67">
          <cell r="D67">
            <v>10</v>
          </cell>
          <cell r="E67">
            <v>22000</v>
          </cell>
        </row>
        <row r="68">
          <cell r="D68">
            <v>1</v>
          </cell>
          <cell r="E68">
            <v>120000</v>
          </cell>
        </row>
        <row r="70">
          <cell r="D70">
            <v>20</v>
          </cell>
          <cell r="E70">
            <v>100000</v>
          </cell>
        </row>
        <row r="72">
          <cell r="D72">
            <v>80</v>
          </cell>
          <cell r="E72">
            <v>13000</v>
          </cell>
        </row>
        <row r="74">
          <cell r="D74">
            <v>15</v>
          </cell>
          <cell r="E74">
            <v>48000</v>
          </cell>
        </row>
        <row r="75">
          <cell r="D75">
            <v>10</v>
          </cell>
          <cell r="E75">
            <v>22000</v>
          </cell>
        </row>
        <row r="76">
          <cell r="D76">
            <v>10</v>
          </cell>
          <cell r="E76">
            <v>23000</v>
          </cell>
        </row>
        <row r="77">
          <cell r="D77">
            <v>2</v>
          </cell>
          <cell r="E77">
            <v>70000</v>
          </cell>
        </row>
        <row r="78">
          <cell r="D78">
            <v>12</v>
          </cell>
          <cell r="E78">
            <v>12500</v>
          </cell>
        </row>
        <row r="79">
          <cell r="D79">
            <v>2</v>
          </cell>
          <cell r="E79">
            <v>35000</v>
          </cell>
        </row>
        <row r="80">
          <cell r="D80">
            <v>2</v>
          </cell>
          <cell r="E80">
            <v>30000</v>
          </cell>
        </row>
        <row r="81">
          <cell r="D81">
            <v>114.16</v>
          </cell>
          <cell r="E81">
            <v>6000</v>
          </cell>
        </row>
        <row r="83">
          <cell r="D83">
            <v>25</v>
          </cell>
          <cell r="E83">
            <v>100000</v>
          </cell>
        </row>
        <row r="85">
          <cell r="D85">
            <v>45</v>
          </cell>
          <cell r="E85">
            <v>6000</v>
          </cell>
        </row>
        <row r="86">
          <cell r="D86">
            <v>10</v>
          </cell>
          <cell r="E86">
            <v>48000</v>
          </cell>
        </row>
        <row r="87">
          <cell r="D87">
            <v>15</v>
          </cell>
          <cell r="E87">
            <v>48000</v>
          </cell>
        </row>
        <row r="88">
          <cell r="D88">
            <v>20</v>
          </cell>
          <cell r="E88">
            <v>15000</v>
          </cell>
        </row>
        <row r="89">
          <cell r="D89">
            <v>60</v>
          </cell>
          <cell r="E89">
            <v>8500</v>
          </cell>
        </row>
        <row r="90">
          <cell r="D90">
            <v>34</v>
          </cell>
          <cell r="E90">
            <v>4000</v>
          </cell>
        </row>
        <row r="91">
          <cell r="D91">
            <v>5</v>
          </cell>
          <cell r="E91">
            <v>24000</v>
          </cell>
        </row>
        <row r="92">
          <cell r="D92">
            <v>5</v>
          </cell>
          <cell r="E92">
            <v>24000</v>
          </cell>
        </row>
        <row r="93">
          <cell r="D93">
            <v>20</v>
          </cell>
          <cell r="E93">
            <v>17000</v>
          </cell>
        </row>
        <row r="94">
          <cell r="D94">
            <v>2</v>
          </cell>
          <cell r="E94">
            <v>70000</v>
          </cell>
        </row>
        <row r="96">
          <cell r="D96">
            <v>25</v>
          </cell>
          <cell r="E96">
            <v>100000</v>
          </cell>
        </row>
        <row r="98">
          <cell r="D98">
            <v>15</v>
          </cell>
          <cell r="E98">
            <v>48000</v>
          </cell>
        </row>
        <row r="99">
          <cell r="D99">
            <v>15</v>
          </cell>
          <cell r="E99">
            <v>24000</v>
          </cell>
        </row>
        <row r="100">
          <cell r="D100">
            <v>10</v>
          </cell>
          <cell r="E100">
            <v>26000</v>
          </cell>
        </row>
        <row r="101">
          <cell r="D101">
            <v>10</v>
          </cell>
          <cell r="E101">
            <v>13000</v>
          </cell>
        </row>
        <row r="102">
          <cell r="D102">
            <v>117.7</v>
          </cell>
          <cell r="E102">
            <v>6500</v>
          </cell>
        </row>
        <row r="103">
          <cell r="D103">
            <v>10</v>
          </cell>
          <cell r="E103">
            <v>48000</v>
          </cell>
        </row>
        <row r="104">
          <cell r="D104">
            <v>48.33</v>
          </cell>
          <cell r="E104">
            <v>6000</v>
          </cell>
        </row>
        <row r="105">
          <cell r="D105">
            <v>5</v>
          </cell>
          <cell r="E105">
            <v>22222.22</v>
          </cell>
        </row>
        <row r="106">
          <cell r="D106">
            <v>2</v>
          </cell>
          <cell r="E106">
            <v>22222.22</v>
          </cell>
        </row>
        <row r="107">
          <cell r="D107">
            <v>0.5</v>
          </cell>
          <cell r="E107">
            <v>50000</v>
          </cell>
        </row>
        <row r="108">
          <cell r="D108">
            <v>2</v>
          </cell>
          <cell r="E108">
            <v>30000</v>
          </cell>
        </row>
        <row r="109">
          <cell r="D109">
            <v>2</v>
          </cell>
          <cell r="E109">
            <v>35000</v>
          </cell>
        </row>
        <row r="110">
          <cell r="D110">
            <v>1</v>
          </cell>
          <cell r="E110">
            <v>45000</v>
          </cell>
        </row>
        <row r="111">
          <cell r="D111">
            <v>28</v>
          </cell>
          <cell r="E111">
            <v>100000</v>
          </cell>
        </row>
        <row r="113">
          <cell r="D113">
            <v>10</v>
          </cell>
          <cell r="E113">
            <v>48000</v>
          </cell>
        </row>
        <row r="114">
          <cell r="D114">
            <v>20</v>
          </cell>
          <cell r="E114">
            <v>4000</v>
          </cell>
        </row>
        <row r="115">
          <cell r="D115">
            <v>2</v>
          </cell>
          <cell r="E115">
            <v>30000</v>
          </cell>
        </row>
        <row r="116">
          <cell r="D116">
            <v>2</v>
          </cell>
          <cell r="E116">
            <v>70000</v>
          </cell>
        </row>
        <row r="117">
          <cell r="D117">
            <v>0.5</v>
          </cell>
          <cell r="E117">
            <v>100000</v>
          </cell>
        </row>
        <row r="118">
          <cell r="D118">
            <v>10</v>
          </cell>
          <cell r="E118">
            <v>17000</v>
          </cell>
        </row>
        <row r="119">
          <cell r="D119">
            <v>10</v>
          </cell>
          <cell r="E119">
            <v>15000</v>
          </cell>
        </row>
        <row r="120">
          <cell r="D120">
            <v>5</v>
          </cell>
          <cell r="E120">
            <v>48000</v>
          </cell>
        </row>
        <row r="121">
          <cell r="D121">
            <v>5</v>
          </cell>
          <cell r="E121">
            <v>24000</v>
          </cell>
        </row>
        <row r="122">
          <cell r="D122">
            <v>5</v>
          </cell>
          <cell r="E122">
            <v>26000</v>
          </cell>
        </row>
        <row r="123">
          <cell r="D123">
            <v>7</v>
          </cell>
          <cell r="E123">
            <v>24285.71</v>
          </cell>
        </row>
        <row r="124">
          <cell r="D124">
            <v>0.5</v>
          </cell>
          <cell r="E124">
            <v>150000</v>
          </cell>
        </row>
        <row r="125">
          <cell r="D125">
            <v>25.66</v>
          </cell>
          <cell r="E125">
            <v>100000</v>
          </cell>
        </row>
        <row r="128">
          <cell r="D128">
            <v>20</v>
          </cell>
          <cell r="E128">
            <v>48000</v>
          </cell>
        </row>
        <row r="129">
          <cell r="D129">
            <v>20</v>
          </cell>
          <cell r="E129">
            <v>48000</v>
          </cell>
        </row>
        <row r="130">
          <cell r="D130">
            <v>64</v>
          </cell>
          <cell r="E130">
            <v>6500</v>
          </cell>
        </row>
        <row r="131">
          <cell r="D131">
            <v>52</v>
          </cell>
          <cell r="E131">
            <v>8500</v>
          </cell>
        </row>
        <row r="132">
          <cell r="D132">
            <v>10</v>
          </cell>
          <cell r="E132">
            <v>52000</v>
          </cell>
        </row>
        <row r="133">
          <cell r="D133">
            <v>10</v>
          </cell>
          <cell r="E133">
            <v>18000</v>
          </cell>
        </row>
        <row r="134">
          <cell r="D134">
            <v>2</v>
          </cell>
          <cell r="E134">
            <v>35000</v>
          </cell>
        </row>
        <row r="135">
          <cell r="D135">
            <v>8</v>
          </cell>
          <cell r="E135">
            <v>17500</v>
          </cell>
        </row>
        <row r="136">
          <cell r="D136">
            <v>10</v>
          </cell>
          <cell r="E136">
            <v>24000</v>
          </cell>
        </row>
        <row r="137">
          <cell r="D137">
            <v>10</v>
          </cell>
          <cell r="E137">
            <v>26000</v>
          </cell>
        </row>
        <row r="138">
          <cell r="D138">
            <v>1</v>
          </cell>
          <cell r="E138">
            <v>120000</v>
          </cell>
        </row>
        <row r="139">
          <cell r="D139">
            <v>24.88</v>
          </cell>
          <cell r="E139">
            <v>110000</v>
          </cell>
        </row>
        <row r="141">
          <cell r="D141">
            <v>25.72</v>
          </cell>
          <cell r="E141">
            <v>115000</v>
          </cell>
        </row>
        <row r="142">
          <cell r="D142">
            <v>15</v>
          </cell>
          <cell r="E142">
            <v>48000</v>
          </cell>
        </row>
        <row r="143">
          <cell r="D143">
            <v>7</v>
          </cell>
          <cell r="E143">
            <v>52000</v>
          </cell>
        </row>
        <row r="144">
          <cell r="D144">
            <v>14.85</v>
          </cell>
          <cell r="E144">
            <v>17500</v>
          </cell>
        </row>
        <row r="145">
          <cell r="D145">
            <v>10</v>
          </cell>
          <cell r="E145">
            <v>24000</v>
          </cell>
        </row>
        <row r="146">
          <cell r="D146">
            <v>10</v>
          </cell>
          <cell r="E146">
            <v>26000</v>
          </cell>
        </row>
        <row r="147">
          <cell r="D147">
            <v>32</v>
          </cell>
          <cell r="E147">
            <v>3906.25</v>
          </cell>
        </row>
        <row r="148">
          <cell r="D148">
            <v>10</v>
          </cell>
          <cell r="E148">
            <v>18000</v>
          </cell>
        </row>
        <row r="149">
          <cell r="D149">
            <v>100</v>
          </cell>
          <cell r="E149">
            <v>14000</v>
          </cell>
        </row>
        <row r="150">
          <cell r="D150">
            <v>2</v>
          </cell>
          <cell r="E150">
            <v>35000</v>
          </cell>
        </row>
        <row r="151">
          <cell r="D151">
            <v>10</v>
          </cell>
          <cell r="E151">
            <v>18000</v>
          </cell>
        </row>
        <row r="152">
          <cell r="D152">
            <v>10</v>
          </cell>
          <cell r="E152">
            <v>30000</v>
          </cell>
        </row>
        <row r="153">
          <cell r="D153">
            <v>10</v>
          </cell>
          <cell r="E153">
            <v>19000</v>
          </cell>
        </row>
        <row r="154">
          <cell r="D154">
            <v>25.71</v>
          </cell>
          <cell r="E154">
            <v>115000</v>
          </cell>
        </row>
        <row r="156">
          <cell r="D156">
            <v>30</v>
          </cell>
          <cell r="E156">
            <v>115000</v>
          </cell>
        </row>
        <row r="157">
          <cell r="D157">
            <v>107.7</v>
          </cell>
          <cell r="E157">
            <v>6500</v>
          </cell>
        </row>
        <row r="158">
          <cell r="D158">
            <v>10</v>
          </cell>
          <cell r="E158">
            <v>47000</v>
          </cell>
        </row>
        <row r="159">
          <cell r="D159">
            <v>7</v>
          </cell>
          <cell r="E159">
            <v>52000</v>
          </cell>
        </row>
        <row r="160">
          <cell r="D160">
            <v>15</v>
          </cell>
          <cell r="E160">
            <v>30000</v>
          </cell>
        </row>
        <row r="161">
          <cell r="D161">
            <v>15</v>
          </cell>
          <cell r="E161">
            <v>12000</v>
          </cell>
        </row>
        <row r="162">
          <cell r="D162">
            <v>1</v>
          </cell>
          <cell r="E162">
            <v>260000</v>
          </cell>
        </row>
        <row r="163">
          <cell r="D163">
            <v>1</v>
          </cell>
          <cell r="E163">
            <v>0</v>
          </cell>
        </row>
        <row r="164">
          <cell r="D164">
            <v>2</v>
          </cell>
          <cell r="E164">
            <v>70000</v>
          </cell>
        </row>
        <row r="165">
          <cell r="D165">
            <v>2</v>
          </cell>
          <cell r="E165">
            <v>30000</v>
          </cell>
        </row>
        <row r="166">
          <cell r="D166">
            <v>10</v>
          </cell>
          <cell r="E166">
            <v>18000</v>
          </cell>
        </row>
        <row r="167">
          <cell r="D167">
            <v>10</v>
          </cell>
          <cell r="E167">
            <v>24000</v>
          </cell>
        </row>
        <row r="168">
          <cell r="D168">
            <v>10</v>
          </cell>
          <cell r="E168">
            <v>23000</v>
          </cell>
        </row>
        <row r="169">
          <cell r="D169">
            <v>48</v>
          </cell>
          <cell r="E169">
            <v>8542</v>
          </cell>
        </row>
        <row r="170">
          <cell r="D170">
            <v>12</v>
          </cell>
          <cell r="E170">
            <v>15000</v>
          </cell>
        </row>
        <row r="171">
          <cell r="D171">
            <v>1</v>
          </cell>
          <cell r="E171">
            <v>100000</v>
          </cell>
        </row>
        <row r="172">
          <cell r="D172">
            <v>1</v>
          </cell>
          <cell r="E172">
            <v>75000</v>
          </cell>
        </row>
        <row r="174">
          <cell r="D174">
            <v>30.95</v>
          </cell>
          <cell r="E174">
            <v>105000</v>
          </cell>
        </row>
        <row r="175">
          <cell r="D175">
            <v>20</v>
          </cell>
          <cell r="E175">
            <v>47000</v>
          </cell>
        </row>
      </sheetData>
      <sheetData sheetId="13"/>
      <sheetData sheetId="14"/>
      <sheetData sheetId="15"/>
      <sheetData sheetId="16">
        <row r="4">
          <cell r="H4">
            <v>5500</v>
          </cell>
        </row>
        <row r="45">
          <cell r="H45">
            <v>14</v>
          </cell>
          <cell r="I45">
            <v>96500</v>
          </cell>
        </row>
        <row r="46">
          <cell r="H46">
            <v>200</v>
          </cell>
          <cell r="I46">
            <v>96500</v>
          </cell>
        </row>
        <row r="47">
          <cell r="H47">
            <v>158</v>
          </cell>
          <cell r="I47">
            <v>96500</v>
          </cell>
        </row>
        <row r="49">
          <cell r="H49">
            <v>142</v>
          </cell>
          <cell r="I49">
            <v>142500</v>
          </cell>
        </row>
        <row r="50">
          <cell r="H50">
            <v>50</v>
          </cell>
          <cell r="I50">
            <v>232750</v>
          </cell>
        </row>
        <row r="51">
          <cell r="H51">
            <v>50</v>
          </cell>
          <cell r="I51">
            <v>190000</v>
          </cell>
        </row>
        <row r="52">
          <cell r="H52">
            <v>90</v>
          </cell>
          <cell r="I52">
            <v>313500</v>
          </cell>
        </row>
        <row r="53">
          <cell r="H53">
            <v>200</v>
          </cell>
          <cell r="I53">
            <v>465000</v>
          </cell>
        </row>
        <row r="64">
          <cell r="H64">
            <v>100</v>
          </cell>
          <cell r="I64">
            <v>30000</v>
          </cell>
        </row>
        <row r="65">
          <cell r="H65">
            <v>10</v>
          </cell>
          <cell r="I65">
            <v>45000</v>
          </cell>
        </row>
        <row r="66">
          <cell r="H66">
            <v>370</v>
          </cell>
          <cell r="I66">
            <v>19000</v>
          </cell>
        </row>
        <row r="68">
          <cell r="H68">
            <v>100</v>
          </cell>
          <cell r="I68">
            <v>142500</v>
          </cell>
        </row>
        <row r="69">
          <cell r="H69">
            <v>175</v>
          </cell>
          <cell r="I69">
            <v>285000</v>
          </cell>
        </row>
        <row r="70">
          <cell r="H70">
            <v>275</v>
          </cell>
          <cell r="I70">
            <v>313500</v>
          </cell>
        </row>
        <row r="71">
          <cell r="H71">
            <v>200</v>
          </cell>
          <cell r="I71">
            <v>342000</v>
          </cell>
        </row>
        <row r="72">
          <cell r="H72">
            <v>50</v>
          </cell>
          <cell r="I72">
            <v>370500</v>
          </cell>
        </row>
        <row r="73">
          <cell r="H73">
            <v>280</v>
          </cell>
          <cell r="I73">
            <v>475000</v>
          </cell>
        </row>
        <row r="77">
          <cell r="H77">
            <v>370</v>
          </cell>
          <cell r="I77">
            <v>475000</v>
          </cell>
        </row>
        <row r="79">
          <cell r="H79">
            <v>505</v>
          </cell>
          <cell r="I79">
            <v>475000</v>
          </cell>
        </row>
        <row r="98">
          <cell r="H98">
            <v>30000</v>
          </cell>
          <cell r="I98">
            <v>270</v>
          </cell>
        </row>
        <row r="99">
          <cell r="H99">
            <v>5000</v>
          </cell>
          <cell r="I99">
            <v>580</v>
          </cell>
        </row>
        <row r="103">
          <cell r="H103"/>
          <cell r="I103"/>
        </row>
      </sheetData>
      <sheetData sheetId="17"/>
      <sheetData sheetId="18">
        <row r="1">
          <cell r="A1">
            <v>45962</v>
          </cell>
          <cell r="B1" t="str">
            <v>USD</v>
          </cell>
          <cell r="C1">
            <v>1</v>
          </cell>
          <cell r="D1">
            <v>12100</v>
          </cell>
        </row>
        <row r="2">
          <cell r="A2">
            <v>45963</v>
          </cell>
          <cell r="B2" t="str">
            <v>USD</v>
          </cell>
          <cell r="C2">
            <v>1</v>
          </cell>
          <cell r="D2">
            <v>11970</v>
          </cell>
        </row>
        <row r="3">
          <cell r="A3">
            <v>45964</v>
          </cell>
          <cell r="B3" t="str">
            <v>USD</v>
          </cell>
          <cell r="C3">
            <v>1</v>
          </cell>
          <cell r="D3">
            <v>11970</v>
          </cell>
        </row>
        <row r="4">
          <cell r="A4">
            <v>45968</v>
          </cell>
          <cell r="B4" t="str">
            <v>USD</v>
          </cell>
          <cell r="C4">
            <v>1</v>
          </cell>
          <cell r="D4">
            <v>12020</v>
          </cell>
        </row>
        <row r="5">
          <cell r="A5">
            <v>45973</v>
          </cell>
          <cell r="B5" t="str">
            <v>USD</v>
          </cell>
          <cell r="C5">
            <v>1</v>
          </cell>
          <cell r="D5">
            <v>12000</v>
          </cell>
        </row>
        <row r="6">
          <cell r="A6">
            <v>45978</v>
          </cell>
          <cell r="B6" t="str">
            <v>USD</v>
          </cell>
          <cell r="C6">
            <v>1</v>
          </cell>
          <cell r="D6">
            <v>11800</v>
          </cell>
        </row>
        <row r="7">
          <cell r="A7">
            <v>45986</v>
          </cell>
          <cell r="B7" t="str">
            <v>USD</v>
          </cell>
          <cell r="C7">
            <v>1</v>
          </cell>
          <cell r="D7">
            <v>11600</v>
          </cell>
        </row>
        <row r="8">
          <cell r="A8">
            <v>45990</v>
          </cell>
          <cell r="B8" t="str">
            <v>USD</v>
          </cell>
          <cell r="C8">
            <v>1</v>
          </cell>
          <cell r="D8">
            <v>11600</v>
          </cell>
        </row>
        <row r="9">
          <cell r="A9">
            <v>46054</v>
          </cell>
          <cell r="B9" t="str">
            <v>USD</v>
          </cell>
          <cell r="C9">
            <v>1</v>
          </cell>
          <cell r="D9">
            <v>12200</v>
          </cell>
        </row>
        <row r="10">
          <cell r="A10">
            <v>46055</v>
          </cell>
          <cell r="B10" t="str">
            <v>USD</v>
          </cell>
          <cell r="C10">
            <v>1</v>
          </cell>
          <cell r="D10">
            <v>12200</v>
          </cell>
        </row>
        <row r="11">
          <cell r="A11">
            <v>46056</v>
          </cell>
          <cell r="B11" t="str">
            <v>USD</v>
          </cell>
          <cell r="C11">
            <v>1</v>
          </cell>
          <cell r="D11">
            <v>12200</v>
          </cell>
        </row>
        <row r="12">
          <cell r="A12">
            <v>46057</v>
          </cell>
          <cell r="B12" t="str">
            <v>USD</v>
          </cell>
          <cell r="C12">
            <v>1</v>
          </cell>
          <cell r="D12">
            <v>12200</v>
          </cell>
        </row>
        <row r="13">
          <cell r="A13">
            <v>46058</v>
          </cell>
          <cell r="B13" t="str">
            <v>USD</v>
          </cell>
          <cell r="C13">
            <v>1</v>
          </cell>
          <cell r="D13">
            <v>12200</v>
          </cell>
        </row>
        <row r="14">
          <cell r="A14">
            <v>46059</v>
          </cell>
          <cell r="B14" t="str">
            <v>USD</v>
          </cell>
          <cell r="C14">
            <v>1</v>
          </cell>
          <cell r="D14">
            <v>12200</v>
          </cell>
        </row>
        <row r="15">
          <cell r="A15">
            <v>46060</v>
          </cell>
          <cell r="B15" t="str">
            <v>USD</v>
          </cell>
          <cell r="C15">
            <v>1</v>
          </cell>
          <cell r="D15">
            <v>12200</v>
          </cell>
        </row>
        <row r="16">
          <cell r="A16">
            <v>46061</v>
          </cell>
          <cell r="B16" t="str">
            <v>USD</v>
          </cell>
          <cell r="C16">
            <v>1</v>
          </cell>
          <cell r="D16">
            <v>12200</v>
          </cell>
        </row>
        <row r="17">
          <cell r="A17">
            <v>46062</v>
          </cell>
          <cell r="B17" t="str">
            <v>USD</v>
          </cell>
          <cell r="C17">
            <v>1</v>
          </cell>
          <cell r="D17">
            <v>12200</v>
          </cell>
        </row>
        <row r="18">
          <cell r="A18">
            <v>46063</v>
          </cell>
          <cell r="B18" t="str">
            <v>USD</v>
          </cell>
          <cell r="C18">
            <v>1</v>
          </cell>
          <cell r="D18">
            <v>12200</v>
          </cell>
        </row>
        <row r="19">
          <cell r="A19">
            <v>46064</v>
          </cell>
          <cell r="B19" t="str">
            <v>USD</v>
          </cell>
          <cell r="C19">
            <v>1</v>
          </cell>
          <cell r="D19">
            <v>12310</v>
          </cell>
        </row>
        <row r="20">
          <cell r="A20">
            <v>46065</v>
          </cell>
          <cell r="B20" t="str">
            <v>USD</v>
          </cell>
          <cell r="C20">
            <v>1</v>
          </cell>
          <cell r="D20">
            <v>12230</v>
          </cell>
        </row>
        <row r="21">
          <cell r="A21">
            <v>46066</v>
          </cell>
          <cell r="B21" t="str">
            <v>USD</v>
          </cell>
          <cell r="C21">
            <v>1</v>
          </cell>
          <cell r="D21">
            <v>12200</v>
          </cell>
        </row>
        <row r="22">
          <cell r="A22">
            <v>46067</v>
          </cell>
          <cell r="B22" t="str">
            <v>USD</v>
          </cell>
          <cell r="C22">
            <v>1</v>
          </cell>
          <cell r="D22">
            <v>12180</v>
          </cell>
        </row>
        <row r="23">
          <cell r="A23">
            <v>46068</v>
          </cell>
          <cell r="B23" t="str">
            <v>USD</v>
          </cell>
          <cell r="C23">
            <v>1</v>
          </cell>
          <cell r="D23">
            <v>12180</v>
          </cell>
        </row>
        <row r="24">
          <cell r="A24">
            <v>46069</v>
          </cell>
          <cell r="B24" t="str">
            <v>USD</v>
          </cell>
          <cell r="C24">
            <v>1</v>
          </cell>
          <cell r="D24">
            <v>12150</v>
          </cell>
        </row>
        <row r="25">
          <cell r="A25">
            <v>46070</v>
          </cell>
          <cell r="B25" t="str">
            <v>USD</v>
          </cell>
          <cell r="C25">
            <v>1</v>
          </cell>
          <cell r="D25">
            <v>12150</v>
          </cell>
        </row>
        <row r="26">
          <cell r="A26">
            <v>46071</v>
          </cell>
          <cell r="B26" t="str">
            <v>USD</v>
          </cell>
          <cell r="C26">
            <v>1</v>
          </cell>
          <cell r="D26">
            <v>12080</v>
          </cell>
        </row>
        <row r="27">
          <cell r="A27">
            <v>46072</v>
          </cell>
          <cell r="B27" t="str">
            <v>USD</v>
          </cell>
          <cell r="C27">
            <v>1</v>
          </cell>
          <cell r="D27">
            <v>12000</v>
          </cell>
        </row>
        <row r="28">
          <cell r="A28">
            <v>46073</v>
          </cell>
          <cell r="B28" t="str">
            <v>USD</v>
          </cell>
          <cell r="C28">
            <v>1</v>
          </cell>
          <cell r="D28">
            <v>12000</v>
          </cell>
        </row>
        <row r="29">
          <cell r="A29">
            <v>46074</v>
          </cell>
          <cell r="B29" t="str">
            <v>USD</v>
          </cell>
          <cell r="C29">
            <v>1</v>
          </cell>
          <cell r="D29">
            <v>12100</v>
          </cell>
        </row>
        <row r="30">
          <cell r="A30">
            <v>46075</v>
          </cell>
          <cell r="B30" t="str">
            <v>USD</v>
          </cell>
          <cell r="C30">
            <v>1</v>
          </cell>
          <cell r="D30">
            <v>12000</v>
          </cell>
        </row>
        <row r="31">
          <cell r="A31">
            <v>46076</v>
          </cell>
          <cell r="B31" t="str">
            <v>USD</v>
          </cell>
          <cell r="C31">
            <v>1</v>
          </cell>
          <cell r="D31">
            <v>12000</v>
          </cell>
        </row>
        <row r="32">
          <cell r="A32">
            <v>46077</v>
          </cell>
          <cell r="B32" t="str">
            <v>USD</v>
          </cell>
          <cell r="C32">
            <v>1</v>
          </cell>
          <cell r="D32">
            <v>12100</v>
          </cell>
        </row>
        <row r="33">
          <cell r="A33">
            <v>46078</v>
          </cell>
          <cell r="B33" t="str">
            <v>USD</v>
          </cell>
          <cell r="C33">
            <v>1</v>
          </cell>
          <cell r="D33">
            <v>12080</v>
          </cell>
        </row>
        <row r="34">
          <cell r="A34">
            <v>46079</v>
          </cell>
          <cell r="B34" t="str">
            <v>USD</v>
          </cell>
          <cell r="C34">
            <v>1</v>
          </cell>
          <cell r="D34">
            <v>12100</v>
          </cell>
        </row>
        <row r="35">
          <cell r="A35">
            <v>46080</v>
          </cell>
          <cell r="B35" t="str">
            <v>USD</v>
          </cell>
          <cell r="C35">
            <v>1</v>
          </cell>
          <cell r="D35">
            <v>12080</v>
          </cell>
        </row>
        <row r="36">
          <cell r="A36">
            <v>46081</v>
          </cell>
          <cell r="B36" t="str">
            <v>USD</v>
          </cell>
          <cell r="C36">
            <v>1</v>
          </cell>
          <cell r="D36">
            <v>12080</v>
          </cell>
        </row>
        <row r="37">
          <cell r="A37">
            <v>46082</v>
          </cell>
          <cell r="B37" t="str">
            <v>USD</v>
          </cell>
          <cell r="C37">
            <v>1</v>
          </cell>
          <cell r="D37">
            <v>12050</v>
          </cell>
        </row>
        <row r="38">
          <cell r="A38">
            <v>46083</v>
          </cell>
          <cell r="B38" t="str">
            <v>USD</v>
          </cell>
          <cell r="C38">
            <v>1</v>
          </cell>
          <cell r="D38">
            <v>12080</v>
          </cell>
        </row>
        <row r="39">
          <cell r="A39">
            <v>46084</v>
          </cell>
          <cell r="B39" t="str">
            <v>USD</v>
          </cell>
          <cell r="C39">
            <v>1</v>
          </cell>
          <cell r="D39">
            <v>12080</v>
          </cell>
        </row>
        <row r="40">
          <cell r="A40">
            <v>46085</v>
          </cell>
          <cell r="B40" t="str">
            <v>USD</v>
          </cell>
          <cell r="C40">
            <v>1</v>
          </cell>
          <cell r="D40">
            <v>12080</v>
          </cell>
        </row>
        <row r="41">
          <cell r="A41">
            <v>46086</v>
          </cell>
          <cell r="B41" t="str">
            <v>USD</v>
          </cell>
          <cell r="C41">
            <v>1</v>
          </cell>
          <cell r="D41">
            <v>12115</v>
          </cell>
        </row>
        <row r="42">
          <cell r="A42">
            <v>46087</v>
          </cell>
          <cell r="B42" t="str">
            <v>USD</v>
          </cell>
          <cell r="C42">
            <v>1</v>
          </cell>
          <cell r="D42">
            <v>12200</v>
          </cell>
        </row>
        <row r="43">
          <cell r="A43">
            <v>46088</v>
          </cell>
          <cell r="B43" t="str">
            <v>USD</v>
          </cell>
          <cell r="C43">
            <v>1</v>
          </cell>
          <cell r="D43">
            <v>12100</v>
          </cell>
        </row>
        <row r="44">
          <cell r="A44">
            <v>46089</v>
          </cell>
          <cell r="B44" t="str">
            <v>USD</v>
          </cell>
          <cell r="C44">
            <v>1</v>
          </cell>
          <cell r="D44">
            <v>12080</v>
          </cell>
        </row>
        <row r="45">
          <cell r="A45">
            <v>46090</v>
          </cell>
          <cell r="B45" t="str">
            <v>USD</v>
          </cell>
          <cell r="C45">
            <v>1</v>
          </cell>
          <cell r="D45">
            <v>12080</v>
          </cell>
        </row>
        <row r="46">
          <cell r="A46">
            <v>46091</v>
          </cell>
          <cell r="B46" t="str">
            <v>USD</v>
          </cell>
          <cell r="C46">
            <v>1</v>
          </cell>
          <cell r="D46">
            <v>12000</v>
          </cell>
        </row>
        <row r="47">
          <cell r="A47">
            <v>46092</v>
          </cell>
          <cell r="B47" t="str">
            <v>USD</v>
          </cell>
          <cell r="C47">
            <v>1</v>
          </cell>
          <cell r="D47">
            <v>12100</v>
          </cell>
        </row>
        <row r="48">
          <cell r="A48">
            <v>46093</v>
          </cell>
          <cell r="B48" t="str">
            <v>USD</v>
          </cell>
          <cell r="C48">
            <v>1</v>
          </cell>
          <cell r="D48">
            <v>12115</v>
          </cell>
        </row>
        <row r="49">
          <cell r="A49">
            <v>46094</v>
          </cell>
          <cell r="B49" t="str">
            <v>USD</v>
          </cell>
          <cell r="C49">
            <v>1</v>
          </cell>
          <cell r="D49">
            <v>12000</v>
          </cell>
        </row>
        <row r="50">
          <cell r="A50">
            <v>46095</v>
          </cell>
          <cell r="B50" t="str">
            <v>USD</v>
          </cell>
          <cell r="C50">
            <v>1</v>
          </cell>
          <cell r="D50">
            <v>12000</v>
          </cell>
        </row>
        <row r="51">
          <cell r="A51">
            <v>46096</v>
          </cell>
          <cell r="B51" t="str">
            <v>USD</v>
          </cell>
          <cell r="C51">
            <v>1</v>
          </cell>
          <cell r="D51">
            <v>12100</v>
          </cell>
        </row>
        <row r="52">
          <cell r="A52">
            <v>46097</v>
          </cell>
          <cell r="B52" t="str">
            <v>USD</v>
          </cell>
          <cell r="C52">
            <v>1</v>
          </cell>
          <cell r="D52">
            <v>12000</v>
          </cell>
        </row>
        <row r="53">
          <cell r="A53">
            <v>46098</v>
          </cell>
          <cell r="B53" t="str">
            <v>USD</v>
          </cell>
          <cell r="C53">
            <v>1</v>
          </cell>
          <cell r="D53">
            <v>12040</v>
          </cell>
        </row>
        <row r="54">
          <cell r="A54">
            <v>46099</v>
          </cell>
          <cell r="B54" t="str">
            <v>USD</v>
          </cell>
          <cell r="C54">
            <v>1</v>
          </cell>
          <cell r="D54">
            <v>12150</v>
          </cell>
        </row>
        <row r="55">
          <cell r="A55">
            <v>46100</v>
          </cell>
          <cell r="B55" t="str">
            <v>USD</v>
          </cell>
          <cell r="C55">
            <v>1</v>
          </cell>
          <cell r="D55">
            <v>12150</v>
          </cell>
        </row>
        <row r="56">
          <cell r="A56">
            <v>46101</v>
          </cell>
          <cell r="B56" t="str">
            <v>USD</v>
          </cell>
          <cell r="C56">
            <v>1</v>
          </cell>
          <cell r="D56">
            <v>12150</v>
          </cell>
        </row>
        <row r="57">
          <cell r="A57">
            <v>46102</v>
          </cell>
          <cell r="B57" t="str">
            <v>USD</v>
          </cell>
          <cell r="C57">
            <v>1</v>
          </cell>
          <cell r="D57">
            <v>12080</v>
          </cell>
        </row>
        <row r="58">
          <cell r="A58">
            <v>46103</v>
          </cell>
          <cell r="B58" t="str">
            <v>USD</v>
          </cell>
          <cell r="C58">
            <v>1</v>
          </cell>
          <cell r="D58">
            <v>12080</v>
          </cell>
        </row>
        <row r="59">
          <cell r="A59">
            <v>46104</v>
          </cell>
          <cell r="B59" t="str">
            <v>USD</v>
          </cell>
          <cell r="C59">
            <v>1</v>
          </cell>
          <cell r="D59">
            <v>12080</v>
          </cell>
        </row>
        <row r="60">
          <cell r="A60">
            <v>46105</v>
          </cell>
          <cell r="B60" t="str">
            <v>USD</v>
          </cell>
          <cell r="C60">
            <v>1</v>
          </cell>
          <cell r="D60">
            <v>12100</v>
          </cell>
        </row>
        <row r="61">
          <cell r="A61">
            <v>46106</v>
          </cell>
          <cell r="B61" t="str">
            <v>USD</v>
          </cell>
          <cell r="C61">
            <v>1</v>
          </cell>
          <cell r="D61">
            <v>12210</v>
          </cell>
        </row>
        <row r="62">
          <cell r="A62">
            <v>46107</v>
          </cell>
          <cell r="B62" t="str">
            <v>USD</v>
          </cell>
          <cell r="C62">
            <v>1</v>
          </cell>
          <cell r="D62">
            <v>12120</v>
          </cell>
        </row>
        <row r="63">
          <cell r="A63">
            <v>46108</v>
          </cell>
          <cell r="B63" t="str">
            <v>USD</v>
          </cell>
          <cell r="C63">
            <v>1</v>
          </cell>
          <cell r="D63">
            <v>12120</v>
          </cell>
        </row>
        <row r="64">
          <cell r="A64">
            <v>46109</v>
          </cell>
          <cell r="B64" t="str">
            <v>USD</v>
          </cell>
          <cell r="C64">
            <v>1</v>
          </cell>
          <cell r="D64">
            <v>12000</v>
          </cell>
        </row>
        <row r="65">
          <cell r="A65">
            <v>46110</v>
          </cell>
          <cell r="B65" t="str">
            <v>USD</v>
          </cell>
          <cell r="C65">
            <v>1</v>
          </cell>
          <cell r="D65">
            <v>12100</v>
          </cell>
        </row>
        <row r="66">
          <cell r="A66">
            <v>46111</v>
          </cell>
          <cell r="B66" t="str">
            <v>USD</v>
          </cell>
          <cell r="C66">
            <v>1</v>
          </cell>
          <cell r="D66">
            <v>12100</v>
          </cell>
        </row>
        <row r="67">
          <cell r="A67">
            <v>46112</v>
          </cell>
          <cell r="B67" t="str">
            <v>USD</v>
          </cell>
          <cell r="C67">
            <v>1</v>
          </cell>
          <cell r="D67">
            <v>12130</v>
          </cell>
        </row>
        <row r="68">
          <cell r="A68">
            <v>46113</v>
          </cell>
          <cell r="B68" t="str">
            <v>USD</v>
          </cell>
          <cell r="C68">
            <v>1</v>
          </cell>
          <cell r="D68">
            <v>12100</v>
          </cell>
        </row>
        <row r="69">
          <cell r="A69">
            <v>46114</v>
          </cell>
          <cell r="B69" t="str">
            <v>USD</v>
          </cell>
          <cell r="C69">
            <v>1</v>
          </cell>
          <cell r="D69">
            <v>12100</v>
          </cell>
        </row>
        <row r="70">
          <cell r="A70">
            <v>46115</v>
          </cell>
          <cell r="B70" t="str">
            <v>USD</v>
          </cell>
          <cell r="C70">
            <v>1</v>
          </cell>
          <cell r="D70">
            <v>12100</v>
          </cell>
        </row>
        <row r="71">
          <cell r="A71">
            <v>46116</v>
          </cell>
          <cell r="B71" t="str">
            <v>USD</v>
          </cell>
          <cell r="C71">
            <v>1</v>
          </cell>
          <cell r="D71">
            <v>12000</v>
          </cell>
        </row>
        <row r="72">
          <cell r="A72">
            <v>46117</v>
          </cell>
          <cell r="B72" t="str">
            <v>USD</v>
          </cell>
          <cell r="C72">
            <v>1</v>
          </cell>
          <cell r="D72">
            <v>12000</v>
          </cell>
        </row>
        <row r="73">
          <cell r="A73">
            <v>46118</v>
          </cell>
          <cell r="B73" t="str">
            <v>USD</v>
          </cell>
          <cell r="C73">
            <v>1</v>
          </cell>
          <cell r="D73">
            <v>12000</v>
          </cell>
        </row>
        <row r="74">
          <cell r="A74">
            <v>46119</v>
          </cell>
          <cell r="B74" t="str">
            <v>USD</v>
          </cell>
          <cell r="C74">
            <v>1</v>
          </cell>
          <cell r="D74">
            <v>12100</v>
          </cell>
        </row>
        <row r="75">
          <cell r="A75">
            <v>46120</v>
          </cell>
          <cell r="B75" t="str">
            <v>USD</v>
          </cell>
          <cell r="C75">
            <v>1</v>
          </cell>
          <cell r="D75">
            <v>12150</v>
          </cell>
        </row>
        <row r="76">
          <cell r="A76">
            <v>46121</v>
          </cell>
          <cell r="B76" t="str">
            <v>USD</v>
          </cell>
          <cell r="C76">
            <v>1</v>
          </cell>
          <cell r="D76">
            <v>12150</v>
          </cell>
        </row>
        <row r="77">
          <cell r="A77">
            <v>46122</v>
          </cell>
          <cell r="B77" t="str">
            <v>USD</v>
          </cell>
          <cell r="C77">
            <v>1</v>
          </cell>
          <cell r="D77">
            <v>12200</v>
          </cell>
        </row>
        <row r="78">
          <cell r="A78">
            <v>46123</v>
          </cell>
          <cell r="B78" t="str">
            <v>USD</v>
          </cell>
          <cell r="C78">
            <v>1</v>
          </cell>
          <cell r="D78">
            <v>12200</v>
          </cell>
        </row>
        <row r="79">
          <cell r="A79">
            <v>46124</v>
          </cell>
          <cell r="B79" t="str">
            <v>USD</v>
          </cell>
          <cell r="C79">
            <v>1</v>
          </cell>
          <cell r="D79">
            <v>12200</v>
          </cell>
        </row>
        <row r="80">
          <cell r="A80">
            <v>46125</v>
          </cell>
          <cell r="B80" t="str">
            <v>USD</v>
          </cell>
          <cell r="C80">
            <v>1</v>
          </cell>
          <cell r="D80">
            <v>12150</v>
          </cell>
        </row>
        <row r="81">
          <cell r="A81">
            <v>46126</v>
          </cell>
          <cell r="B81" t="str">
            <v>USD</v>
          </cell>
          <cell r="C81">
            <v>1</v>
          </cell>
          <cell r="D81">
            <v>12000</v>
          </cell>
        </row>
        <row r="82">
          <cell r="A82">
            <v>46127</v>
          </cell>
          <cell r="B82" t="str">
            <v>USD</v>
          </cell>
          <cell r="C82">
            <v>1</v>
          </cell>
          <cell r="D82">
            <v>12000</v>
          </cell>
        </row>
        <row r="83">
          <cell r="A83">
            <v>46128</v>
          </cell>
          <cell r="B83" t="str">
            <v>USD</v>
          </cell>
          <cell r="C83">
            <v>1</v>
          </cell>
          <cell r="D83">
            <v>12150</v>
          </cell>
        </row>
        <row r="84">
          <cell r="A84">
            <v>46129</v>
          </cell>
          <cell r="B84" t="str">
            <v>USD</v>
          </cell>
          <cell r="C84">
            <v>1</v>
          </cell>
          <cell r="D84">
            <v>12200</v>
          </cell>
        </row>
        <row r="85">
          <cell r="A85">
            <v>46130</v>
          </cell>
          <cell r="B85" t="str">
            <v>USD</v>
          </cell>
          <cell r="C85">
            <v>1</v>
          </cell>
          <cell r="D85">
            <v>12150</v>
          </cell>
        </row>
        <row r="86">
          <cell r="A86">
            <v>46131</v>
          </cell>
          <cell r="B86" t="str">
            <v>USD</v>
          </cell>
          <cell r="C86">
            <v>1</v>
          </cell>
          <cell r="D86">
            <v>12150</v>
          </cell>
        </row>
        <row r="87">
          <cell r="A87">
            <v>46132</v>
          </cell>
          <cell r="B87" t="str">
            <v>USD</v>
          </cell>
          <cell r="C87">
            <v>1</v>
          </cell>
          <cell r="D87">
            <v>12040</v>
          </cell>
        </row>
        <row r="88">
          <cell r="A88">
            <v>46133</v>
          </cell>
          <cell r="B88" t="str">
            <v>USD</v>
          </cell>
          <cell r="C88">
            <v>1</v>
          </cell>
          <cell r="D88">
            <v>12130</v>
          </cell>
        </row>
        <row r="89">
          <cell r="A89">
            <v>46134</v>
          </cell>
          <cell r="B89" t="str">
            <v>USD</v>
          </cell>
          <cell r="C89">
            <v>1</v>
          </cell>
          <cell r="D89">
            <v>12130</v>
          </cell>
        </row>
        <row r="90">
          <cell r="A90">
            <v>46135</v>
          </cell>
          <cell r="B90" t="str">
            <v>USD</v>
          </cell>
          <cell r="C90">
            <v>1</v>
          </cell>
          <cell r="D90">
            <v>12100</v>
          </cell>
        </row>
        <row r="91">
          <cell r="A91">
            <v>46136</v>
          </cell>
          <cell r="B91" t="str">
            <v>USD</v>
          </cell>
          <cell r="C91">
            <v>1</v>
          </cell>
          <cell r="D91">
            <v>12050</v>
          </cell>
        </row>
        <row r="92">
          <cell r="A92">
            <v>46137</v>
          </cell>
          <cell r="B92" t="str">
            <v>USD</v>
          </cell>
          <cell r="C92">
            <v>1</v>
          </cell>
          <cell r="D92">
            <v>12060</v>
          </cell>
        </row>
        <row r="93">
          <cell r="A93">
            <v>46138</v>
          </cell>
          <cell r="B93" t="str">
            <v>USD</v>
          </cell>
          <cell r="C93">
            <v>1</v>
          </cell>
          <cell r="D93">
            <v>12070</v>
          </cell>
        </row>
        <row r="94">
          <cell r="A94">
            <v>46139</v>
          </cell>
          <cell r="B94" t="str">
            <v>USD</v>
          </cell>
          <cell r="C94">
            <v>1</v>
          </cell>
          <cell r="D94">
            <v>12100</v>
          </cell>
        </row>
        <row r="95">
          <cell r="A95">
            <v>46140</v>
          </cell>
          <cell r="B95" t="str">
            <v>USD</v>
          </cell>
          <cell r="C95">
            <v>1</v>
          </cell>
          <cell r="D95">
            <v>12000</v>
          </cell>
        </row>
        <row r="96">
          <cell r="A96">
            <v>46141</v>
          </cell>
          <cell r="B96" t="str">
            <v>USD</v>
          </cell>
          <cell r="C96">
            <v>1</v>
          </cell>
          <cell r="D96">
            <v>12100</v>
          </cell>
        </row>
        <row r="97">
          <cell r="A97">
            <v>46142</v>
          </cell>
          <cell r="B97" t="str">
            <v>USD</v>
          </cell>
          <cell r="C97">
            <v>1</v>
          </cell>
          <cell r="D97">
            <v>12100</v>
          </cell>
        </row>
        <row r="98">
          <cell r="A98">
            <v>46143</v>
          </cell>
          <cell r="B98" t="str">
            <v>USD</v>
          </cell>
          <cell r="C98">
            <v>1</v>
          </cell>
          <cell r="D98">
            <v>12100</v>
          </cell>
        </row>
        <row r="99">
          <cell r="A99">
            <v>46144</v>
          </cell>
          <cell r="B99" t="str">
            <v>USD</v>
          </cell>
          <cell r="C99">
            <v>1</v>
          </cell>
          <cell r="D99">
            <v>12000</v>
          </cell>
        </row>
        <row r="100">
          <cell r="A100">
            <v>46145</v>
          </cell>
          <cell r="B100" t="str">
            <v>USD</v>
          </cell>
          <cell r="C100">
            <v>1</v>
          </cell>
          <cell r="D100">
            <v>12000</v>
          </cell>
        </row>
        <row r="101">
          <cell r="A101">
            <v>46146</v>
          </cell>
          <cell r="B101" t="str">
            <v>USD</v>
          </cell>
          <cell r="C101">
            <v>1</v>
          </cell>
          <cell r="D101">
            <v>12000</v>
          </cell>
        </row>
        <row r="102">
          <cell r="A102">
            <v>46147</v>
          </cell>
          <cell r="B102" t="str">
            <v>USD</v>
          </cell>
          <cell r="C102">
            <v>1</v>
          </cell>
          <cell r="D102">
            <v>12000</v>
          </cell>
        </row>
        <row r="103">
          <cell r="A103">
            <v>46148</v>
          </cell>
          <cell r="B103" t="str">
            <v>USD</v>
          </cell>
          <cell r="C103">
            <v>1</v>
          </cell>
          <cell r="D103">
            <v>11800</v>
          </cell>
        </row>
        <row r="104">
          <cell r="A104">
            <v>46149</v>
          </cell>
          <cell r="B104" t="str">
            <v>USD</v>
          </cell>
          <cell r="C104">
            <v>1</v>
          </cell>
          <cell r="D104">
            <v>12170</v>
          </cell>
        </row>
        <row r="105">
          <cell r="A105">
            <v>46150</v>
          </cell>
          <cell r="B105" t="str">
            <v>USD</v>
          </cell>
          <cell r="C105">
            <v>1</v>
          </cell>
          <cell r="D105">
            <v>12100</v>
          </cell>
        </row>
        <row r="106">
          <cell r="A106">
            <v>46151</v>
          </cell>
          <cell r="B106" t="str">
            <v>USD</v>
          </cell>
          <cell r="C106">
            <v>1</v>
          </cell>
          <cell r="D106">
            <v>12100</v>
          </cell>
        </row>
        <row r="107">
          <cell r="A107">
            <v>46152</v>
          </cell>
          <cell r="B107" t="str">
            <v>USD</v>
          </cell>
          <cell r="C107">
            <v>1</v>
          </cell>
          <cell r="D107">
            <v>12100</v>
          </cell>
        </row>
        <row r="108">
          <cell r="A108">
            <v>46153</v>
          </cell>
          <cell r="B108" t="str">
            <v>USD</v>
          </cell>
          <cell r="C108">
            <v>1</v>
          </cell>
          <cell r="D108">
            <v>12200</v>
          </cell>
        </row>
        <row r="109">
          <cell r="A109">
            <v>46154</v>
          </cell>
          <cell r="B109" t="str">
            <v>USD</v>
          </cell>
          <cell r="C109">
            <v>1</v>
          </cell>
          <cell r="D109"/>
        </row>
        <row r="110">
          <cell r="A110">
            <v>46155</v>
          </cell>
          <cell r="B110" t="str">
            <v>USD</v>
          </cell>
          <cell r="C110">
            <v>1</v>
          </cell>
          <cell r="D110"/>
        </row>
        <row r="111">
          <cell r="A111">
            <v>46156</v>
          </cell>
          <cell r="B111" t="str">
            <v>USD</v>
          </cell>
          <cell r="C111">
            <v>1</v>
          </cell>
          <cell r="D111"/>
        </row>
        <row r="112">
          <cell r="A112">
            <v>46157</v>
          </cell>
          <cell r="B112" t="str">
            <v>USD</v>
          </cell>
          <cell r="C112">
            <v>1</v>
          </cell>
          <cell r="D112"/>
        </row>
        <row r="113">
          <cell r="A113">
            <v>46158</v>
          </cell>
          <cell r="B113" t="str">
            <v>USD</v>
          </cell>
          <cell r="C113">
            <v>1</v>
          </cell>
          <cell r="D113"/>
        </row>
        <row r="114">
          <cell r="A114">
            <v>46159</v>
          </cell>
          <cell r="B114" t="str">
            <v>USD</v>
          </cell>
          <cell r="C114">
            <v>1</v>
          </cell>
          <cell r="D114"/>
        </row>
        <row r="115">
          <cell r="A115">
            <v>46160</v>
          </cell>
          <cell r="B115" t="str">
            <v>USD</v>
          </cell>
          <cell r="C115">
            <v>1</v>
          </cell>
          <cell r="D115"/>
        </row>
        <row r="116">
          <cell r="A116">
            <v>46161</v>
          </cell>
          <cell r="B116" t="str">
            <v>USD</v>
          </cell>
          <cell r="C116">
            <v>1</v>
          </cell>
          <cell r="D116"/>
        </row>
        <row r="117">
          <cell r="A117">
            <v>46162</v>
          </cell>
          <cell r="B117" t="str">
            <v>USD</v>
          </cell>
          <cell r="C117">
            <v>1</v>
          </cell>
          <cell r="D117"/>
        </row>
        <row r="118">
          <cell r="A118">
            <v>46163</v>
          </cell>
          <cell r="B118" t="str">
            <v>USD</v>
          </cell>
          <cell r="C118">
            <v>1</v>
          </cell>
          <cell r="D118"/>
        </row>
        <row r="119">
          <cell r="A119">
            <v>46164</v>
          </cell>
          <cell r="B119" t="str">
            <v>USD</v>
          </cell>
          <cell r="C119">
            <v>1</v>
          </cell>
          <cell r="D119"/>
        </row>
        <row r="120">
          <cell r="A120">
            <v>46165</v>
          </cell>
          <cell r="B120" t="str">
            <v>USD</v>
          </cell>
          <cell r="C120">
            <v>1</v>
          </cell>
          <cell r="D120"/>
        </row>
        <row r="121">
          <cell r="A121">
            <v>46166</v>
          </cell>
          <cell r="B121" t="str">
            <v>USD</v>
          </cell>
          <cell r="C121">
            <v>1</v>
          </cell>
          <cell r="D121"/>
        </row>
        <row r="122">
          <cell r="A122">
            <v>46167</v>
          </cell>
          <cell r="B122" t="str">
            <v>USD</v>
          </cell>
          <cell r="C122">
            <v>1</v>
          </cell>
          <cell r="D122"/>
        </row>
        <row r="123">
          <cell r="A123">
            <v>46168</v>
          </cell>
          <cell r="B123" t="str">
            <v>USD</v>
          </cell>
          <cell r="C123">
            <v>1</v>
          </cell>
          <cell r="D123"/>
        </row>
        <row r="124">
          <cell r="A124">
            <v>46169</v>
          </cell>
          <cell r="B124" t="str">
            <v>USD</v>
          </cell>
          <cell r="C124">
            <v>1</v>
          </cell>
          <cell r="D124"/>
        </row>
        <row r="125">
          <cell r="A125">
            <v>46170</v>
          </cell>
          <cell r="B125" t="str">
            <v>USD</v>
          </cell>
          <cell r="C125">
            <v>1</v>
          </cell>
          <cell r="D125"/>
        </row>
        <row r="126">
          <cell r="A126">
            <v>46171</v>
          </cell>
          <cell r="B126" t="str">
            <v>USD</v>
          </cell>
          <cell r="C126">
            <v>1</v>
          </cell>
          <cell r="D126"/>
        </row>
        <row r="127">
          <cell r="A127">
            <v>46172</v>
          </cell>
          <cell r="B127" t="str">
            <v>USD</v>
          </cell>
          <cell r="C127">
            <v>1</v>
          </cell>
          <cell r="D127"/>
        </row>
        <row r="128">
          <cell r="A128">
            <v>46173</v>
          </cell>
          <cell r="B128" t="str">
            <v>USD</v>
          </cell>
          <cell r="C128">
            <v>1</v>
          </cell>
          <cell r="D128"/>
        </row>
        <row r="129">
          <cell r="A129">
            <v>46174</v>
          </cell>
          <cell r="B129" t="str">
            <v>USD</v>
          </cell>
          <cell r="C129">
            <v>1</v>
          </cell>
          <cell r="D129"/>
        </row>
        <row r="130">
          <cell r="A130">
            <v>46175</v>
          </cell>
          <cell r="B130" t="str">
            <v>USD</v>
          </cell>
          <cell r="C130">
            <v>1</v>
          </cell>
          <cell r="D130"/>
        </row>
        <row r="131">
          <cell r="A131">
            <v>46176</v>
          </cell>
          <cell r="B131" t="str">
            <v>USD</v>
          </cell>
          <cell r="C131">
            <v>1</v>
          </cell>
          <cell r="D131"/>
        </row>
        <row r="132">
          <cell r="A132">
            <v>46177</v>
          </cell>
          <cell r="B132" t="str">
            <v>USD</v>
          </cell>
          <cell r="C132">
            <v>1</v>
          </cell>
          <cell r="D132"/>
        </row>
        <row r="133">
          <cell r="A133">
            <v>46178</v>
          </cell>
          <cell r="B133" t="str">
            <v>USD</v>
          </cell>
          <cell r="C133">
            <v>1</v>
          </cell>
          <cell r="D133"/>
        </row>
        <row r="134">
          <cell r="A134">
            <v>46179</v>
          </cell>
          <cell r="B134" t="str">
            <v>USD</v>
          </cell>
          <cell r="C134">
            <v>1</v>
          </cell>
          <cell r="D134"/>
        </row>
        <row r="135">
          <cell r="A135">
            <v>46180</v>
          </cell>
          <cell r="B135" t="str">
            <v>USD</v>
          </cell>
          <cell r="C135">
            <v>1</v>
          </cell>
          <cell r="D135"/>
        </row>
        <row r="136">
          <cell r="A136">
            <v>46181</v>
          </cell>
          <cell r="B136" t="str">
            <v>USD</v>
          </cell>
          <cell r="C136">
            <v>1</v>
          </cell>
          <cell r="D136"/>
        </row>
        <row r="137">
          <cell r="A137">
            <v>46182</v>
          </cell>
          <cell r="B137" t="str">
            <v>USD</v>
          </cell>
          <cell r="C137">
            <v>1</v>
          </cell>
          <cell r="D137"/>
        </row>
        <row r="138">
          <cell r="A138">
            <v>46183</v>
          </cell>
          <cell r="B138" t="str">
            <v>USD</v>
          </cell>
          <cell r="C138">
            <v>1</v>
          </cell>
          <cell r="D138"/>
        </row>
        <row r="139">
          <cell r="A139">
            <v>46184</v>
          </cell>
          <cell r="B139" t="str">
            <v>USD</v>
          </cell>
          <cell r="C139">
            <v>1</v>
          </cell>
          <cell r="D139"/>
        </row>
        <row r="140">
          <cell r="A140">
            <v>46185</v>
          </cell>
          <cell r="B140" t="str">
            <v>USD</v>
          </cell>
          <cell r="C140">
            <v>1</v>
          </cell>
          <cell r="D140"/>
        </row>
        <row r="141">
          <cell r="A141">
            <v>46186</v>
          </cell>
          <cell r="B141" t="str">
            <v>USD</v>
          </cell>
          <cell r="C141">
            <v>1</v>
          </cell>
          <cell r="D141"/>
        </row>
        <row r="142">
          <cell r="A142">
            <v>46187</v>
          </cell>
          <cell r="B142" t="str">
            <v>USD</v>
          </cell>
          <cell r="C142">
            <v>1</v>
          </cell>
          <cell r="D142"/>
        </row>
        <row r="143">
          <cell r="A143">
            <v>46188</v>
          </cell>
          <cell r="B143" t="str">
            <v>USD</v>
          </cell>
          <cell r="C143">
            <v>1</v>
          </cell>
          <cell r="D143"/>
        </row>
        <row r="144">
          <cell r="A144">
            <v>46189</v>
          </cell>
          <cell r="B144" t="str">
            <v>USD</v>
          </cell>
          <cell r="C144">
            <v>1</v>
          </cell>
          <cell r="D144"/>
        </row>
        <row r="145">
          <cell r="A145">
            <v>46190</v>
          </cell>
          <cell r="B145" t="str">
            <v>USD</v>
          </cell>
          <cell r="C145">
            <v>1</v>
          </cell>
          <cell r="D145"/>
        </row>
        <row r="146">
          <cell r="A146">
            <v>46191</v>
          </cell>
          <cell r="B146" t="str">
            <v>USD</v>
          </cell>
          <cell r="C146">
            <v>1</v>
          </cell>
          <cell r="D146"/>
        </row>
      </sheetData>
      <sheetData sheetId="19"/>
      <sheetData sheetId="20"/>
      <sheetData sheetId="21"/>
      <sheetData sheetId="2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35B3DB-23C9-4E91-81B6-80CFAA1B391A}" name="Таблица2" displayName="Таблица2" ref="A2:F12" totalsRowShown="0" headerRowDxfId="164" dataDxfId="162" headerRowBorderDxfId="163" tableBorderDxfId="161" totalsRowBorderDxfId="160" headerRowCellStyle="Вывод" dataCellStyle="Денежный">
  <autoFilter ref="A2:F12" xr:uid="{7235B3DB-23C9-4E91-81B6-80CFAA1B391A}"/>
  <tableColumns count="6">
    <tableColumn id="1" xr3:uid="{086B6BD4-704A-42C6-AE9F-615C3B1C9929}" name="Категория" dataDxfId="159"/>
    <tableColumn id="2" xr3:uid="{B9EED653-9C45-49FA-9E82-E05E6C01A2C9}" name="2025г.Ноябрь" dataDxfId="158"/>
    <tableColumn id="3" xr3:uid="{AEF6E7B3-34DD-4A5F-8D56-6D04496DAF60}" name="2025г.Декабрь" dataDxfId="157"/>
    <tableColumn id="4" xr3:uid="{3E76FD9B-F0E0-4AF7-98F6-E2047EDF5D47}" name="2026г.Февраль" dataDxfId="156" dataCellStyle="Денежный"/>
    <tableColumn id="5" xr3:uid="{B273F133-C5BF-4FFD-AE77-8CB452B5B1D7}" name="2026г.Март" dataDxfId="155" dataCellStyle="Денежный"/>
    <tableColumn id="6" xr3:uid="{374A9E68-F4B6-488F-9D5C-C6CC4624365D}" name="2026г.Апрель" dataDxfId="154" dataCellStyle="Денежный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73F2F03-B55D-41E6-BD3F-15520FC889E8}" name="Таблица25" displayName="Таблица25" ref="A15:F25" totalsRowShown="0" headerRowDxfId="153" dataDxfId="151" headerRowBorderDxfId="152" tableBorderDxfId="150" totalsRowBorderDxfId="149" headerRowCellStyle="Вывод" dataCellStyle="Денежный">
  <autoFilter ref="A15:F25" xr:uid="{773F2F03-B55D-41E6-BD3F-15520FC889E8}"/>
  <tableColumns count="6">
    <tableColumn id="1" xr3:uid="{0F507E4C-11D7-4B79-9B12-9DE65882554B}" name="Категория" dataDxfId="148"/>
    <tableColumn id="2" xr3:uid="{CED70D5D-3D75-4DD3-BDAB-0BA0AE7B486C}" name="2025г.Ноябрь" dataDxfId="147"/>
    <tableColumn id="3" xr3:uid="{F6D40F79-EB66-4138-A5EF-787A25F3DE88}" name="2025г.Декабрь" dataDxfId="146"/>
    <tableColumn id="4" xr3:uid="{E4F016BA-A0E8-4547-9D1E-3AFF8EA0137D}" name="2026г.Февраль" dataDxfId="145" dataCellStyle="Денежный"/>
    <tableColumn id="5" xr3:uid="{9B2DC41C-5EB4-4236-ABE8-20653167BF75}" name="2026г.Март" dataDxfId="144" dataCellStyle="Денежный"/>
    <tableColumn id="6" xr3:uid="{275D74BE-2417-402A-BF1B-F3FE36B05BDD}" name="2026г.Апрель" dataDxfId="143" dataCellStyle="Денежный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56905AA-662D-4779-A2A9-7F475D8B2F01}" name="Таблица6" displayName="Таблица6" ref="A1:H49" totalsRowShown="0" headerRowDxfId="142" headerRowBorderDxfId="141" tableBorderDxfId="140" totalsRowBorderDxfId="139">
  <autoFilter ref="A1:H49" xr:uid="{456905AA-662D-4779-A2A9-7F475D8B2F01}"/>
  <tableColumns count="8">
    <tableColumn id="1" xr3:uid="{65038D76-48C7-483F-BC2C-5BC5EC7CD43C}" name="Дата"/>
    <tableColumn id="2" xr3:uid="{696D6D72-733D-4520-B864-31C469C24155}" name="№"/>
    <tableColumn id="3" xr3:uid="{06DDF724-67C7-4256-8696-4E6F46B73E79}" name="Наименование товара"/>
    <tableColumn id="4" xr3:uid="{6879F454-CC58-4B4D-ACD2-B2FC57FF1321}" name="Ед.изм"/>
    <tableColumn id="5" xr3:uid="{8702EA2D-A4CE-4153-9726-BAFB5860B31D}" name="Кол-во"/>
    <tableColumn id="6" xr3:uid="{9C5FF8ED-239F-403E-838E-38821517495A}" name="Сумма"/>
    <tableColumn id="7" xr3:uid="{D9191AC3-4315-42A6-8A14-73962F067C44}" name="В долларе"/>
    <tableColumn id="8" xr3:uid="{11B37CF4-2E8D-4A18-B871-D9362A762ABA}" name="Заказчик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847B4DA-6696-4B2B-85D5-F060C8354386}" name="Таблица8" displayName="Таблица8" ref="A1:H359" totalsRowShown="0" headerRowDxfId="138" headerRowBorderDxfId="137" tableBorderDxfId="136">
  <autoFilter ref="A1:H359" xr:uid="{2847B4DA-6696-4B2B-85D5-F060C8354386}"/>
  <tableColumns count="8">
    <tableColumn id="1" xr3:uid="{3F41045C-A611-41D7-97EF-558F25DDF0E9}" name="Дата" dataDxfId="135"/>
    <tableColumn id="2" xr3:uid="{DB6BAA30-FEE1-4DFB-8CF0-DEFBE8B98AAD}" name="Наименование" dataDxfId="134"/>
    <tableColumn id="3" xr3:uid="{0DDFA5BC-33BE-4632-8AC8-6D74B56AB191}" name="Ед.изм" dataDxfId="133"/>
    <tableColumn id="4" xr3:uid="{1D0A3102-514F-4450-B15E-720ADFDDE519}" name="Кол-во" dataDxfId="132"/>
    <tableColumn id="5" xr3:uid="{BBDAE739-B7A8-4784-B925-FC4F7FE1D482}" name="Сумма за ед.изм" dataDxfId="131" dataCellStyle="Денежный">
      <calculatedColumnFormula>F2/D2</calculatedColumnFormula>
    </tableColumn>
    <tableColumn id="6" xr3:uid="{97AFFBCB-31D7-462A-9B0F-0C8043A3FA98}" name="Общая" dataDxfId="130" dataCellStyle="Денежный"/>
    <tableColumn id="7" xr3:uid="{044BABB3-E092-4611-921C-B4BA94451893}" name="В долларе" dataDxfId="129">
      <calculatedColumnFormula>IF(A2&lt;&gt;"", F2/ VLOOKUP(A2, 'Курс валют'!$A:$D, 4, 0), "")</calculatedColumnFormula>
    </tableColumn>
    <tableColumn id="8" xr3:uid="{BB0D9923-642F-40A5-906F-CD8B8DA1CC73}" name="Столбец1" dataDxfId="12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D240428-FF19-4C59-B57B-753ACF65956D}" name="Таблица7" displayName="Таблица7" ref="A1:AD300" totalsRowShown="0" headerRowDxfId="197" dataDxfId="196" tableBorderDxfId="195">
  <autoFilter ref="A1:AD300" xr:uid="{0D240428-FF19-4C59-B57B-753ACF65956D}"/>
  <tableColumns count="30">
    <tableColumn id="1" xr3:uid="{00495F32-DD33-4A68-B18E-D72A8D85775E}" name="№" dataDxfId="194"/>
    <tableColumn id="2" xr3:uid="{984CD543-569F-4277-BE2A-72EAAE6C3005}" name="Дата" dataDxfId="193"/>
    <tableColumn id="3" xr3:uid="{6FDEF373-0E29-4CD5-A77A-76ED3E4CB2FF}" name="Номер Авто" dataDxfId="192"/>
    <tableColumn id="30" xr3:uid="{C542529E-2443-46C2-891F-D6E66B0A1A2F}" name="Использовано" dataDxfId="191"/>
    <tableColumn id="4" xr3:uid="{4D28CC34-7CBC-4A16-85D7-4ABCF1F0E2B6}" name="Катанка" dataDxfId="190"/>
    <tableColumn id="21" xr3:uid="{453E54DB-4931-4DD6-A10A-4CE73AE9A18D}" name="Использовано10" dataDxfId="189"/>
    <tableColumn id="5" xr3:uid="{810FECEB-07CA-41B0-87C0-E8C1CB865D88}" name="D8" dataDxfId="188"/>
    <tableColumn id="22" xr3:uid="{B6CCC590-19F3-4936-89F7-F50C565ECAF8}" name="Использовано2" dataDxfId="187"/>
    <tableColumn id="6" xr3:uid="{7E46B1DB-2092-4667-AB35-8997962ECDC4}" name="D10" dataDxfId="186"/>
    <tableColumn id="23" xr3:uid="{650F1EF3-AD4C-4F78-BE4D-61FF9C7BBFD8}" name="Использовано3" dataDxfId="185"/>
    <tableColumn id="7" xr3:uid="{56003C65-A114-4608-ABE6-C8A357757A1F}" name="D12" dataDxfId="184"/>
    <tableColumn id="24" xr3:uid="{0F002F31-BA56-4ED8-94B3-9EF38C71AB56}" name="Использовано4" dataDxfId="183"/>
    <tableColumn id="8" xr3:uid="{C3E33946-02B0-4679-AF52-BED5908EF0A1}" name="D14" dataDxfId="182"/>
    <tableColumn id="25" xr3:uid="{EE2227F4-0AA5-4D28-9E54-DF6CB1F8E3AB}" name="Использовано5" dataDxfId="181"/>
    <tableColumn id="9" xr3:uid="{E208EE9F-AF7D-4FD5-A3E2-222AB8C51DA6}" name="D16" dataDxfId="180"/>
    <tableColumn id="26" xr3:uid="{EF152C1C-C603-49C6-9985-F808A7EBFAA0}" name="Использовано6" dataDxfId="179"/>
    <tableColumn id="10" xr3:uid="{61ACEFFA-45EA-4F64-B371-79EB0C16AD55}" name="D18" dataDxfId="178"/>
    <tableColumn id="27" xr3:uid="{335F9ED9-8C0B-4A77-9EFD-8CF0A17CF0DA}" name="Использовано7" dataDxfId="177"/>
    <tableColumn id="11" xr3:uid="{67F16DD2-7440-492E-B4B0-19915A67E84A}" name="D20" dataDxfId="176"/>
    <tableColumn id="28" xr3:uid="{2E64EFFA-6963-431F-8A85-17EA34D0E55F}" name="Использовано8" dataDxfId="175"/>
    <tableColumn id="12" xr3:uid="{7591FFAD-DCD7-4ABD-9953-22F7278917F3}" name="D22" dataDxfId="174"/>
    <tableColumn id="29" xr3:uid="{DFFA4D6F-CF9D-4F25-AAD7-937F89D9B0EA}" name="Использовано9" dataDxfId="173"/>
    <tableColumn id="13" xr3:uid="{AC53A0D2-E948-494A-B4B0-D378C0183C56}" name="D25" dataDxfId="172"/>
    <tableColumn id="14" xr3:uid="{D75A4691-FCF3-4CA8-B9CA-DCEDA6AE7EA7}" name="Итого" dataDxfId="171"/>
    <tableColumn id="15" xr3:uid="{4C6DF1A5-0AD9-474F-96D7-77867BBF4943}" name="Угольник (40мм) 4 ст" dataDxfId="170"/>
    <tableColumn id="16" xr3:uid="{9242DA09-A216-4442-B28F-3905787F85E0}" name="Пруд (50)" dataDxfId="169"/>
    <tableColumn id="17" xr3:uid="{396339A7-8F5F-4F1D-BF96-C2FE913FD5C7}" name="Пруд (32)" dataDxfId="168"/>
    <tableColumn id="18" xr3:uid="{5411B379-F20D-4FA0-A46F-CB0B8B64CE70}" name="Итого2" dataDxfId="167"/>
    <tableColumn id="19" xr3:uid="{597EC716-68CF-47C3-B699-14D19CA539BC}" name="Курс" dataDxfId="166"/>
    <tableColumn id="20" xr3:uid="{0C34377D-231A-4E7F-AD0B-8D1EAAE875CC}" name="В долларе" dataDxfId="16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1AB4E2C-A8E0-4511-A0B0-87293A41EA84}" name="Таблица3" displayName="Таблица3" ref="A1:O301" totalsRowShown="0" headerRowDxfId="127" dataDxfId="125" headerRowBorderDxfId="126" tableBorderDxfId="124" totalsRowBorderDxfId="123" headerRowCellStyle="Нейтральный">
  <autoFilter ref="A1:O301" xr:uid="{E1AB4E2C-A8E0-4511-A0B0-87293A41EA84}"/>
  <sortState xmlns:xlrd2="http://schemas.microsoft.com/office/spreadsheetml/2017/richdata2" ref="A2:O301">
    <sortCondition ref="A215:A301"/>
  </sortState>
  <tableColumns count="15">
    <tableColumn id="1" xr3:uid="{D95DE0F2-CB3A-4FD7-ADD6-D5D1F47CA122}" name="Дата" dataDxfId="122"/>
    <tableColumn id="2" xr3:uid="{B9E313B8-B030-4392-ADE9-16637B6956D9}" name="Категория " dataDxfId="121" dataCellStyle="Вывод"/>
    <tableColumn id="3" xr3:uid="{3212FDD6-7479-491C-A759-0627AF3AD8FE}" name="Ед.изм" dataDxfId="120"/>
    <tableColumn id="4" xr3:uid="{99B6BB41-7C12-49C3-BAAC-BC813EC5E691}" name="К-во" dataDxfId="119"/>
    <tableColumn id="5" xr3:uid="{C73EAC8F-FEED-4602-92B3-959C0C6289C4}" name="Процесс работы" dataDxfId="118"/>
    <tableColumn id="6" xr3:uid="{E9C72770-ABB9-44F8-81BC-4313124422B6}" name="Деньги" dataDxfId="117"/>
    <tableColumn id="7" xr3:uid="{D15476AD-8DBB-4D25-B6F7-99B960920F7A}" name="Валюта" dataDxfId="116"/>
    <tableColumn id="8" xr3:uid="{89E04808-3E33-4C43-81AB-6AD3C88C6A18}" name="Приход" dataDxfId="115" dataCellStyle="Хороший"/>
    <tableColumn id="9" xr3:uid="{A8DD387F-245B-47DB-84AE-AB53A1205EDF}" name="Валюта2" dataDxfId="114"/>
    <tableColumn id="10" xr3:uid="{45E03F39-E22E-423F-82ED-C726308E53DA}" name="Расход" dataDxfId="113" dataCellStyle="Плохой"/>
    <tableColumn id="11" xr3:uid="{5659A57B-2B28-4B42-A3E7-8D29B69B1AAA}" name="Текущий курс" dataDxfId="112"/>
    <tableColumn id="12" xr3:uid="{A48B6CD1-FBD9-4D49-ABC8-9BCC4DB0645D}" name="Сумма в сумах" dataDxfId="111"/>
    <tableColumn id="13" xr3:uid="{1C8BEF86-4DB8-491C-8D47-6FE5D34B291F}" name="Остатка" dataDxfId="110" dataCellStyle="Нейтральный"/>
    <tableColumn id="15" xr3:uid="{52AD98B8-E0A0-4AD7-96D0-23478F91F608}" name="По доллару" dataDxfId="109" dataCellStyle="Обычный">
      <calculatedColumnFormula>IF(A2&lt;&gt;"", J2 / VLOOKUP(A2, '[1]Курс валют'!$A:$D, 4, 0), "")</calculatedColumnFormula>
    </tableColumn>
    <tableColumn id="14" xr3:uid="{739F3954-4DBA-4744-BA2C-590D78800EDE}" name="Возврат" dataDxfId="108"/>
  </tableColumns>
  <tableStyleInfo name="TableStyleMedium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163E192-D8A2-4E3A-BD6A-2F8868CA5E96}" name="Таблица4" displayName="Таблица4" ref="A2:F56" totalsRowShown="0" headerRowBorderDxfId="107" tableBorderDxfId="106">
  <autoFilter ref="A2:F56" xr:uid="{E163E192-D8A2-4E3A-BD6A-2F8868CA5E96}"/>
  <tableColumns count="6">
    <tableColumn id="1" xr3:uid="{6AA7C2A8-5365-4716-A3CF-5A44A7C42D0E}" name="Столбец1" dataDxfId="105"/>
    <tableColumn id="2" xr3:uid="{169B2ED4-9DFF-4464-99F4-128483D51441}" name="Столбец2" dataDxfId="104"/>
    <tableColumn id="3" xr3:uid="{3A89EBED-CB97-4126-B341-43FE4AD1854C}" name="Столбец3" dataDxfId="103"/>
    <tableColumn id="4" xr3:uid="{B3C240E6-8E1E-4B55-AE4D-188C27489CFE}" name="Столбец4" dataDxfId="102"/>
    <tableColumn id="5" xr3:uid="{5EA4AABC-A294-42DE-B5C3-8EFEF4EBD8FC}" name="Столбец5" dataDxfId="101" dataCellStyle="Денежный"/>
    <tableColumn id="6" xr3:uid="{C886286B-44D3-455E-AC8C-C3FA6C7FA0E5}" name="Столбец6" dataDxfId="100">
      <calculatedColumnFormula>IF(A3&lt;&gt;"", D3 / VLOOKUP(A3, 'Курс валют'!$A:$D, 4, 0), "")+Таблица4[[#This Row],[Столбец5]]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078B73F-5934-41D3-B01D-F1F572BCCBEF}" name="Таблица36" displayName="Таблица36" ref="A1:O301" totalsRowShown="0" headerRowDxfId="99" dataDxfId="97" headerRowBorderDxfId="98" tableBorderDxfId="96" totalsRowBorderDxfId="95" headerRowCellStyle="Нейтральный">
  <autoFilter ref="A1:O301" xr:uid="{3078B73F-5934-41D3-B01D-F1F572BCCBEF}"/>
  <tableColumns count="15">
    <tableColumn id="1" xr3:uid="{AF043F33-263F-4286-A9D3-BD4A438CECFF}" name="Дата" dataDxfId="94"/>
    <tableColumn id="2" xr3:uid="{3FA99751-0ACF-4DC2-B982-9D2A84E0CF77}" name="Категория " dataDxfId="93" dataCellStyle="Вывод"/>
    <tableColumn id="3" xr3:uid="{265D01D7-AACA-4D3D-8911-7DC5DB7F9088}" name="Ед.изм" dataDxfId="92"/>
    <tableColumn id="4" xr3:uid="{9DCCE703-B62A-46C1-B640-E5643D5A3785}" name="К-во" dataDxfId="91"/>
    <tableColumn id="5" xr3:uid="{A43C9966-6011-44F6-AE5C-4F9756B4C0A5}" name="Процесс работы" dataDxfId="90"/>
    <tableColumn id="6" xr3:uid="{BB981117-AC6D-401F-B4CE-886060EB160C}" name="Деньги" dataDxfId="89"/>
    <tableColumn id="7" xr3:uid="{7BC52032-42D2-4CD5-8B77-2BB59BC8809E}" name="Валюта" dataDxfId="88"/>
    <tableColumn id="8" xr3:uid="{F4A59946-CC30-4DC4-8350-6E186835F171}" name="Приход" dataDxfId="87" dataCellStyle="Хороший"/>
    <tableColumn id="9" xr3:uid="{3885699D-A996-4DEC-9CE3-9FABF852339A}" name="Валюта2" dataDxfId="86"/>
    <tableColumn id="10" xr3:uid="{E99381B9-C70E-427D-919D-46C11591D3CC}" name="Расход" dataDxfId="85" dataCellStyle="Плохой"/>
    <tableColumn id="11" xr3:uid="{9BBDC643-41FD-4820-BD65-F167C6A0B0A3}" name="Текущий курс" dataDxfId="84"/>
    <tableColumn id="12" xr3:uid="{68432818-34A2-44FB-8D3C-9C068E466E22}" name="Сумма в сумах" dataDxfId="83"/>
    <tableColumn id="13" xr3:uid="{AA3D7BDB-15EE-4ACF-8216-387788B00D6D}" name="Остатка" dataDxfId="82" dataCellStyle="Нейтральный"/>
    <tableColumn id="15" xr3:uid="{C4677EE0-E6CF-4721-AA0E-9679EFD03D7F}" name="По доллару" dataDxfId="81" dataCellStyle="Обычный">
      <calculatedColumnFormula>IF(A2&lt;&gt;"", J2 / VLOOKUP(A2, '[1]Курс валют'!$A:$D, 4, 0), "")</calculatedColumnFormula>
    </tableColumn>
    <tableColumn id="14" xr3:uid="{5707587F-1E86-498B-8919-942EED960F80}" name="Возврат" dataDxfId="8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4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  <wetp:taskpane dockstate="right" visibility="0" width="700" row="5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549F9302-6A5A-46C3-999C-4C6255E3B5E0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3bda2ee2-ad55-4824-80cb-a2c103c9b0c8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5DF8E163-5874-4F68-8E27-69E4B01C30C7}">
  <we:reference id="wa200007951" version="2.1.2.0" store="ru-RU" storeType="OMEX"/>
  <we:alternateReferences>
    <we:reference id="WA200007951" version="2.1.2.0" store="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2BC83174-0E22-4058-9970-CEBE532C5BA5}">
  <we:reference id="wa200010725" version="1.0.0.1" store="ru-RU" storeType="OMEX"/>
  <we:alternateReferences>
    <we:reference id="WA200010725" version="1.0.0.1" store="" storeType="OMEX"/>
  </we:alternateReferences>
  <we:properties>
    <we:property name="claude.fileId" value="&quot;369dc938-e375-4f43-bc4f-e1b35cd607fe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4.v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8.xml"/><Relationship Id="rId1" Type="http://schemas.openxmlformats.org/officeDocument/2006/relationships/vmlDrawing" Target="../drawings/vmlDrawing5.v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210A1-5C03-49C6-86B9-46B9163F13D9}">
  <sheetPr codeName="Worksheet____1">
    <tabColor rgb="FF92D050"/>
  </sheetPr>
  <dimension ref="A1:N25"/>
  <sheetViews>
    <sheetView tabSelected="1" zoomScale="63" workbookViewId="0">
      <selection activeCell="B16" sqref="B16"/>
    </sheetView>
  </sheetViews>
  <sheetFormatPr defaultRowHeight="14.25" x14ac:dyDescent="0.45"/>
  <cols>
    <col min="1" max="1" width="30.1328125" customWidth="1"/>
    <col min="2" max="7" width="23.9296875" customWidth="1"/>
    <col min="8" max="14" width="17.33203125" bestFit="1" customWidth="1"/>
  </cols>
  <sheetData>
    <row r="1" spans="1:14" ht="30" customHeight="1" thickBot="1" x14ac:dyDescent="0.5">
      <c r="A1" s="621" t="s">
        <v>0</v>
      </c>
      <c r="B1" s="621"/>
      <c r="C1" s="621"/>
      <c r="D1" s="621"/>
      <c r="E1" s="621"/>
      <c r="F1" s="621"/>
      <c r="G1" s="621"/>
      <c r="H1" s="621"/>
      <c r="I1" s="621"/>
      <c r="J1" s="621"/>
      <c r="K1" s="621"/>
      <c r="L1" s="621"/>
      <c r="M1" s="621"/>
      <c r="N1" s="621"/>
    </row>
    <row r="2" spans="1:14" ht="24" customHeight="1" thickBot="1" x14ac:dyDescent="0.5">
      <c r="A2" s="12" t="s">
        <v>1</v>
      </c>
      <c r="B2" s="13" t="s">
        <v>2</v>
      </c>
      <c r="C2" s="13" t="s">
        <v>3</v>
      </c>
      <c r="D2" s="13" t="s">
        <v>4</v>
      </c>
      <c r="E2" s="13" t="s">
        <v>5</v>
      </c>
      <c r="F2" s="13" t="s">
        <v>6</v>
      </c>
      <c r="G2" s="14" t="s">
        <v>7</v>
      </c>
      <c r="H2" s="12" t="s">
        <v>8</v>
      </c>
      <c r="I2" s="13" t="s">
        <v>9</v>
      </c>
      <c r="J2" s="13" t="s">
        <v>10</v>
      </c>
      <c r="K2" s="13" t="s">
        <v>11</v>
      </c>
      <c r="L2" s="13" t="s">
        <v>12</v>
      </c>
      <c r="M2" s="13" t="s">
        <v>13</v>
      </c>
      <c r="N2" s="14" t="s">
        <v>14</v>
      </c>
    </row>
    <row r="3" spans="1:14" ht="22.15" customHeight="1" x14ac:dyDescent="0.45">
      <c r="A3" s="10" t="s">
        <v>15</v>
      </c>
      <c r="B3" s="567">
        <f>SUMIFS('Оплата рабочих'!$F$2:$F$106,'Оплата рабочих'!$A$2:$A$106,"&gt;=01.11.2025",'Оплата рабочих'!$A$2:$A$106,"&lt;=30.11.2025")</f>
        <v>91695000</v>
      </c>
      <c r="C3" s="567">
        <f>SUMIFS('Оплата рабочих'!$F$4:$F$106,'Оплата рабочих'!$A$4:$A$106,"&gt;=01.12.2025",'Оплата рабочих'!$A$4:$A$106,"&lt;=31.12.2025")</f>
        <v>0</v>
      </c>
      <c r="D3" s="567">
        <f>SUMIFS('Оплата рабочих'!$F$4:$F$106,'Оплата рабочих'!$A$4:$A$106,"&gt;=01.02.2026",'Оплата рабочих'!$A$4:$A$106,"&lt;=28.02.2026")</f>
        <v>407530000</v>
      </c>
      <c r="E3" s="567">
        <f>SUMIFS('Оплата рабочих'!$F$4:$F$106,'Оплата рабочих'!$A$4:$A$106,"&gt;=01.03.2026",'Оплата рабочих'!$A$4:$A$106,"&lt;=31.03.2026")</f>
        <v>459180000</v>
      </c>
      <c r="F3" s="567">
        <f>SUMIFS('Оплата рабочих'!$F$4:$F$106,'Оплата рабочих'!$A$4:$A$106,"&gt;=01.04.2026",'Оплата рабочих'!$A$4:$A$106,"&lt;=30.04.2026")</f>
        <v>0</v>
      </c>
      <c r="G3" s="11">
        <f>SUMIFS('Оплата рабочих'!$F$4:$F$106,'Оплата рабочих'!$A$4:$A$106,"&gt;=01.05.2026",'Оплата рабочих'!$A$4:$A$106,"&lt;=31.05.2026")</f>
        <v>703280000</v>
      </c>
      <c r="H3" s="11">
        <f>SUMIFS('Оплата рабочих'!$F$4:$F$106,'Оплата рабочих'!$A$4:$A$106,"&gt;=01.06.2026",'Оплата рабочих'!$A$4:$A$106,"&lt;=30.06.2026")</f>
        <v>937110000</v>
      </c>
      <c r="I3" s="567"/>
      <c r="J3" s="567"/>
      <c r="K3" s="567"/>
      <c r="L3" s="567"/>
      <c r="M3" s="567"/>
      <c r="N3" s="11"/>
    </row>
    <row r="4" spans="1:14" ht="22.15" customHeight="1" x14ac:dyDescent="0.45">
      <c r="A4" s="3" t="s">
        <v>16</v>
      </c>
      <c r="B4" s="568">
        <f>SUMIFS(Снабжения!$H$3:$H$1022,Снабжения!$A$3:$A$1022,"&gt;=01.11.2025",Снабжения!$A$3:$A$1022,"&lt;=30.11.2025")</f>
        <v>34494035.5</v>
      </c>
      <c r="C4" s="568">
        <f>SUMIFS(Снабжения!$H$3:$H$1022,Снабжения!$A$3:$A$1022,"&gt;=01.12.2025",Снабжения!$A$3:$A$1022,"&lt;=31.12.2025")</f>
        <v>0</v>
      </c>
      <c r="D4" s="568">
        <f>SUMIFS(Снабжения!$H$3:$H$1022,Снабжения!$A$3:$A$1022,"&gt;=01.02.2026",Снабжения!$A$3:$A$1022,"&lt;=28.02.2026")</f>
        <v>83209644</v>
      </c>
      <c r="E4" s="568">
        <f>SUMIFS(Снабжения!$H$3:$H$1022,Снабжения!$A$3:$A$1022,"&gt;=01.03.2026",Снабжения!$A$3:$A$1022,"&lt;=31.03.2026")</f>
        <v>48394067</v>
      </c>
      <c r="F4" s="568">
        <f>SUMIFS(Снабжения!$H$3:$H$1022,Снабжения!$A$3:$A$1022,"&gt;=01.04.2026",Снабжения!$A$3:$A$1022,"&lt;=30.04.2026")</f>
        <v>47268860</v>
      </c>
      <c r="G4" s="6">
        <f>SUMIFS(Снабжения!$H$3:$H$1022,Снабжения!$A$3:$A$1022,"&gt;=01.05.2026",Снабжения!$A$3:$A$1022,"&lt;=31.05.2026")</f>
        <v>46954138.200000003</v>
      </c>
      <c r="H4" s="6">
        <f>SUMIFS(Снабжения!$H$3:$H$1022,Снабжения!$A$3:$A$1022,"&gt;=01.06.2026",Снабжения!$A$3:$A$1022,"&lt;=30.06.2026")</f>
        <v>0</v>
      </c>
      <c r="I4" s="568"/>
      <c r="J4" s="568"/>
      <c r="K4" s="568"/>
      <c r="L4" s="568"/>
      <c r="M4" s="568"/>
      <c r="N4" s="6"/>
    </row>
    <row r="5" spans="1:14" ht="22.15" customHeight="1" x14ac:dyDescent="0.45">
      <c r="A5" s="3" t="s">
        <v>17</v>
      </c>
      <c r="B5" s="569">
        <f>SUMIFS('Арматура приход'!$AB$2:$AB$192,'Арматура приход'!$B$2:$B$192,"&gt;=01.11.2025",'Арматура приход'!$B$2:$B$192,"&lt;=30.11.2025")</f>
        <v>843355673.60000002</v>
      </c>
      <c r="C5" s="569">
        <f>SUMIFS('Арматура приход'!$AB$2:$AB$192,'Арматура приход'!$B$2:$B$192,"&gt;=01.12.2025",'Арматура приход'!$B$2:$B$192,"&lt;=31.12.2025")</f>
        <v>0</v>
      </c>
      <c r="D5" s="569">
        <f>SUMIFS('Арматура приход'!$AB$2:$AB$192,'Арматура приход'!$B$2:$B$192,"&gt;=01.02.2026",'Арматура приход'!$B$2:$B$192,"&lt;=28.02.2026")</f>
        <v>1344752928</v>
      </c>
      <c r="E5" s="569">
        <f>SUMIFS('Арматура приход'!$AB$2:$AB$192,'Арматура приход'!$B$2:$B$192,"&gt;=01.03.2026",'Арматура приход'!$B$2:$B$192,"&lt;=31.03.2026")</f>
        <v>571152608</v>
      </c>
      <c r="F5" s="569">
        <f>SUMIFS('Арматура приход'!$AB$2:$AB$192,'Арматура приход'!$B$2:$B$192,"&gt;=01.04.2026",'Арматура приход'!$B$2:$B$192,"&lt;=30.04.2026")</f>
        <v>1175574400</v>
      </c>
      <c r="G5" s="491">
        <f>SUMIFS('Арматура приход'!$AB$2:$AB$300,'Арматура приход'!$B$2:$B$300,"&gt;=01.05.2026",'Арматура приход'!$B$2:$B$300,"&lt;=31.05.2026")</f>
        <v>1343005248</v>
      </c>
      <c r="H5" s="491">
        <f>SUMIFS('Арматура приход'!$AB$2:$AB$300,'Арматура приход'!$B$2:$B$300,"&gt;=01.06.2026",'Арматура приход'!$B$2:$B$300,"&lt;=30.06.2026")</f>
        <v>0</v>
      </c>
      <c r="I5" s="569"/>
      <c r="J5" s="569"/>
      <c r="K5" s="569"/>
      <c r="L5" s="569"/>
      <c r="M5" s="569"/>
      <c r="N5" s="5"/>
    </row>
    <row r="6" spans="1:14" ht="22.15" customHeight="1" x14ac:dyDescent="0.45">
      <c r="A6" s="3" t="s">
        <v>18</v>
      </c>
      <c r="B6" s="568">
        <f>SUMIFS(Бетон!$F:$F,Бетон!$A:$A,"&gt;=01.11.2025",Бетон!$A:$A,"&lt;=30.11.2025")</f>
        <v>95090000</v>
      </c>
      <c r="C6" s="568">
        <f>SUMIFS(Бетон!$F:$F,Бетон!$A:$A,"&gt;=01.12.2025",Бетон!$A:$A,"&lt;=31.12.2025")</f>
        <v>0</v>
      </c>
      <c r="D6" s="568">
        <f>SUMIFS(Бетон!$F:$F,Бетон!$A:$A,"&gt;=01.02.2026",Бетон!$A:$A,"&lt;=28.02.2026")</f>
        <v>1837510000</v>
      </c>
      <c r="E6" s="568">
        <f>SUMIFS(Бетон!$F:$F,Бетон!$A:$A,"&gt;=01.03.2026",Бетон!$A:$A,"&lt;=31.03.2026")</f>
        <v>618770000</v>
      </c>
      <c r="F6" s="568">
        <f>SUMIFS(Бетон!$F:$F,Бетон!$A:$A,"&gt;=01.04.2026",Бетон!$A:$A,"&lt;=30.04.2026")</f>
        <v>752500000</v>
      </c>
      <c r="G6" s="6">
        <f>SUMIFS(Бетон!$F:$F,Бетон!$A:$A,"&gt;=01.05.2026",Бетон!$A:$A,"&lt;=31.05.2026")</f>
        <v>811300000</v>
      </c>
      <c r="H6" s="6">
        <f>SUMIFS(Бетон!$F:$F,Бетон!$A:$A,"&gt;=01.06.2026",Бетон!$A:$A,"&lt;=30.06.2026")</f>
        <v>151200000</v>
      </c>
      <c r="I6" s="568"/>
      <c r="J6" s="568"/>
      <c r="K6" s="568"/>
      <c r="L6" s="568"/>
      <c r="M6" s="568"/>
      <c r="N6" s="6"/>
    </row>
    <row r="7" spans="1:14" ht="22.15" customHeight="1" x14ac:dyDescent="0.45">
      <c r="A7" s="3" t="s">
        <v>19</v>
      </c>
      <c r="B7" s="569">
        <f>SUMIFS(Строй.Мат!$M$2:$M$1010,Строй.Мат!$A$2:$A$1010,"&gt;=01.11.2025",Строй.Мат!$A$2:$A$1010,"&lt;=30.11.2025")</f>
        <v>7100000</v>
      </c>
      <c r="C7" s="569">
        <f>SUMIFS(Строй.Мат!$M$2:$M$1010,Строй.Мат!$A$2:$A$1010,"&gt;=01.12.2025",Строй.Мат!$A$2:$A$1010,"&lt;=31.12.2025")</f>
        <v>0</v>
      </c>
      <c r="D7" s="569">
        <f>SUMIFS(Строй.Мат!$M$2:$M$1010,Строй.Мат!$A$2:$A$1010,"&gt;=01.02.2026",Строй.Мат!$A$2:$A$1010,"&lt;=28.02.2026")</f>
        <v>0</v>
      </c>
      <c r="E7" s="569">
        <f>SUMIFS(Строй.Мат!$M$2:$M$1010,Строй.Мат!$A$2:$A$1010,"&gt;=01.03.2026",Строй.Мат!$A$2:$A$1010,"&lt;=31.03.2026")</f>
        <v>676731600</v>
      </c>
      <c r="F7" s="569">
        <f>SUMIFS(Строй.Мат!$M$2:$M$1010,Строй.Мат!$A$2:$A$1010,"&gt;=01.04.2026",Строй.Мат!$A$2:$A$1010,"&lt;=30.04.2026")</f>
        <v>1419436000</v>
      </c>
      <c r="G7" s="5">
        <f>SUMIFS(Строй.Мат!$M$2:$M$1010,Строй.Мат!$A$2:$A$1010,"&gt;=01.05.2026",Строй.Мат!$A$2:$A$1010,"&lt;=31.05.2026")</f>
        <v>8300000</v>
      </c>
      <c r="H7" s="5">
        <f>SUMIFS(Строй.Мат!$M$2:$M$1010,Строй.Мат!$A$2:$A$1010,"&gt;=01.06.2026",Строй.Мат!$A$2:$A$1010,"&lt;=30.06.2026")</f>
        <v>28500000</v>
      </c>
      <c r="I7" s="569"/>
      <c r="J7" s="569"/>
      <c r="K7" s="569"/>
      <c r="L7" s="569"/>
      <c r="M7" s="569"/>
      <c r="N7" s="5"/>
    </row>
    <row r="8" spans="1:14" ht="22.15" customHeight="1" x14ac:dyDescent="0.45">
      <c r="A8" s="3" t="s">
        <v>20</v>
      </c>
      <c r="B8" s="568">
        <f ca="1">SUMIFS(Расходы!$J$2:$J$1000,Расходы!$A$2:$A$1000,"&gt;=01.11.2025",Расходы!$A$2:$A$1000,"&lt;=30.11.2025")</f>
        <v>0</v>
      </c>
      <c r="C8" s="568">
        <f ca="1">SUMIFS(Расходы!$J$2:$J$1000,Расходы!$A$2:$A$1000,"&gt;=01.12.2025",Расходы!$A$2:$A$1000,"&lt;=31.12.2025")</f>
        <v>0</v>
      </c>
      <c r="D8" s="568">
        <f ca="1">SUMIFS(Расходы!$J$2:$J$1000,Расходы!$A$2:$A$1000,"&gt;=01.02.2026",Расходы!$A$2:$A$1000,"&lt;=28.02.2026")</f>
        <v>86333494</v>
      </c>
      <c r="E8" s="568">
        <f ca="1">SUMIFS(Расходы!$J$2:$J$1000,Расходы!$A$2:$A$1000,"&gt;=01.03.2026",Расходы!$A$2:$A$1000,"&lt;=31.03.2026")</f>
        <v>8778300</v>
      </c>
      <c r="F8" s="568">
        <f ca="1">SUMIFS(Расходы!$J$2:$J$1000,Расходы!$A$2:$A$1000,"&gt;=01.04.2026",Расходы!$A$2:$A$1000,"&lt;=30.04.2026")</f>
        <v>6895500</v>
      </c>
      <c r="G8" s="6">
        <f ca="1">SUMIFS(Расходы!$J$2:$J$1000,Расходы!$A$2:$A$1000,"&gt;=01.05.2026",Расходы!$A$2:$A$1000,"&lt;=31.05.2026")</f>
        <v>0</v>
      </c>
      <c r="H8" s="6">
        <f ca="1">SUMIFS(Расходы!$J$2:$J$1000,Расходы!$A$2:$A$1000,"&gt;=01.06.2026",Расходы!$A$2:$A$1000,"&lt;=30.06.2026")</f>
        <v>12000000</v>
      </c>
      <c r="I8" s="568"/>
      <c r="J8" s="568"/>
      <c r="K8" s="568"/>
      <c r="L8" s="568"/>
      <c r="M8" s="568"/>
      <c r="N8" s="6"/>
    </row>
    <row r="9" spans="1:14" ht="22.15" customHeight="1" x14ac:dyDescent="0.45">
      <c r="A9" s="4" t="s">
        <v>21</v>
      </c>
      <c r="B9" s="570">
        <f t="shared" ref="B9:E9" si="0">B18/640</f>
        <v>110.444</v>
      </c>
      <c r="C9" s="570">
        <f t="shared" si="0"/>
        <v>0</v>
      </c>
      <c r="D9" s="570">
        <f t="shared" si="0"/>
        <v>173.42500000000001</v>
      </c>
      <c r="E9" s="570">
        <f t="shared" si="0"/>
        <v>73.825000000000003</v>
      </c>
      <c r="F9" s="570">
        <f>F18/640</f>
        <v>151.95999999999998</v>
      </c>
      <c r="G9" s="7">
        <f>G18/640</f>
        <v>274.89999999999998</v>
      </c>
      <c r="H9" s="7">
        <f>H18/640</f>
        <v>0</v>
      </c>
      <c r="I9" s="570"/>
      <c r="J9" s="570"/>
      <c r="K9" s="570"/>
      <c r="L9" s="570"/>
      <c r="M9" s="570"/>
      <c r="N9" s="7"/>
    </row>
    <row r="10" spans="1:14" ht="22.15" customHeight="1" x14ac:dyDescent="0.45">
      <c r="A10" s="17" t="s">
        <v>22</v>
      </c>
      <c r="B10" s="571">
        <f>SUMIFS(Бозорлик!$F$2:$F$1002,Бозорлик!$A$2:$A$1002,"&gt;=01.11.2025",Бозорлик!$A$2:$A$1002,"&lt;=30.11.2025")</f>
        <v>850000</v>
      </c>
      <c r="C10" s="571">
        <f>SUMIFS(Бозорлик!$F$2:$F$1002,Бозорлик!$A$2:$A$1002,"&gt;=01.12.2025",Бозорлик!$A$2:$A$1002,"&lt;=31.12.2025")</f>
        <v>0</v>
      </c>
      <c r="D10" s="571">
        <f>SUMIFS(Бозорлик!$F$2:$F$1002,Бозорлик!$A$2:$A$1002,"&gt;=01.02.2026",Бозорлик!$A$2:$A$1002,"&lt;=28.02.2026")</f>
        <v>17507440</v>
      </c>
      <c r="E10" s="571">
        <f>SUMIFS(Бозорлик!$F$2:$F$1002,Бозорлик!$A$2:$A$1002,"&gt;=01.03.2026",Бозорлик!$A$2:$A$1002,"&lt;=31.03.2026")</f>
        <v>24949045.540000003</v>
      </c>
      <c r="F10" s="571">
        <f>SUMIFS(Бозорлик!$F$2:$F$1002,Бозорлик!$A$2:$A$1002,"&gt;=01.04.2026",Бозорлик!$A$2:$A$1002,"&lt;=30.04.2026")</f>
        <v>29292190.969999999</v>
      </c>
      <c r="G10" s="18">
        <f>SUMIFS(Бозорлик!$F$2:$F$1002,Бозорлик!$A$2:$A$1002,"&gt;=01.05.2026",Бозорлик!$A$2:$A$1002,"&lt;=31.05.2026")</f>
        <v>40428150</v>
      </c>
      <c r="H10" s="18">
        <f>SUMIFS(Бозорлик!$F$2:$F$1002,Бозорлик!$A$2:$A$1002,"&gt;=01.06.2026",Бозорлик!$A$2:$A$1002,"&lt;=30.06.2026")</f>
        <v>3285000</v>
      </c>
      <c r="I10" s="571"/>
      <c r="J10" s="571"/>
      <c r="K10" s="571"/>
      <c r="L10" s="571"/>
      <c r="M10" s="571"/>
      <c r="N10" s="18"/>
    </row>
    <row r="11" spans="1:14" ht="22.15" customHeight="1" thickBot="1" x14ac:dyDescent="0.5">
      <c r="A11" s="20" t="s">
        <v>23</v>
      </c>
      <c r="B11" s="572">
        <f>SUMIFS(Спец.Техника!$F$2:$F$1018,Спец.Техника!$A$2:$A$1018,"&gt;=01.11.2025",Спец.Техника!$A$2:$A$1018,"&lt;=30.11.2025")</f>
        <v>0</v>
      </c>
      <c r="C11" s="572">
        <f>SUMIFS(Спец.Техника!$F$2:$F$1018,Спец.Техника!$A$2:$A$1018,"&gt;=01.12.2025",Спец.Техника!$A$2:$A$1018,"&lt;=31.12.2025")</f>
        <v>0</v>
      </c>
      <c r="D11" s="572">
        <f>SUMIFS(Спец.Техника!$F$2:$F$1018,Спец.Техника!$A$2:$A$1018,"&gt;=01.02.2026",Спец.Техника!$A$2:$A$1018,"&lt;=28.02.2026")</f>
        <v>48390000</v>
      </c>
      <c r="E11" s="572">
        <f>SUMIFS(Спец.Техника!$F$2:$F$1018,Спец.Техника!$A$2:$A$1018,"&gt;=01.03.2026",Спец.Техника!$A$2:$A$1018,"&lt;=31.03.2026")</f>
        <v>3500000</v>
      </c>
      <c r="F11" s="572">
        <f>SUMIFS(Спец.Техника!$F$2:$F$1018,Спец.Техника!$A$2:$A$1018,"&gt;=01.04.2026",Спец.Техника!$A$2:$A$1018,"&lt;=30.04.2026")</f>
        <v>2000000</v>
      </c>
      <c r="G11" s="21">
        <f>SUMIFS(Спец.Техника!$F$2:$F$1018,Спец.Техника!$A$2:$A$1018,"&gt;=01.05.2026",Спец.Техника!$A$2:$A$1018,"&lt;=31.05.2026")</f>
        <v>0</v>
      </c>
      <c r="H11" s="21">
        <f>SUMIFS(Спец.Техника!$F$2:$F$1018,Спец.Техника!$A$2:$A$1018,"&gt;=01.05.2026",Спец.Техника!$A$2:$A$1018,"&lt;=31.05.2026")</f>
        <v>0</v>
      </c>
      <c r="I11" s="572"/>
      <c r="J11" s="572"/>
      <c r="K11" s="572"/>
      <c r="L11" s="572"/>
      <c r="M11" s="572"/>
      <c r="N11" s="21"/>
    </row>
    <row r="12" spans="1:14" ht="28.15" customHeight="1" thickBot="1" x14ac:dyDescent="0.55000000000000004">
      <c r="A12" s="26" t="s">
        <v>24</v>
      </c>
      <c r="B12" s="2">
        <f ca="1">SUM(B3:B8,B10,B11)</f>
        <v>1072584709.1</v>
      </c>
      <c r="C12" s="2">
        <f t="shared" ref="C12:F12" ca="1" si="1">SUM(C3:C8,C10,C11)</f>
        <v>0</v>
      </c>
      <c r="D12" s="2">
        <f t="shared" ca="1" si="1"/>
        <v>3825233506</v>
      </c>
      <c r="E12" s="2">
        <f t="shared" ca="1" si="1"/>
        <v>2411455620.54</v>
      </c>
      <c r="F12" s="2">
        <f t="shared" ca="1" si="1"/>
        <v>3432966950.9699998</v>
      </c>
      <c r="G12" s="2">
        <f ca="1">SUM(G3:G8,G10,G11)</f>
        <v>2953267536.1999998</v>
      </c>
      <c r="H12" s="26">
        <f ca="1">SUM(H3:H8)</f>
        <v>1128810000</v>
      </c>
      <c r="I12" s="2">
        <f t="shared" ref="I12:N12" si="2">SUM(I3:I8)</f>
        <v>0</v>
      </c>
      <c r="J12" s="2">
        <f t="shared" si="2"/>
        <v>0</v>
      </c>
      <c r="K12" s="2">
        <f t="shared" si="2"/>
        <v>0</v>
      </c>
      <c r="L12" s="2">
        <f t="shared" si="2"/>
        <v>0</v>
      </c>
      <c r="M12" s="2">
        <f t="shared" si="2"/>
        <v>0</v>
      </c>
      <c r="N12" s="27">
        <f t="shared" si="2"/>
        <v>0</v>
      </c>
    </row>
    <row r="13" spans="1:14" ht="12" customHeight="1" x14ac:dyDescent="0.45">
      <c r="A13" s="28"/>
      <c r="B13" s="28"/>
      <c r="C13" s="28"/>
      <c r="D13" s="28"/>
      <c r="E13" s="28"/>
      <c r="F13" s="28"/>
      <c r="G13" s="28"/>
    </row>
    <row r="14" spans="1:14" ht="30" customHeight="1" thickBot="1" x14ac:dyDescent="0.5">
      <c r="A14" s="621" t="s">
        <v>25</v>
      </c>
      <c r="B14" s="621"/>
      <c r="C14" s="621"/>
      <c r="D14" s="621"/>
      <c r="E14" s="621"/>
      <c r="F14" s="621"/>
      <c r="G14" s="621"/>
      <c r="H14" s="621"/>
      <c r="I14" s="621"/>
      <c r="J14" s="621"/>
      <c r="K14" s="621"/>
      <c r="L14" s="621"/>
      <c r="M14" s="621"/>
      <c r="N14" s="621"/>
    </row>
    <row r="15" spans="1:14" ht="24" customHeight="1" thickBot="1" x14ac:dyDescent="0.5">
      <c r="A15" s="12" t="s">
        <v>1</v>
      </c>
      <c r="B15" s="16" t="s">
        <v>2</v>
      </c>
      <c r="C15" s="16" t="s">
        <v>3</v>
      </c>
      <c r="D15" s="16" t="s">
        <v>4</v>
      </c>
      <c r="E15" s="16" t="s">
        <v>5</v>
      </c>
      <c r="F15" s="16" t="s">
        <v>6</v>
      </c>
      <c r="G15" s="14" t="s">
        <v>7</v>
      </c>
      <c r="H15" s="12" t="s">
        <v>8</v>
      </c>
      <c r="I15" s="16" t="s">
        <v>9</v>
      </c>
      <c r="J15" s="16" t="s">
        <v>10</v>
      </c>
      <c r="K15" s="16" t="s">
        <v>11</v>
      </c>
      <c r="L15" s="16" t="s">
        <v>12</v>
      </c>
      <c r="M15" s="16" t="s">
        <v>13</v>
      </c>
      <c r="N15" s="14" t="s">
        <v>14</v>
      </c>
    </row>
    <row r="16" spans="1:14" ht="22.15" customHeight="1" x14ac:dyDescent="0.45">
      <c r="A16" s="10" t="s">
        <v>15</v>
      </c>
      <c r="B16" s="573">
        <f>SUMIFS('Оплата рабочих'!$G$2:$G$115,'Оплата рабочих'!$A$2:$A$115,"&gt;=01.11.2025",'Оплата рабочих'!$A$2:$A$115,"&lt;=30.11.2025")</f>
        <v>7641.25</v>
      </c>
      <c r="C16" s="573">
        <f>SUMIFS('Оплата рабочих'!$G$2:$G$115,'Оплата рабочих'!$A$2:$A$115,"&gt;=01.12.2025",'Оплата рабочих'!$A$2:$A$115,"&lt;=31.12.2025")</f>
        <v>0</v>
      </c>
      <c r="D16" s="573">
        <f>SUMIFS('Оплата рабочих'!$G$2:$G$115,'Оплата рабочих'!$A$2:$A$115,"&gt;=01.02.2026",'Оплата рабочих'!$A$2:$A$115,"&lt;=28.02.2026")</f>
        <v>33705.800130279014</v>
      </c>
      <c r="E16" s="573">
        <f>SUMIFS('Оплата рабочих'!$G$2:$G$115,'Оплата рабочих'!$A$2:$A$115,"&gt;=01.03.2026",'Оплата рабочих'!$A$2:$A$115,"&lt;=31.03.2026")</f>
        <v>37854.905193734536</v>
      </c>
      <c r="F16" s="573">
        <f>SUMIFS('Оплата рабочих'!$G$2:$G$115,'Оплата рабочих'!$A$2:$A$115,"&gt;=01.04.2026",'Оплата рабочих'!$A$2:$A$115,"&lt;=30.04.2026")</f>
        <v>0</v>
      </c>
      <c r="G16" s="15">
        <f>SUMIFS('Оплата рабочих'!$G$2:$G$115,'Оплата рабочих'!$A$2:$A$115,"&gt;=01.05.2026",'Оплата рабочих'!$A$2:$A$115,"&lt;=31.05.2026")</f>
        <v>58331.184573002749</v>
      </c>
      <c r="H16" s="611" t="e">
        <f>SUMIFS('Оплата рабочих'!$G$2:$G$115,'Оплата рабочих'!$A$2:$A$115,"&gt;=01.06.2026",'Оплата рабочих'!$A$2:$A$115,"&lt;=30.06.2026")</f>
        <v>#DIV/0!</v>
      </c>
      <c r="I16" s="573"/>
      <c r="J16" s="573"/>
      <c r="K16" s="573"/>
      <c r="L16" s="573"/>
      <c r="M16" s="573"/>
      <c r="N16" s="15"/>
    </row>
    <row r="17" spans="1:14" ht="22.15" customHeight="1" x14ac:dyDescent="0.45">
      <c r="A17" s="3" t="s">
        <v>16</v>
      </c>
      <c r="B17" s="574" cm="1">
        <f t="array" ref="B17">SUMPRODUCT((Снабжения!$A$3:$A$1031&gt;=DATE(2025,11,1))*(Снабжения!$A$3:$A$1031&lt;=DATE(2025,11,30))*IFERROR(Снабжения!$P$3:$P$1031*1,0))</f>
        <v>2871.8605204767177</v>
      </c>
      <c r="C17" s="574" cm="1">
        <f t="array" ref="C17">SUMPRODUCT((Снабжения!$A$3:$A$1031&gt;=DATE(2025,12,1))*(Снабжения!$A$3:$A$1031&lt;=DATE(2025,12,31))*IFERROR(Снабжения!$P$3:$P$1031*1,0))</f>
        <v>0</v>
      </c>
      <c r="D17" s="574" cm="1">
        <f t="array" ref="D17">SUMPRODUCT((Снабжения!$A$3:$A$1031&gt;=DATE(2026,2,1))*(Снабжения!$A$3:$A$1031&lt;=DATE(2026,2,28))*IFERROR(Снабжения!$P$3:$P$1031*1,0))</f>
        <v>6859.6783011295238</v>
      </c>
      <c r="E17" s="574" cm="1">
        <f t="array" ref="E17">SUMPRODUCT((Снабжения!$A$3:$A$1031&gt;=DATE(2026,3,1))*(Снабжения!$A$3:$A$1031&lt;=DATE(2026,3,31))*IFERROR(Снабжения!$P$3:$P$1031*1,0))</f>
        <v>4004.5188585541964</v>
      </c>
      <c r="F17" s="574" cm="1">
        <f t="array" ref="F17">SUMPRODUCT((Снабжения!$A$3:$A$1031&gt;=DATE(2026,4,1))*(Снабжения!$A$3:$A$1031&lt;=DATE(2026,4,30))*IFERROR(Снабжения!$P$3:$P$1031*1,0))</f>
        <v>3913.6016041577341</v>
      </c>
      <c r="G17" s="9" cm="1">
        <f t="array" ref="G17">SUMPRODUCT((Снабжения!$A$3:$A$1031&gt;=DATE(2026,5,1))*(Снабжения!$A$3:$A$1031&lt;=DATE(2026,5,31))*IFERROR(Снабжения!$P$3:$P$1031*1,0))</f>
        <v>2737.9201857414087</v>
      </c>
      <c r="H17" s="6" t="e">
        <f>SUMIFS(Снабжения!$P$3:$P$1022,Снабжения!$A$3:$A$1022,"&gt;=01.06.2026",Снабжения!$A$3:$A$1022,"&lt;=30.06.2026")</f>
        <v>#DIV/0!</v>
      </c>
      <c r="I17" s="574"/>
      <c r="J17" s="574"/>
      <c r="K17" s="574"/>
      <c r="L17" s="574"/>
      <c r="M17" s="574"/>
      <c r="N17" s="9"/>
    </row>
    <row r="18" spans="1:14" ht="22.15" customHeight="1" x14ac:dyDescent="0.45">
      <c r="A18" s="3" t="s">
        <v>17</v>
      </c>
      <c r="B18" s="575">
        <f>SUMIFS('Арматура приход'!$AD$2:$AD$192,'Арматура приход'!$B$2:$B$192,"&gt;=01.11.2025",'Арматура приход'!$B$2:$B$192,"&lt;=30.11.2025")</f>
        <v>70684.160000000003</v>
      </c>
      <c r="C18" s="575">
        <f>SUMIFS('Арматура приход'!$X$2:$X$192,'Арматура приход'!$B$2:$B$192,"&gt;=01.12.2025",'Арматура приход'!$B$2:$B$192,"&lt;=31.12.2025")</f>
        <v>0</v>
      </c>
      <c r="D18" s="575">
        <f>SUMIFS('Арматура приход'!$AD$2:$AD$192,'Арматура приход'!$B$2:$B$192,"&gt;=01.02.2026",'Арматура приход'!$B$2:$B$192,"&lt;=28.02.2026")</f>
        <v>110992</v>
      </c>
      <c r="E18" s="575">
        <f>SUMIFS('Арматура приход'!$AD$2:$AD$192,'Арматура приход'!$B$2:$B$192,"&gt;=01.03.2026",'Арматура приход'!$B$2:$B$192,"&lt;=31.03.2026")</f>
        <v>47248</v>
      </c>
      <c r="F18" s="492">
        <f>SUMIFS('Арматура приход'!$AD$2:$AD$300,'Арматура приход'!$B$2:$B$300,"&gt;=01.04.2026",'Арматура приход'!$B$2:$B$300,"&lt;=30.04.2026")</f>
        <v>97254.399999999994</v>
      </c>
      <c r="G18" s="490">
        <f>SUMIFS('Арматура приход'!$AD$2:$AD$300,'Арматура приход'!$B$2:$B$300,"&gt;=01.05.2026",'Арматура приход'!$B$2:$B$300,"&lt;=31.05.2026")</f>
        <v>175936</v>
      </c>
      <c r="H18" s="490">
        <f>SUMIFS('Арматура приход'!$AD$2:$AD$300,'Арматура приход'!$B$2:$B$300,"&gt;=01.06.2026",'Арматура приход'!$B$2:$B$300,"&lt;=30.06.2026")</f>
        <v>0</v>
      </c>
      <c r="I18" s="575"/>
      <c r="J18" s="575"/>
      <c r="K18" s="575"/>
      <c r="L18" s="575"/>
      <c r="M18" s="575"/>
      <c r="N18" s="8"/>
    </row>
    <row r="19" spans="1:14" ht="22.15" customHeight="1" x14ac:dyDescent="0.45">
      <c r="A19" s="3" t="s">
        <v>18</v>
      </c>
      <c r="B19" s="574">
        <f>SUMIFS(Бетон!$G:$G,Бетон!$A:$A,"&gt;=01.11.2025",Бетон!$A:$A,"&lt;=30.11.2025")</f>
        <v>8067.6651081239042</v>
      </c>
      <c r="C19" s="574">
        <f>SUMIFS(Бетон!$G:$G,Бетон!$A:$A,"&gt;=01.12.2025",Бетон!$A:$A,"&lt;=31.12.2025")</f>
        <v>0</v>
      </c>
      <c r="D19" s="574">
        <f>SUMIFS(Бетон!$G:$G,Бетон!$A:$A,"&gt;=01.02.2026",Бетон!$A:$A,"&lt;=28.02.2026")</f>
        <v>152166.81204506895</v>
      </c>
      <c r="E19" s="574">
        <f>SUMIFS(Бетон!$G:$G,Бетон!$A:$A,"&gt;=01.03.2026",Бетон!$A:$A,"&lt;=31.03.2026")</f>
        <v>51029.593459391421</v>
      </c>
      <c r="F19" s="574">
        <f>SUMIFS(Бетон!$G:$G,Бетон!$A:$A,"&gt;=01.04.2026",Бетон!$A:$A,"&lt;=30.04.2026")</f>
        <v>62402.971481959583</v>
      </c>
      <c r="G19" s="9" cm="1">
        <f t="array" ref="G19">SUMPRODUCT((Бетон!$A$2:$A$1086&gt;=DATE(2026,5,1))*(Бетон!$A$2:$A$1086&lt;=DATE(2026,5,31))*IFERROR(Бетон!$G$2:$G$1086*1,0))</f>
        <v>53347.409825465031</v>
      </c>
      <c r="H19" s="612" t="e">
        <f>SUMIFS(Бетон!$G:$G,Бетон!$A:$A,"&gt;=01.06.2026",Бетон!$A:$A,"&lt;=30.06.2026")</f>
        <v>#DIV/0!</v>
      </c>
      <c r="I19" s="574"/>
      <c r="J19" s="574"/>
      <c r="K19" s="574"/>
      <c r="L19" s="574"/>
      <c r="M19" s="574"/>
      <c r="N19" s="9"/>
    </row>
    <row r="20" spans="1:14" ht="22.15" customHeight="1" x14ac:dyDescent="0.45">
      <c r="A20" s="3" t="s">
        <v>19</v>
      </c>
      <c r="B20" s="575">
        <f>SUMIFS(Строй.Мат!$P$2:$P$1010,Строй.Мат!$A$2:$A$1010,"&gt;=01.11.2025",Строй.Мат!$A$2:$A$1010,"&lt;=30.11.2025")</f>
        <v>3175.0841043725013</v>
      </c>
      <c r="C20" s="575">
        <f>SUMIFS(Строй.Мат!$P$2:$P$1010,Строй.Мат!$A$2:$A$1010,"&gt;=01.12.2025",Строй.Мат!$A$2:$A$1010,"&lt;=31.12.2025")</f>
        <v>0</v>
      </c>
      <c r="D20" s="575">
        <f>SUMIFS(Строй.Мат!$P$2:$P$1010,Строй.Мат!$A$2:$A$1010,"&gt;=01.02.2026",Строй.Мат!$A$2:$A$1010,"&lt;=28.02.2026")</f>
        <v>631.14754098360652</v>
      </c>
      <c r="E20" s="575">
        <f>SUMIFS(Строй.Мат!$P$2:$P$1010,Строй.Мат!$A$2:$A$1010,"&gt;=01.03.2026",Строй.Мат!$A$2:$A$1010,"&lt;=31.03.2026")</f>
        <v>56295.480746862566</v>
      </c>
      <c r="F20" s="575">
        <f>SUMIFS(Строй.Мат!$P$2:$P$1010,Строй.Мат!$A$2:$A$1010,"&gt;=01.04.2026",Строй.Мат!$A$2:$A$1010,"&lt;=30.04.2026")</f>
        <v>120399.69856868261</v>
      </c>
      <c r="G20" s="8" t="e">
        <f>SUMIFS(Строй.Мат!$P$2:$P$1010,Строй.Мат!$A$2:$A$1010,"&gt;=01.05.2026",Строй.Мат!$A$2:$A$1010,"&lt;=31.05.2026")</f>
        <v>#DIV/0!</v>
      </c>
      <c r="H20" s="490" t="e">
        <f>SUMIFS(Строй.Мат!$P$2:$P$1010,Строй.Мат!$A$2:$A$1010,"&gt;=01.06.2026",Строй.Мат!$A$2:$A$1010,"&lt;=30.06.2026")</f>
        <v>#DIV/0!</v>
      </c>
      <c r="I20" s="575"/>
      <c r="J20" s="575"/>
      <c r="K20" s="575"/>
      <c r="L20" s="575"/>
      <c r="M20" s="575"/>
      <c r="N20" s="8"/>
    </row>
    <row r="21" spans="1:14" ht="22.15" customHeight="1" x14ac:dyDescent="0.45">
      <c r="A21" s="3" t="s">
        <v>20</v>
      </c>
      <c r="B21" s="574" cm="1">
        <f t="array" aca="1" ref="B21" ca="1">SUMPRODUCT((Расходы!$A$2:$A$1000&gt;=DATE(2025,11,1))*(Расходы!$A$2:$A$1000&lt;=DATE(2025,11,30))*IFERROR(Расходы!$N$2:$N$1000*1,0))</f>
        <v>0</v>
      </c>
      <c r="C21" s="574" cm="1">
        <f t="array" aca="1" ref="C21" ca="1">SUMPRODUCT((Расходы!$A$2:$A$1000&gt;=DATE(2025,12,1))*(Расходы!$A$2:$A$1000&lt;=DATE(2025,12,31))*IFERROR(Расходы!$N$2:$N$1000*1,0))</f>
        <v>0</v>
      </c>
      <c r="D21" s="574" cm="1">
        <f t="array" aca="1" ref="D21" ca="1">SUMPRODUCT((Расходы!$A$2:$A$1000&gt;=DATE(2026,2,1))*(Расходы!$A$2:$A$1000&lt;=DATE(2026,2,28))*IFERROR(Расходы!$N$2:$N$1000*1,0))</f>
        <v>7140.7652728913581</v>
      </c>
      <c r="E21" s="574" cm="1">
        <f t="array" aca="1" ref="E21" ca="1">SUMPRODUCT((Расходы!$A$2:$A$1000&gt;=DATE(2026,3,1))*(Расходы!$A$2:$A$1000&lt;=DATE(2026,3,31))*IFERROR(Расходы!$N$2:$N$1000*1,0))</f>
        <v>728.08768271804001</v>
      </c>
      <c r="F21" s="574" cm="1">
        <f t="array" aca="1" ref="F21" ca="1">SUMPRODUCT((Расходы!$A$2:$A$1000&gt;=DATE(2026,4,1))*(Расходы!$A$2:$A$1000&lt;=DATE(2026,4,30))*IFERROR(Расходы!$N$2:$N$1000*1,0))</f>
        <v>571.28732764147685</v>
      </c>
      <c r="G21" s="9" cm="1">
        <f t="array" aca="1" ref="G21" ca="1">SUMPRODUCT((Расходы!$A$2:$A$1000&gt;=DATE(2026,5,1))*(Расходы!$A$2:$A$1000&lt;=DATE(2026,5,31))*IFERROR(Расходы!$N$2:$N$1000*1,0))</f>
        <v>0</v>
      </c>
      <c r="H21" s="6" t="e">
        <f ca="1">SUMIFS(Расходы!$N$2:$N$1000,Расходы!$A$2:$A$1000,"&gt;=01.06.2026",Расходы!$A$2:$A$1000,"&lt;=30.06.2026")</f>
        <v>#DIV/0!</v>
      </c>
      <c r="I21" s="574"/>
      <c r="J21" s="574"/>
      <c r="K21" s="574"/>
      <c r="L21" s="574"/>
      <c r="M21" s="574"/>
      <c r="N21" s="9"/>
    </row>
    <row r="22" spans="1:14" ht="22.15" customHeight="1" x14ac:dyDescent="0.45">
      <c r="A22" s="4" t="s">
        <v>21</v>
      </c>
      <c r="B22" s="570">
        <f>B18/640</f>
        <v>110.444</v>
      </c>
      <c r="C22" s="570">
        <f t="shared" ref="C22:F22" si="3">C18/640</f>
        <v>0</v>
      </c>
      <c r="D22" s="570">
        <f t="shared" si="3"/>
        <v>173.42500000000001</v>
      </c>
      <c r="E22" s="570">
        <f t="shared" si="3"/>
        <v>73.825000000000003</v>
      </c>
      <c r="F22" s="570">
        <f t="shared" si="3"/>
        <v>151.95999999999998</v>
      </c>
      <c r="G22" s="7">
        <f>G18/640</f>
        <v>274.89999999999998</v>
      </c>
      <c r="H22" s="613">
        <f t="shared" ref="H22" si="4">H18/640</f>
        <v>0</v>
      </c>
      <c r="I22" s="570"/>
      <c r="J22" s="570"/>
      <c r="K22" s="570"/>
      <c r="L22" s="570"/>
      <c r="M22" s="570"/>
      <c r="N22" s="7"/>
    </row>
    <row r="23" spans="1:14" ht="22.15" customHeight="1" x14ac:dyDescent="0.45">
      <c r="A23" s="17" t="s">
        <v>22</v>
      </c>
      <c r="B23" s="576">
        <f>SUMIFS(Бозорлик!$G$2:$G$1014,Бозорлик!$A$2:$A$1014,"&gt;=01.11.2025",Бозорлик!$A$2:$A$1014,"&lt;=30.11.2025")</f>
        <v>73.275862068965509</v>
      </c>
      <c r="C23" s="576">
        <f>SUMIFS(Бозорлик!$G$2:$G$1014,Бозорлик!$A$2:$A$1014,"&gt;=01.12.2025",Бозорлик!$A$2:$A$1014,"&lt;=31.12.2025")</f>
        <v>0</v>
      </c>
      <c r="D23" s="576">
        <f>SUMIFS(Бозорлик!$G$2:$G$1014,Бозорлик!$A$2:$A$1014,"&gt;=01.02.2026",Бозорлик!$A$2:$A$1014,"&lt;=28.02.2026")</f>
        <v>1442.9118798078264</v>
      </c>
      <c r="E23" s="576">
        <f>SUMIFS(Бозорлик!$G$2:$G$1014,Бозорлик!$A$2:$A$1014,"&gt;=01.03.2026",Бозорлик!$A$2:$A$1014,"&lt;=31.03.2026")</f>
        <v>2062.8628339841462</v>
      </c>
      <c r="F23" s="576">
        <f>SUMIFS(Бозорлик!$G$2:$G$1014,Бозорлик!$A$2:$A$1014,"&gt;=01.04.2026",Бозорлик!$A$2:$A$1014,"&lt;=30.04.2026")</f>
        <v>2414.8633216502844</v>
      </c>
      <c r="G23" s="22" cm="1">
        <f t="array" ref="G23">SUMPRODUCT((Бозорлик!$A$2:$A$1014&gt;=DATE(2026,5,1))*(Бозорлик!$A$2:$A$1014&lt;=DATE(2026,5,31))*IFERROR(Бозорлик!$G$2:$G$1014*1,0))</f>
        <v>2439.3399160608556</v>
      </c>
      <c r="H23" s="614" t="e">
        <f>SUMIFS(Бозорлик!$G$2:$G$1014,Бозорлик!$A$2:$A$1014,"&gt;=01.06.2026",Бозорлик!$A$2:$A$1014,"&lt;=30.06.2026")</f>
        <v>#DIV/0!</v>
      </c>
      <c r="I23" s="576"/>
      <c r="J23" s="576"/>
      <c r="K23" s="576"/>
      <c r="L23" s="576"/>
      <c r="M23" s="576"/>
      <c r="N23" s="22"/>
    </row>
    <row r="24" spans="1:14" ht="22.15" customHeight="1" thickBot="1" x14ac:dyDescent="0.5">
      <c r="A24" s="20" t="s">
        <v>23</v>
      </c>
      <c r="B24" s="577">
        <f>SUMIFS(Спец.Техника!$G$2:$G$1030,Спец.Техника!$A$2:$A$1030,"&gt;=01.11.2025",Спец.Техника!$A$2:$A$1030,"&lt;=30.11.2025")</f>
        <v>0</v>
      </c>
      <c r="C24" s="577">
        <f>SUMIFS(Спец.Техника!$G$2:$G$1030,Спец.Техника!$A$2:$A$1030,"&gt;=01.12.2025",Спец.Техника!$A$2:$A$1030,"&lt;=31.12.2025")</f>
        <v>0</v>
      </c>
      <c r="D24" s="577">
        <f>SUMIFS(Спец.Техника!$G$2:$G$1030,Спец.Техника!$A$2:$A$1030,"&gt;=01.02.2026",Спец.Техника!$A$2:$A$1030,"&lt;=28.02.2026")</f>
        <v>3964.9068062697966</v>
      </c>
      <c r="E24" s="577">
        <f>SUMIFS(Спец.Техника!$G$2:$G$1030,Спец.Техника!$A$2:$A$1030,"&gt;=01.03.2026",Спец.Техника!$A$2:$A$1030,"&lt;=31.03.2026")</f>
        <v>289.21528516488007</v>
      </c>
      <c r="F24" s="577">
        <f>SUMIFS(Спец.Техника!$G$2:$G$1030,Спец.Техника!$A$2:$A$1030,"&gt;=01.04.2026",Спец.Техника!$A$2:$A$1030,"&lt;=30.04.2026")</f>
        <v>164.6090534979424</v>
      </c>
      <c r="G24" s="25">
        <f>SUMIFS(Спец.Техника!$G$2:$G$1030,Спец.Техника!$A$2:$A$1030,"&gt;=01.05.2026",Спец.Техника!$A$2:$A$1030,"&lt;=31.05.2026")</f>
        <v>0</v>
      </c>
      <c r="H24" s="615">
        <f>SUMIFS(Спец.Техника!$G$2:$G$1030,Спец.Техника!$A$2:$A$1030,"&gt;=01.06.2026",Спец.Техника!$A$2:$A$1030,"&lt;=30.06.2026")</f>
        <v>0</v>
      </c>
      <c r="I24" s="577"/>
      <c r="J24" s="577"/>
      <c r="K24" s="577"/>
      <c r="L24" s="577"/>
      <c r="M24" s="577"/>
      <c r="N24" s="25"/>
    </row>
    <row r="25" spans="1:14" ht="28.15" customHeight="1" thickBot="1" x14ac:dyDescent="0.55000000000000004">
      <c r="A25" s="19" t="s">
        <v>24</v>
      </c>
      <c r="B25" s="23">
        <f ca="1">SUM(B16:B21,B23:B24)</f>
        <v>92513.295595042102</v>
      </c>
      <c r="C25" s="23">
        <f t="shared" ref="C25:F25" ca="1" si="5">SUM(C16:C21,C23:C24)</f>
        <v>0</v>
      </c>
      <c r="D25" s="23">
        <f t="shared" ca="1" si="5"/>
        <v>316904.02197643009</v>
      </c>
      <c r="E25" s="23">
        <f t="shared" ca="1" si="5"/>
        <v>199512.66406040976</v>
      </c>
      <c r="F25" s="23">
        <f t="shared" ca="1" si="5"/>
        <v>287121.43135758967</v>
      </c>
      <c r="G25" s="24" t="e">
        <f>SUM(G16:G21,G23:G24)</f>
        <v>#DIV/0!</v>
      </c>
      <c r="H25" s="19" t="e">
        <f t="shared" ref="H25:N25" si="6">SUM(H16:H21)</f>
        <v>#DIV/0!</v>
      </c>
      <c r="I25" s="23">
        <f t="shared" si="6"/>
        <v>0</v>
      </c>
      <c r="J25" s="23">
        <f t="shared" si="6"/>
        <v>0</v>
      </c>
      <c r="K25" s="23">
        <f t="shared" si="6"/>
        <v>0</v>
      </c>
      <c r="L25" s="23">
        <f t="shared" si="6"/>
        <v>0</v>
      </c>
      <c r="M25" s="23">
        <f t="shared" si="6"/>
        <v>0</v>
      </c>
      <c r="N25" s="24">
        <f t="shared" si="6"/>
        <v>0</v>
      </c>
    </row>
  </sheetData>
  <mergeCells count="4">
    <mergeCell ref="A1:G1"/>
    <mergeCell ref="A14:G14"/>
    <mergeCell ref="H1:N1"/>
    <mergeCell ref="H14:N14"/>
  </mergeCells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014E3-0875-43B5-BAE7-3C36749344FE}">
  <sheetPr codeName="Worksheet____2">
    <tabColor rgb="FFFF0000"/>
  </sheetPr>
  <dimension ref="A1:D147"/>
  <sheetViews>
    <sheetView workbookViewId="0">
      <pane ySplit="1" topLeftCell="A95" activePane="bottomLeft" state="frozen"/>
      <selection pane="bottomLeft" activeCell="D109" sqref="D109"/>
    </sheetView>
  </sheetViews>
  <sheetFormatPr defaultRowHeight="14.25" x14ac:dyDescent="0.45"/>
  <cols>
    <col min="1" max="1" width="19.6640625" customWidth="1"/>
    <col min="2" max="2" width="14.1328125" customWidth="1"/>
    <col min="3" max="3" width="17.86328125" customWidth="1"/>
    <col min="4" max="4" width="23.1328125" customWidth="1"/>
  </cols>
  <sheetData>
    <row r="1" spans="1:4" ht="28.15" customHeight="1" thickBot="1" x14ac:dyDescent="0.5">
      <c r="A1" s="578" t="s">
        <v>26</v>
      </c>
      <c r="B1" s="578" t="s">
        <v>27</v>
      </c>
      <c r="C1" s="578" t="s">
        <v>28</v>
      </c>
      <c r="D1" s="578" t="s">
        <v>29</v>
      </c>
    </row>
    <row r="2" spans="1:4" x14ac:dyDescent="0.45">
      <c r="A2" s="395">
        <v>45962</v>
      </c>
      <c r="B2" s="396" t="s">
        <v>30</v>
      </c>
      <c r="C2" s="397">
        <v>1</v>
      </c>
      <c r="D2" s="398">
        <v>12100</v>
      </c>
    </row>
    <row r="3" spans="1:4" x14ac:dyDescent="0.45">
      <c r="A3" s="391">
        <v>45963</v>
      </c>
      <c r="B3" s="392" t="s">
        <v>30</v>
      </c>
      <c r="C3" s="393">
        <v>1</v>
      </c>
      <c r="D3" s="394">
        <v>11970</v>
      </c>
    </row>
    <row r="4" spans="1:4" x14ac:dyDescent="0.45">
      <c r="A4" s="391">
        <v>45964</v>
      </c>
      <c r="B4" s="392" t="s">
        <v>30</v>
      </c>
      <c r="C4" s="393">
        <v>1</v>
      </c>
      <c r="D4" s="394">
        <v>11970</v>
      </c>
    </row>
    <row r="5" spans="1:4" x14ac:dyDescent="0.45">
      <c r="A5" s="391">
        <v>45968</v>
      </c>
      <c r="B5" s="392" t="s">
        <v>30</v>
      </c>
      <c r="C5" s="393">
        <v>1</v>
      </c>
      <c r="D5" s="394">
        <v>12020</v>
      </c>
    </row>
    <row r="6" spans="1:4" x14ac:dyDescent="0.45">
      <c r="A6" s="391">
        <v>45973</v>
      </c>
      <c r="B6" s="392" t="s">
        <v>30</v>
      </c>
      <c r="C6" s="393">
        <v>1</v>
      </c>
      <c r="D6" s="394">
        <v>12000</v>
      </c>
    </row>
    <row r="7" spans="1:4" x14ac:dyDescent="0.45">
      <c r="A7" s="391">
        <v>45978</v>
      </c>
      <c r="B7" s="392" t="s">
        <v>30</v>
      </c>
      <c r="C7" s="393">
        <v>1</v>
      </c>
      <c r="D7" s="394">
        <v>11800</v>
      </c>
    </row>
    <row r="8" spans="1:4" x14ac:dyDescent="0.45">
      <c r="A8" s="391">
        <v>45986</v>
      </c>
      <c r="B8" s="392" t="s">
        <v>30</v>
      </c>
      <c r="C8" s="393">
        <v>1</v>
      </c>
      <c r="D8" s="394">
        <v>11600</v>
      </c>
    </row>
    <row r="9" spans="1:4" x14ac:dyDescent="0.45">
      <c r="A9" s="391">
        <v>45990</v>
      </c>
      <c r="B9" s="392" t="s">
        <v>30</v>
      </c>
      <c r="C9" s="393">
        <v>1</v>
      </c>
      <c r="D9" s="394">
        <v>11600</v>
      </c>
    </row>
    <row r="10" spans="1:4" x14ac:dyDescent="0.45">
      <c r="A10" s="391">
        <v>46054</v>
      </c>
      <c r="B10" s="392" t="s">
        <v>30</v>
      </c>
      <c r="C10" s="393">
        <v>1</v>
      </c>
      <c r="D10" s="394">
        <v>12200</v>
      </c>
    </row>
    <row r="11" spans="1:4" x14ac:dyDescent="0.45">
      <c r="A11" s="391">
        <v>46055</v>
      </c>
      <c r="B11" s="392" t="s">
        <v>30</v>
      </c>
      <c r="C11" s="393">
        <v>1</v>
      </c>
      <c r="D11" s="394">
        <v>12200</v>
      </c>
    </row>
    <row r="12" spans="1:4" x14ac:dyDescent="0.45">
      <c r="A12" s="391">
        <v>46056</v>
      </c>
      <c r="B12" s="392" t="s">
        <v>30</v>
      </c>
      <c r="C12" s="393">
        <v>1</v>
      </c>
      <c r="D12" s="394">
        <v>12200</v>
      </c>
    </row>
    <row r="13" spans="1:4" x14ac:dyDescent="0.45">
      <c r="A13" s="391">
        <v>46057</v>
      </c>
      <c r="B13" s="392" t="s">
        <v>30</v>
      </c>
      <c r="C13" s="393">
        <v>1</v>
      </c>
      <c r="D13" s="394">
        <v>12200</v>
      </c>
    </row>
    <row r="14" spans="1:4" x14ac:dyDescent="0.45">
      <c r="A14" s="391">
        <v>46058</v>
      </c>
      <c r="B14" s="392" t="s">
        <v>30</v>
      </c>
      <c r="C14" s="393">
        <v>1</v>
      </c>
      <c r="D14" s="394">
        <v>12200</v>
      </c>
    </row>
    <row r="15" spans="1:4" x14ac:dyDescent="0.45">
      <c r="A15" s="391">
        <v>46059</v>
      </c>
      <c r="B15" s="392" t="s">
        <v>30</v>
      </c>
      <c r="C15" s="393">
        <v>1</v>
      </c>
      <c r="D15" s="394">
        <v>12200</v>
      </c>
    </row>
    <row r="16" spans="1:4" x14ac:dyDescent="0.45">
      <c r="A16" s="391">
        <v>46060</v>
      </c>
      <c r="B16" s="392" t="s">
        <v>30</v>
      </c>
      <c r="C16" s="393">
        <v>1</v>
      </c>
      <c r="D16" s="394">
        <v>12200</v>
      </c>
    </row>
    <row r="17" spans="1:4" x14ac:dyDescent="0.45">
      <c r="A17" s="391">
        <v>46061</v>
      </c>
      <c r="B17" s="392" t="s">
        <v>30</v>
      </c>
      <c r="C17" s="393">
        <v>1</v>
      </c>
      <c r="D17" s="394">
        <v>12200</v>
      </c>
    </row>
    <row r="18" spans="1:4" x14ac:dyDescent="0.45">
      <c r="A18" s="391">
        <v>46062</v>
      </c>
      <c r="B18" s="392" t="s">
        <v>30</v>
      </c>
      <c r="C18" s="393">
        <v>1</v>
      </c>
      <c r="D18" s="394">
        <v>12200</v>
      </c>
    </row>
    <row r="19" spans="1:4" x14ac:dyDescent="0.45">
      <c r="A19" s="391">
        <v>46063</v>
      </c>
      <c r="B19" s="392" t="s">
        <v>30</v>
      </c>
      <c r="C19" s="393">
        <v>1</v>
      </c>
      <c r="D19" s="394">
        <v>12200</v>
      </c>
    </row>
    <row r="20" spans="1:4" x14ac:dyDescent="0.45">
      <c r="A20" s="391">
        <v>46064</v>
      </c>
      <c r="B20" s="392" t="s">
        <v>30</v>
      </c>
      <c r="C20" s="393">
        <v>1</v>
      </c>
      <c r="D20" s="394">
        <v>12310</v>
      </c>
    </row>
    <row r="21" spans="1:4" x14ac:dyDescent="0.45">
      <c r="A21" s="391">
        <v>46065</v>
      </c>
      <c r="B21" s="392" t="s">
        <v>30</v>
      </c>
      <c r="C21" s="393">
        <v>1</v>
      </c>
      <c r="D21" s="394">
        <v>12230</v>
      </c>
    </row>
    <row r="22" spans="1:4" x14ac:dyDescent="0.45">
      <c r="A22" s="391">
        <v>46066</v>
      </c>
      <c r="B22" s="392" t="s">
        <v>30</v>
      </c>
      <c r="C22" s="393">
        <v>1</v>
      </c>
      <c r="D22" s="394">
        <v>12200</v>
      </c>
    </row>
    <row r="23" spans="1:4" x14ac:dyDescent="0.45">
      <c r="A23" s="391">
        <v>46067</v>
      </c>
      <c r="B23" s="392" t="s">
        <v>30</v>
      </c>
      <c r="C23" s="393">
        <v>1</v>
      </c>
      <c r="D23" s="394">
        <v>12180</v>
      </c>
    </row>
    <row r="24" spans="1:4" x14ac:dyDescent="0.45">
      <c r="A24" s="391">
        <v>46068</v>
      </c>
      <c r="B24" s="392" t="s">
        <v>30</v>
      </c>
      <c r="C24" s="393">
        <v>1</v>
      </c>
      <c r="D24" s="394">
        <v>12180</v>
      </c>
    </row>
    <row r="25" spans="1:4" x14ac:dyDescent="0.45">
      <c r="A25" s="391">
        <v>46069</v>
      </c>
      <c r="B25" s="392" t="s">
        <v>30</v>
      </c>
      <c r="C25" s="393">
        <v>1</v>
      </c>
      <c r="D25" s="394">
        <v>12150</v>
      </c>
    </row>
    <row r="26" spans="1:4" x14ac:dyDescent="0.45">
      <c r="A26" s="391">
        <v>46070</v>
      </c>
      <c r="B26" s="392" t="s">
        <v>30</v>
      </c>
      <c r="C26" s="393">
        <v>1</v>
      </c>
      <c r="D26" s="394">
        <v>12150</v>
      </c>
    </row>
    <row r="27" spans="1:4" x14ac:dyDescent="0.45">
      <c r="A27" s="391">
        <v>46071</v>
      </c>
      <c r="B27" s="392" t="s">
        <v>30</v>
      </c>
      <c r="C27" s="393">
        <v>1</v>
      </c>
      <c r="D27" s="394">
        <v>12080</v>
      </c>
    </row>
    <row r="28" spans="1:4" x14ac:dyDescent="0.45">
      <c r="A28" s="391">
        <v>46072</v>
      </c>
      <c r="B28" s="392" t="s">
        <v>30</v>
      </c>
      <c r="C28" s="393">
        <v>1</v>
      </c>
      <c r="D28" s="394">
        <v>12000</v>
      </c>
    </row>
    <row r="29" spans="1:4" x14ac:dyDescent="0.45">
      <c r="A29" s="391">
        <v>46073</v>
      </c>
      <c r="B29" s="392" t="s">
        <v>30</v>
      </c>
      <c r="C29" s="393">
        <v>1</v>
      </c>
      <c r="D29" s="394">
        <v>12000</v>
      </c>
    </row>
    <row r="30" spans="1:4" x14ac:dyDescent="0.45">
      <c r="A30" s="391">
        <v>46074</v>
      </c>
      <c r="B30" s="392" t="s">
        <v>30</v>
      </c>
      <c r="C30" s="393">
        <v>1</v>
      </c>
      <c r="D30" s="394">
        <v>12100</v>
      </c>
    </row>
    <row r="31" spans="1:4" x14ac:dyDescent="0.45">
      <c r="A31" s="391">
        <v>46075</v>
      </c>
      <c r="B31" s="392" t="s">
        <v>30</v>
      </c>
      <c r="C31" s="393">
        <v>1</v>
      </c>
      <c r="D31" s="394">
        <v>12000</v>
      </c>
    </row>
    <row r="32" spans="1:4" x14ac:dyDescent="0.45">
      <c r="A32" s="391">
        <v>46076</v>
      </c>
      <c r="B32" s="392" t="s">
        <v>30</v>
      </c>
      <c r="C32" s="393">
        <v>1</v>
      </c>
      <c r="D32" s="394">
        <v>12000</v>
      </c>
    </row>
    <row r="33" spans="1:4" x14ac:dyDescent="0.45">
      <c r="A33" s="391">
        <v>46077</v>
      </c>
      <c r="B33" s="392" t="s">
        <v>30</v>
      </c>
      <c r="C33" s="393">
        <v>1</v>
      </c>
      <c r="D33" s="394">
        <v>12100</v>
      </c>
    </row>
    <row r="34" spans="1:4" x14ac:dyDescent="0.45">
      <c r="A34" s="391">
        <v>46078</v>
      </c>
      <c r="B34" s="392" t="s">
        <v>30</v>
      </c>
      <c r="C34" s="393">
        <v>1</v>
      </c>
      <c r="D34" s="394">
        <v>12080</v>
      </c>
    </row>
    <row r="35" spans="1:4" x14ac:dyDescent="0.45">
      <c r="A35" s="391">
        <v>46079</v>
      </c>
      <c r="B35" s="392" t="s">
        <v>30</v>
      </c>
      <c r="C35" s="393">
        <v>1</v>
      </c>
      <c r="D35" s="394">
        <v>12100</v>
      </c>
    </row>
    <row r="36" spans="1:4" x14ac:dyDescent="0.45">
      <c r="A36" s="391">
        <v>46080</v>
      </c>
      <c r="B36" s="392" t="s">
        <v>30</v>
      </c>
      <c r="C36" s="393">
        <v>1</v>
      </c>
      <c r="D36" s="394">
        <v>12080</v>
      </c>
    </row>
    <row r="37" spans="1:4" x14ac:dyDescent="0.45">
      <c r="A37" s="391">
        <v>46081</v>
      </c>
      <c r="B37" s="392" t="s">
        <v>30</v>
      </c>
      <c r="C37" s="393">
        <v>1</v>
      </c>
      <c r="D37" s="394">
        <v>12080</v>
      </c>
    </row>
    <row r="38" spans="1:4" x14ac:dyDescent="0.45">
      <c r="A38" s="391">
        <v>46082</v>
      </c>
      <c r="B38" s="392" t="s">
        <v>30</v>
      </c>
      <c r="C38" s="393">
        <v>1</v>
      </c>
      <c r="D38" s="394">
        <v>12050</v>
      </c>
    </row>
    <row r="39" spans="1:4" x14ac:dyDescent="0.45">
      <c r="A39" s="391">
        <v>46083</v>
      </c>
      <c r="B39" s="392" t="s">
        <v>30</v>
      </c>
      <c r="C39" s="393">
        <v>1</v>
      </c>
      <c r="D39" s="394">
        <v>12080</v>
      </c>
    </row>
    <row r="40" spans="1:4" x14ac:dyDescent="0.45">
      <c r="A40" s="391">
        <v>46084</v>
      </c>
      <c r="B40" s="392" t="s">
        <v>30</v>
      </c>
      <c r="C40" s="393">
        <v>1</v>
      </c>
      <c r="D40" s="394">
        <v>12080</v>
      </c>
    </row>
    <row r="41" spans="1:4" x14ac:dyDescent="0.45">
      <c r="A41" s="391">
        <v>46085</v>
      </c>
      <c r="B41" s="392" t="s">
        <v>30</v>
      </c>
      <c r="C41" s="393">
        <v>1</v>
      </c>
      <c r="D41" s="394">
        <v>12080</v>
      </c>
    </row>
    <row r="42" spans="1:4" x14ac:dyDescent="0.45">
      <c r="A42" s="391">
        <v>46086</v>
      </c>
      <c r="B42" s="392" t="s">
        <v>30</v>
      </c>
      <c r="C42" s="393">
        <v>1</v>
      </c>
      <c r="D42" s="394">
        <v>12115</v>
      </c>
    </row>
    <row r="43" spans="1:4" x14ac:dyDescent="0.45">
      <c r="A43" s="391">
        <v>46087</v>
      </c>
      <c r="B43" s="392" t="s">
        <v>30</v>
      </c>
      <c r="C43" s="393">
        <v>1</v>
      </c>
      <c r="D43" s="394">
        <v>12200</v>
      </c>
    </row>
    <row r="44" spans="1:4" x14ac:dyDescent="0.45">
      <c r="A44" s="391">
        <v>46088</v>
      </c>
      <c r="B44" s="392" t="s">
        <v>30</v>
      </c>
      <c r="C44" s="393">
        <v>1</v>
      </c>
      <c r="D44" s="394">
        <v>12100</v>
      </c>
    </row>
    <row r="45" spans="1:4" x14ac:dyDescent="0.45">
      <c r="A45" s="391">
        <v>46089</v>
      </c>
      <c r="B45" s="392" t="s">
        <v>30</v>
      </c>
      <c r="C45" s="393">
        <v>1</v>
      </c>
      <c r="D45" s="394">
        <v>12080</v>
      </c>
    </row>
    <row r="46" spans="1:4" x14ac:dyDescent="0.45">
      <c r="A46" s="391">
        <v>46090</v>
      </c>
      <c r="B46" s="392" t="s">
        <v>30</v>
      </c>
      <c r="C46" s="393">
        <v>1</v>
      </c>
      <c r="D46" s="394">
        <v>12080</v>
      </c>
    </row>
    <row r="47" spans="1:4" x14ac:dyDescent="0.45">
      <c r="A47" s="391">
        <v>46091</v>
      </c>
      <c r="B47" s="392" t="s">
        <v>30</v>
      </c>
      <c r="C47" s="393">
        <v>1</v>
      </c>
      <c r="D47" s="394">
        <v>12000</v>
      </c>
    </row>
    <row r="48" spans="1:4" x14ac:dyDescent="0.45">
      <c r="A48" s="391">
        <v>46092</v>
      </c>
      <c r="B48" s="392" t="s">
        <v>30</v>
      </c>
      <c r="C48" s="393">
        <v>1</v>
      </c>
      <c r="D48" s="394">
        <v>12100</v>
      </c>
    </row>
    <row r="49" spans="1:4" x14ac:dyDescent="0.45">
      <c r="A49" s="391">
        <v>46093</v>
      </c>
      <c r="B49" s="392" t="s">
        <v>30</v>
      </c>
      <c r="C49" s="393">
        <v>1</v>
      </c>
      <c r="D49" s="394">
        <v>12115</v>
      </c>
    </row>
    <row r="50" spans="1:4" x14ac:dyDescent="0.45">
      <c r="A50" s="391">
        <v>46094</v>
      </c>
      <c r="B50" s="392" t="s">
        <v>30</v>
      </c>
      <c r="C50" s="393">
        <v>1</v>
      </c>
      <c r="D50" s="394">
        <v>12000</v>
      </c>
    </row>
    <row r="51" spans="1:4" x14ac:dyDescent="0.45">
      <c r="A51" s="391">
        <v>46095</v>
      </c>
      <c r="B51" s="392" t="s">
        <v>30</v>
      </c>
      <c r="C51" s="393">
        <v>1</v>
      </c>
      <c r="D51" s="394">
        <v>12000</v>
      </c>
    </row>
    <row r="52" spans="1:4" x14ac:dyDescent="0.45">
      <c r="A52" s="391">
        <v>46096</v>
      </c>
      <c r="B52" s="392" t="s">
        <v>30</v>
      </c>
      <c r="C52" s="393">
        <v>1</v>
      </c>
      <c r="D52" s="394">
        <v>12100</v>
      </c>
    </row>
    <row r="53" spans="1:4" x14ac:dyDescent="0.45">
      <c r="A53" s="391">
        <v>46097</v>
      </c>
      <c r="B53" s="392" t="s">
        <v>30</v>
      </c>
      <c r="C53" s="393">
        <v>1</v>
      </c>
      <c r="D53" s="394">
        <v>12000</v>
      </c>
    </row>
    <row r="54" spans="1:4" x14ac:dyDescent="0.45">
      <c r="A54" s="391">
        <v>46098</v>
      </c>
      <c r="B54" s="392" t="s">
        <v>30</v>
      </c>
      <c r="C54" s="393">
        <v>1</v>
      </c>
      <c r="D54" s="394">
        <v>12040</v>
      </c>
    </row>
    <row r="55" spans="1:4" x14ac:dyDescent="0.45">
      <c r="A55" s="391">
        <v>46099</v>
      </c>
      <c r="B55" s="392" t="s">
        <v>30</v>
      </c>
      <c r="C55" s="393">
        <v>1</v>
      </c>
      <c r="D55" s="394">
        <v>12150</v>
      </c>
    </row>
    <row r="56" spans="1:4" x14ac:dyDescent="0.45">
      <c r="A56" s="391">
        <v>46100</v>
      </c>
      <c r="B56" s="392" t="s">
        <v>30</v>
      </c>
      <c r="C56" s="393">
        <v>1</v>
      </c>
      <c r="D56" s="394">
        <v>12150</v>
      </c>
    </row>
    <row r="57" spans="1:4" x14ac:dyDescent="0.45">
      <c r="A57" s="391">
        <v>46101</v>
      </c>
      <c r="B57" s="392" t="s">
        <v>30</v>
      </c>
      <c r="C57" s="393">
        <v>1</v>
      </c>
      <c r="D57" s="394">
        <v>12150</v>
      </c>
    </row>
    <row r="58" spans="1:4" x14ac:dyDescent="0.45">
      <c r="A58" s="391">
        <v>46102</v>
      </c>
      <c r="B58" s="392" t="s">
        <v>30</v>
      </c>
      <c r="C58" s="393">
        <v>1</v>
      </c>
      <c r="D58" s="394">
        <v>12080</v>
      </c>
    </row>
    <row r="59" spans="1:4" x14ac:dyDescent="0.45">
      <c r="A59" s="391">
        <v>46103</v>
      </c>
      <c r="B59" s="392" t="s">
        <v>30</v>
      </c>
      <c r="C59" s="393">
        <v>1</v>
      </c>
      <c r="D59" s="394">
        <v>12080</v>
      </c>
    </row>
    <row r="60" spans="1:4" x14ac:dyDescent="0.45">
      <c r="A60" s="391">
        <v>46104</v>
      </c>
      <c r="B60" s="392" t="s">
        <v>30</v>
      </c>
      <c r="C60" s="393">
        <v>1</v>
      </c>
      <c r="D60" s="394">
        <v>12080</v>
      </c>
    </row>
    <row r="61" spans="1:4" x14ac:dyDescent="0.45">
      <c r="A61" s="391">
        <v>46105</v>
      </c>
      <c r="B61" s="392" t="s">
        <v>30</v>
      </c>
      <c r="C61" s="393">
        <v>1</v>
      </c>
      <c r="D61" s="394">
        <v>12100</v>
      </c>
    </row>
    <row r="62" spans="1:4" x14ac:dyDescent="0.45">
      <c r="A62" s="391">
        <v>46106</v>
      </c>
      <c r="B62" s="392" t="s">
        <v>30</v>
      </c>
      <c r="C62" s="393">
        <v>1</v>
      </c>
      <c r="D62" s="394">
        <v>12210</v>
      </c>
    </row>
    <row r="63" spans="1:4" x14ac:dyDescent="0.45">
      <c r="A63" s="391">
        <v>46107</v>
      </c>
      <c r="B63" s="392" t="s">
        <v>30</v>
      </c>
      <c r="C63" s="393">
        <v>1</v>
      </c>
      <c r="D63" s="394">
        <v>12120</v>
      </c>
    </row>
    <row r="64" spans="1:4" x14ac:dyDescent="0.45">
      <c r="A64" s="391">
        <v>46108</v>
      </c>
      <c r="B64" s="392" t="s">
        <v>30</v>
      </c>
      <c r="C64" s="393">
        <v>1</v>
      </c>
      <c r="D64" s="394">
        <v>12120</v>
      </c>
    </row>
    <row r="65" spans="1:4" x14ac:dyDescent="0.45">
      <c r="A65" s="391">
        <v>46109</v>
      </c>
      <c r="B65" s="392" t="s">
        <v>30</v>
      </c>
      <c r="C65" s="393">
        <v>1</v>
      </c>
      <c r="D65" s="394">
        <v>12000</v>
      </c>
    </row>
    <row r="66" spans="1:4" x14ac:dyDescent="0.45">
      <c r="A66" s="391">
        <v>46110</v>
      </c>
      <c r="B66" s="392" t="s">
        <v>30</v>
      </c>
      <c r="C66" s="393">
        <v>1</v>
      </c>
      <c r="D66" s="394">
        <v>12100</v>
      </c>
    </row>
    <row r="67" spans="1:4" x14ac:dyDescent="0.45">
      <c r="A67" s="391">
        <v>46111</v>
      </c>
      <c r="B67" s="392" t="s">
        <v>30</v>
      </c>
      <c r="C67" s="393">
        <v>1</v>
      </c>
      <c r="D67" s="394">
        <v>12100</v>
      </c>
    </row>
    <row r="68" spans="1:4" x14ac:dyDescent="0.45">
      <c r="A68" s="391">
        <v>46112</v>
      </c>
      <c r="B68" s="392" t="s">
        <v>30</v>
      </c>
      <c r="C68" s="393">
        <v>1</v>
      </c>
      <c r="D68" s="394">
        <v>12130</v>
      </c>
    </row>
    <row r="69" spans="1:4" x14ac:dyDescent="0.45">
      <c r="A69" s="391">
        <v>46113</v>
      </c>
      <c r="B69" s="392" t="s">
        <v>30</v>
      </c>
      <c r="C69" s="393">
        <v>1</v>
      </c>
      <c r="D69" s="394">
        <v>12100</v>
      </c>
    </row>
    <row r="70" spans="1:4" x14ac:dyDescent="0.45">
      <c r="A70" s="391">
        <v>46114</v>
      </c>
      <c r="B70" s="392" t="s">
        <v>30</v>
      </c>
      <c r="C70" s="393">
        <v>1</v>
      </c>
      <c r="D70" s="394">
        <v>12100</v>
      </c>
    </row>
    <row r="71" spans="1:4" x14ac:dyDescent="0.45">
      <c r="A71" s="391">
        <v>46115</v>
      </c>
      <c r="B71" s="392" t="s">
        <v>30</v>
      </c>
      <c r="C71" s="393">
        <v>1</v>
      </c>
      <c r="D71" s="394">
        <v>12100</v>
      </c>
    </row>
    <row r="72" spans="1:4" x14ac:dyDescent="0.45">
      <c r="A72" s="391">
        <v>46116</v>
      </c>
      <c r="B72" s="392" t="s">
        <v>30</v>
      </c>
      <c r="C72" s="393">
        <v>1</v>
      </c>
      <c r="D72" s="394">
        <v>12000</v>
      </c>
    </row>
    <row r="73" spans="1:4" x14ac:dyDescent="0.45">
      <c r="A73" s="391">
        <v>46117</v>
      </c>
      <c r="B73" s="392" t="s">
        <v>30</v>
      </c>
      <c r="C73" s="393">
        <v>1</v>
      </c>
      <c r="D73" s="394">
        <v>12000</v>
      </c>
    </row>
    <row r="74" spans="1:4" x14ac:dyDescent="0.45">
      <c r="A74" s="391">
        <v>46118</v>
      </c>
      <c r="B74" s="392" t="s">
        <v>30</v>
      </c>
      <c r="C74" s="393">
        <v>1</v>
      </c>
      <c r="D74" s="394">
        <v>12000</v>
      </c>
    </row>
    <row r="75" spans="1:4" x14ac:dyDescent="0.45">
      <c r="A75" s="391">
        <v>46119</v>
      </c>
      <c r="B75" s="392" t="s">
        <v>30</v>
      </c>
      <c r="C75" s="393">
        <v>1</v>
      </c>
      <c r="D75" s="394">
        <v>12100</v>
      </c>
    </row>
    <row r="76" spans="1:4" x14ac:dyDescent="0.45">
      <c r="A76" s="391">
        <v>46120</v>
      </c>
      <c r="B76" s="392" t="s">
        <v>30</v>
      </c>
      <c r="C76" s="393">
        <v>1</v>
      </c>
      <c r="D76" s="394">
        <v>12150</v>
      </c>
    </row>
    <row r="77" spans="1:4" x14ac:dyDescent="0.45">
      <c r="A77" s="391">
        <v>46121</v>
      </c>
      <c r="B77" s="392" t="s">
        <v>30</v>
      </c>
      <c r="C77" s="393">
        <v>1</v>
      </c>
      <c r="D77" s="394">
        <v>12150</v>
      </c>
    </row>
    <row r="78" spans="1:4" x14ac:dyDescent="0.45">
      <c r="A78" s="391">
        <v>46122</v>
      </c>
      <c r="B78" s="392" t="s">
        <v>30</v>
      </c>
      <c r="C78" s="393">
        <v>1</v>
      </c>
      <c r="D78" s="394">
        <v>12200</v>
      </c>
    </row>
    <row r="79" spans="1:4" x14ac:dyDescent="0.45">
      <c r="A79" s="391">
        <v>46123</v>
      </c>
      <c r="B79" s="392" t="s">
        <v>30</v>
      </c>
      <c r="C79" s="393">
        <v>1</v>
      </c>
      <c r="D79" s="394">
        <v>12200</v>
      </c>
    </row>
    <row r="80" spans="1:4" x14ac:dyDescent="0.45">
      <c r="A80" s="391">
        <v>46124</v>
      </c>
      <c r="B80" s="392" t="s">
        <v>30</v>
      </c>
      <c r="C80" s="393">
        <v>1</v>
      </c>
      <c r="D80" s="394">
        <v>12200</v>
      </c>
    </row>
    <row r="81" spans="1:4" x14ac:dyDescent="0.45">
      <c r="A81" s="391">
        <v>46125</v>
      </c>
      <c r="B81" s="392" t="s">
        <v>30</v>
      </c>
      <c r="C81" s="393">
        <v>1</v>
      </c>
      <c r="D81" s="394">
        <v>12150</v>
      </c>
    </row>
    <row r="82" spans="1:4" x14ac:dyDescent="0.45">
      <c r="A82" s="391">
        <v>46126</v>
      </c>
      <c r="B82" s="392" t="s">
        <v>30</v>
      </c>
      <c r="C82" s="393">
        <v>1</v>
      </c>
      <c r="D82" s="394">
        <v>12000</v>
      </c>
    </row>
    <row r="83" spans="1:4" x14ac:dyDescent="0.45">
      <c r="A83" s="391">
        <v>46127</v>
      </c>
      <c r="B83" s="392" t="s">
        <v>30</v>
      </c>
      <c r="C83" s="393">
        <v>1</v>
      </c>
      <c r="D83" s="394">
        <v>12000</v>
      </c>
    </row>
    <row r="84" spans="1:4" x14ac:dyDescent="0.45">
      <c r="A84" s="391">
        <v>46128</v>
      </c>
      <c r="B84" s="392" t="s">
        <v>30</v>
      </c>
      <c r="C84" s="393">
        <v>1</v>
      </c>
      <c r="D84" s="394">
        <v>12150</v>
      </c>
    </row>
    <row r="85" spans="1:4" x14ac:dyDescent="0.45">
      <c r="A85" s="391">
        <v>46129</v>
      </c>
      <c r="B85" s="392" t="s">
        <v>30</v>
      </c>
      <c r="C85" s="393">
        <v>1</v>
      </c>
      <c r="D85" s="394">
        <v>12200</v>
      </c>
    </row>
    <row r="86" spans="1:4" x14ac:dyDescent="0.45">
      <c r="A86" s="391">
        <v>46130</v>
      </c>
      <c r="B86" s="392" t="s">
        <v>30</v>
      </c>
      <c r="C86" s="393">
        <v>1</v>
      </c>
      <c r="D86" s="394">
        <v>12150</v>
      </c>
    </row>
    <row r="87" spans="1:4" x14ac:dyDescent="0.45">
      <c r="A87" s="391">
        <v>46131</v>
      </c>
      <c r="B87" s="392" t="s">
        <v>30</v>
      </c>
      <c r="C87" s="393">
        <v>1</v>
      </c>
      <c r="D87" s="394">
        <v>12150</v>
      </c>
    </row>
    <row r="88" spans="1:4" x14ac:dyDescent="0.45">
      <c r="A88" s="391">
        <v>46132</v>
      </c>
      <c r="B88" s="392" t="s">
        <v>30</v>
      </c>
      <c r="C88" s="393">
        <v>1</v>
      </c>
      <c r="D88" s="394">
        <v>12040</v>
      </c>
    </row>
    <row r="89" spans="1:4" x14ac:dyDescent="0.45">
      <c r="A89" s="391">
        <v>46133</v>
      </c>
      <c r="B89" s="392" t="s">
        <v>30</v>
      </c>
      <c r="C89" s="393">
        <v>1</v>
      </c>
      <c r="D89" s="394">
        <v>12130</v>
      </c>
    </row>
    <row r="90" spans="1:4" x14ac:dyDescent="0.45">
      <c r="A90" s="391">
        <v>46134</v>
      </c>
      <c r="B90" s="392" t="s">
        <v>30</v>
      </c>
      <c r="C90" s="393">
        <v>1</v>
      </c>
      <c r="D90" s="394">
        <v>12130</v>
      </c>
    </row>
    <row r="91" spans="1:4" x14ac:dyDescent="0.45">
      <c r="A91" s="391">
        <v>46135</v>
      </c>
      <c r="B91" s="392" t="s">
        <v>30</v>
      </c>
      <c r="C91" s="393">
        <v>1</v>
      </c>
      <c r="D91" s="394">
        <v>12100</v>
      </c>
    </row>
    <row r="92" spans="1:4" x14ac:dyDescent="0.45">
      <c r="A92" s="391">
        <v>46136</v>
      </c>
      <c r="B92" s="392" t="s">
        <v>30</v>
      </c>
      <c r="C92" s="393">
        <v>1</v>
      </c>
      <c r="D92" s="394">
        <v>12050</v>
      </c>
    </row>
    <row r="93" spans="1:4" x14ac:dyDescent="0.45">
      <c r="A93" s="391">
        <v>46137</v>
      </c>
      <c r="B93" s="392" t="s">
        <v>30</v>
      </c>
      <c r="C93" s="393">
        <v>1</v>
      </c>
      <c r="D93" s="394">
        <v>12060</v>
      </c>
    </row>
    <row r="94" spans="1:4" x14ac:dyDescent="0.45">
      <c r="A94" s="391">
        <v>46138</v>
      </c>
      <c r="B94" s="392" t="s">
        <v>30</v>
      </c>
      <c r="C94" s="393">
        <v>1</v>
      </c>
      <c r="D94" s="394">
        <v>12070</v>
      </c>
    </row>
    <row r="95" spans="1:4" x14ac:dyDescent="0.45">
      <c r="A95" s="391">
        <v>46139</v>
      </c>
      <c r="B95" s="392" t="s">
        <v>30</v>
      </c>
      <c r="C95" s="393">
        <v>1</v>
      </c>
      <c r="D95" s="394">
        <v>12100</v>
      </c>
    </row>
    <row r="96" spans="1:4" x14ac:dyDescent="0.45">
      <c r="A96" s="391">
        <v>46140</v>
      </c>
      <c r="B96" s="392" t="s">
        <v>30</v>
      </c>
      <c r="C96" s="393">
        <v>1</v>
      </c>
      <c r="D96" s="394">
        <v>12000</v>
      </c>
    </row>
    <row r="97" spans="1:4" x14ac:dyDescent="0.45">
      <c r="A97" s="391">
        <v>46141</v>
      </c>
      <c r="B97" s="392" t="s">
        <v>30</v>
      </c>
      <c r="C97" s="393">
        <v>1</v>
      </c>
      <c r="D97" s="394">
        <v>12100</v>
      </c>
    </row>
    <row r="98" spans="1:4" x14ac:dyDescent="0.45">
      <c r="A98" s="391">
        <v>46142</v>
      </c>
      <c r="B98" s="392" t="s">
        <v>30</v>
      </c>
      <c r="C98" s="393">
        <v>1</v>
      </c>
      <c r="D98" s="394">
        <v>12100</v>
      </c>
    </row>
    <row r="99" spans="1:4" x14ac:dyDescent="0.45">
      <c r="A99" s="391">
        <v>46143</v>
      </c>
      <c r="B99" s="392" t="s">
        <v>30</v>
      </c>
      <c r="C99" s="393">
        <v>1</v>
      </c>
      <c r="D99" s="394">
        <v>12100</v>
      </c>
    </row>
    <row r="100" spans="1:4" x14ac:dyDescent="0.45">
      <c r="A100" s="391">
        <v>46144</v>
      </c>
      <c r="B100" s="392" t="s">
        <v>30</v>
      </c>
      <c r="C100" s="393">
        <v>1</v>
      </c>
      <c r="D100" s="394">
        <v>12000</v>
      </c>
    </row>
    <row r="101" spans="1:4" x14ac:dyDescent="0.45">
      <c r="A101" s="391">
        <v>46145</v>
      </c>
      <c r="B101" s="392" t="s">
        <v>30</v>
      </c>
      <c r="C101" s="393">
        <v>1</v>
      </c>
      <c r="D101" s="394">
        <v>12000</v>
      </c>
    </row>
    <row r="102" spans="1:4" x14ac:dyDescent="0.45">
      <c r="A102" s="391">
        <v>46146</v>
      </c>
      <c r="B102" s="392" t="s">
        <v>30</v>
      </c>
      <c r="C102" s="393">
        <v>1</v>
      </c>
      <c r="D102" s="394">
        <v>12000</v>
      </c>
    </row>
    <row r="103" spans="1:4" x14ac:dyDescent="0.45">
      <c r="A103" s="391">
        <v>46147</v>
      </c>
      <c r="B103" s="392" t="s">
        <v>30</v>
      </c>
      <c r="C103" s="393">
        <v>1</v>
      </c>
      <c r="D103" s="394">
        <v>12000</v>
      </c>
    </row>
    <row r="104" spans="1:4" x14ac:dyDescent="0.45">
      <c r="A104" s="391">
        <v>46148</v>
      </c>
      <c r="B104" s="392" t="s">
        <v>30</v>
      </c>
      <c r="C104" s="393">
        <v>1</v>
      </c>
      <c r="D104" s="394">
        <v>11800</v>
      </c>
    </row>
    <row r="105" spans="1:4" x14ac:dyDescent="0.45">
      <c r="A105" s="391">
        <v>46149</v>
      </c>
      <c r="B105" s="392" t="s">
        <v>30</v>
      </c>
      <c r="C105" s="393">
        <v>1</v>
      </c>
      <c r="D105" s="394">
        <v>12170</v>
      </c>
    </row>
    <row r="106" spans="1:4" x14ac:dyDescent="0.45">
      <c r="A106" s="391">
        <v>46150</v>
      </c>
      <c r="B106" s="392" t="s">
        <v>30</v>
      </c>
      <c r="C106" s="393">
        <v>1</v>
      </c>
      <c r="D106" s="394">
        <v>12100</v>
      </c>
    </row>
    <row r="107" spans="1:4" x14ac:dyDescent="0.45">
      <c r="A107" s="391">
        <v>46151</v>
      </c>
      <c r="B107" s="392" t="s">
        <v>30</v>
      </c>
      <c r="C107" s="393">
        <v>1</v>
      </c>
      <c r="D107" s="394">
        <v>12100</v>
      </c>
    </row>
    <row r="108" spans="1:4" x14ac:dyDescent="0.45">
      <c r="A108" s="391">
        <v>46152</v>
      </c>
      <c r="B108" s="392" t="s">
        <v>30</v>
      </c>
      <c r="C108" s="393">
        <v>1</v>
      </c>
      <c r="D108" s="394">
        <v>12100</v>
      </c>
    </row>
    <row r="109" spans="1:4" x14ac:dyDescent="0.45">
      <c r="A109" s="391">
        <v>46153</v>
      </c>
      <c r="B109" s="392" t="s">
        <v>30</v>
      </c>
      <c r="C109" s="393">
        <v>1</v>
      </c>
      <c r="D109" s="394">
        <v>12200</v>
      </c>
    </row>
    <row r="110" spans="1:4" x14ac:dyDescent="0.45">
      <c r="A110" s="391">
        <v>46154</v>
      </c>
      <c r="B110" s="392" t="s">
        <v>30</v>
      </c>
      <c r="C110" s="393">
        <v>1</v>
      </c>
      <c r="D110" s="394">
        <v>12100</v>
      </c>
    </row>
    <row r="111" spans="1:4" x14ac:dyDescent="0.45">
      <c r="A111" s="391">
        <v>46155</v>
      </c>
      <c r="B111" s="392" t="s">
        <v>30</v>
      </c>
      <c r="C111" s="393">
        <v>1</v>
      </c>
      <c r="D111" s="394">
        <v>12150</v>
      </c>
    </row>
    <row r="112" spans="1:4" x14ac:dyDescent="0.45">
      <c r="A112" s="391">
        <v>46156</v>
      </c>
      <c r="B112" s="392" t="s">
        <v>30</v>
      </c>
      <c r="C112" s="393">
        <v>1</v>
      </c>
      <c r="D112" s="394">
        <v>12130</v>
      </c>
    </row>
    <row r="113" spans="1:4" x14ac:dyDescent="0.45">
      <c r="A113" s="391">
        <v>46157</v>
      </c>
      <c r="B113" s="392" t="s">
        <v>30</v>
      </c>
      <c r="C113" s="393">
        <v>1</v>
      </c>
      <c r="D113" s="394">
        <v>12100</v>
      </c>
    </row>
    <row r="114" spans="1:4" x14ac:dyDescent="0.45">
      <c r="A114" s="391">
        <v>46158</v>
      </c>
      <c r="B114" s="392" t="s">
        <v>30</v>
      </c>
      <c r="C114" s="393">
        <v>1</v>
      </c>
      <c r="D114" s="394">
        <v>12100</v>
      </c>
    </row>
    <row r="115" spans="1:4" x14ac:dyDescent="0.45">
      <c r="A115" s="391">
        <v>46159</v>
      </c>
      <c r="B115" s="392" t="s">
        <v>30</v>
      </c>
      <c r="C115" s="393">
        <v>1</v>
      </c>
      <c r="D115" s="394">
        <v>11970</v>
      </c>
    </row>
    <row r="116" spans="1:4" x14ac:dyDescent="0.45">
      <c r="A116" s="391">
        <v>46160</v>
      </c>
      <c r="B116" s="392" t="s">
        <v>30</v>
      </c>
      <c r="C116" s="393">
        <v>1</v>
      </c>
      <c r="D116" s="394">
        <v>11990</v>
      </c>
    </row>
    <row r="117" spans="1:4" x14ac:dyDescent="0.45">
      <c r="A117" s="391">
        <v>46161</v>
      </c>
      <c r="B117" s="392" t="s">
        <v>30</v>
      </c>
      <c r="C117" s="393">
        <v>1</v>
      </c>
      <c r="D117" s="394">
        <v>12000</v>
      </c>
    </row>
    <row r="118" spans="1:4" x14ac:dyDescent="0.45">
      <c r="A118" s="391">
        <v>46162</v>
      </c>
      <c r="B118" s="392" t="s">
        <v>30</v>
      </c>
      <c r="C118" s="393">
        <v>1</v>
      </c>
      <c r="D118" s="394">
        <v>12060</v>
      </c>
    </row>
    <row r="119" spans="1:4" x14ac:dyDescent="0.45">
      <c r="A119" s="391">
        <v>46163</v>
      </c>
      <c r="B119" s="392" t="s">
        <v>30</v>
      </c>
      <c r="C119" s="393">
        <v>1</v>
      </c>
      <c r="D119" s="394">
        <v>12130</v>
      </c>
    </row>
    <row r="120" spans="1:4" x14ac:dyDescent="0.45">
      <c r="A120" s="391">
        <v>46164</v>
      </c>
      <c r="B120" s="392" t="s">
        <v>30</v>
      </c>
      <c r="C120" s="393">
        <v>1</v>
      </c>
      <c r="D120" s="394"/>
    </row>
    <row r="121" spans="1:4" x14ac:dyDescent="0.45">
      <c r="A121" s="391">
        <v>46165</v>
      </c>
      <c r="B121" s="392" t="s">
        <v>30</v>
      </c>
      <c r="C121" s="393">
        <v>1</v>
      </c>
      <c r="D121" s="394"/>
    </row>
    <row r="122" spans="1:4" x14ac:dyDescent="0.45">
      <c r="A122" s="391">
        <v>46166</v>
      </c>
      <c r="B122" s="392" t="s">
        <v>30</v>
      </c>
      <c r="C122" s="393">
        <v>1</v>
      </c>
      <c r="D122" s="394"/>
    </row>
    <row r="123" spans="1:4" x14ac:dyDescent="0.45">
      <c r="A123" s="391">
        <v>46167</v>
      </c>
      <c r="B123" s="392" t="s">
        <v>30</v>
      </c>
      <c r="C123" s="393">
        <v>1</v>
      </c>
      <c r="D123" s="394"/>
    </row>
    <row r="124" spans="1:4" x14ac:dyDescent="0.45">
      <c r="A124" s="391">
        <v>46168</v>
      </c>
      <c r="B124" s="392" t="s">
        <v>30</v>
      </c>
      <c r="C124" s="393">
        <v>1</v>
      </c>
      <c r="D124" s="394"/>
    </row>
    <row r="125" spans="1:4" x14ac:dyDescent="0.45">
      <c r="A125" s="391">
        <v>46169</v>
      </c>
      <c r="B125" s="392" t="s">
        <v>30</v>
      </c>
      <c r="C125" s="393">
        <v>1</v>
      </c>
      <c r="D125" s="394"/>
    </row>
    <row r="126" spans="1:4" x14ac:dyDescent="0.45">
      <c r="A126" s="391">
        <v>46170</v>
      </c>
      <c r="B126" s="392" t="s">
        <v>30</v>
      </c>
      <c r="C126" s="393">
        <v>1</v>
      </c>
      <c r="D126" s="394"/>
    </row>
    <row r="127" spans="1:4" x14ac:dyDescent="0.45">
      <c r="A127" s="391">
        <v>46171</v>
      </c>
      <c r="B127" s="392" t="s">
        <v>30</v>
      </c>
      <c r="C127" s="393">
        <v>1</v>
      </c>
      <c r="D127" s="394"/>
    </row>
    <row r="128" spans="1:4" x14ac:dyDescent="0.45">
      <c r="A128" s="391">
        <v>46172</v>
      </c>
      <c r="B128" s="392" t="s">
        <v>30</v>
      </c>
      <c r="C128" s="393">
        <v>1</v>
      </c>
      <c r="D128" s="394"/>
    </row>
    <row r="129" spans="1:4" x14ac:dyDescent="0.45">
      <c r="A129" s="391">
        <v>46173</v>
      </c>
      <c r="B129" s="392" t="s">
        <v>30</v>
      </c>
      <c r="C129" s="393">
        <v>1</v>
      </c>
      <c r="D129" s="394"/>
    </row>
    <row r="130" spans="1:4" x14ac:dyDescent="0.45">
      <c r="A130" s="391">
        <v>46174</v>
      </c>
      <c r="B130" s="392" t="s">
        <v>30</v>
      </c>
      <c r="C130" s="393">
        <v>1</v>
      </c>
      <c r="D130" s="394"/>
    </row>
    <row r="131" spans="1:4" x14ac:dyDescent="0.45">
      <c r="A131" s="391">
        <v>46175</v>
      </c>
      <c r="B131" s="392" t="s">
        <v>30</v>
      </c>
      <c r="C131" s="393">
        <v>1</v>
      </c>
      <c r="D131" s="394"/>
    </row>
    <row r="132" spans="1:4" x14ac:dyDescent="0.45">
      <c r="A132" s="391">
        <v>46176</v>
      </c>
      <c r="B132" s="392" t="s">
        <v>30</v>
      </c>
      <c r="C132" s="393">
        <v>1</v>
      </c>
      <c r="D132" s="394"/>
    </row>
    <row r="133" spans="1:4" x14ac:dyDescent="0.45">
      <c r="A133" s="391">
        <v>46177</v>
      </c>
      <c r="B133" s="392" t="s">
        <v>30</v>
      </c>
      <c r="C133" s="393">
        <v>1</v>
      </c>
      <c r="D133" s="394"/>
    </row>
    <row r="134" spans="1:4" x14ac:dyDescent="0.45">
      <c r="A134" s="391">
        <v>46178</v>
      </c>
      <c r="B134" s="392" t="s">
        <v>30</v>
      </c>
      <c r="C134" s="393">
        <v>1</v>
      </c>
      <c r="D134" s="394"/>
    </row>
    <row r="135" spans="1:4" x14ac:dyDescent="0.45">
      <c r="A135" s="391">
        <v>46179</v>
      </c>
      <c r="B135" s="392" t="s">
        <v>30</v>
      </c>
      <c r="C135" s="393">
        <v>1</v>
      </c>
      <c r="D135" s="394"/>
    </row>
    <row r="136" spans="1:4" x14ac:dyDescent="0.45">
      <c r="A136" s="391">
        <v>46180</v>
      </c>
      <c r="B136" s="392" t="s">
        <v>30</v>
      </c>
      <c r="C136" s="393">
        <v>1</v>
      </c>
      <c r="D136" s="394"/>
    </row>
    <row r="137" spans="1:4" x14ac:dyDescent="0.45">
      <c r="A137" s="391">
        <v>46181</v>
      </c>
      <c r="B137" s="392" t="s">
        <v>30</v>
      </c>
      <c r="C137" s="393">
        <v>1</v>
      </c>
      <c r="D137" s="394"/>
    </row>
    <row r="138" spans="1:4" x14ac:dyDescent="0.45">
      <c r="A138" s="391">
        <v>46182</v>
      </c>
      <c r="B138" s="392" t="s">
        <v>30</v>
      </c>
      <c r="C138" s="393">
        <v>1</v>
      </c>
      <c r="D138" s="394"/>
    </row>
    <row r="139" spans="1:4" x14ac:dyDescent="0.45">
      <c r="A139" s="391">
        <v>46183</v>
      </c>
      <c r="B139" s="392" t="s">
        <v>30</v>
      </c>
      <c r="C139" s="393">
        <v>1</v>
      </c>
      <c r="D139" s="394"/>
    </row>
    <row r="140" spans="1:4" x14ac:dyDescent="0.45">
      <c r="A140" s="391">
        <v>46184</v>
      </c>
      <c r="B140" s="392" t="s">
        <v>30</v>
      </c>
      <c r="C140" s="393">
        <v>1</v>
      </c>
      <c r="D140" s="394"/>
    </row>
    <row r="141" spans="1:4" x14ac:dyDescent="0.45">
      <c r="A141" s="391">
        <v>46185</v>
      </c>
      <c r="B141" s="392" t="s">
        <v>30</v>
      </c>
      <c r="C141" s="393">
        <v>1</v>
      </c>
      <c r="D141" s="394"/>
    </row>
    <row r="142" spans="1:4" x14ac:dyDescent="0.45">
      <c r="A142" s="391">
        <v>46186</v>
      </c>
      <c r="B142" s="392" t="s">
        <v>30</v>
      </c>
      <c r="C142" s="393">
        <v>1</v>
      </c>
      <c r="D142" s="394"/>
    </row>
    <row r="143" spans="1:4" x14ac:dyDescent="0.45">
      <c r="A143" s="391">
        <v>46187</v>
      </c>
      <c r="B143" s="392" t="s">
        <v>30</v>
      </c>
      <c r="C143" s="393">
        <v>1</v>
      </c>
      <c r="D143" s="394"/>
    </row>
    <row r="144" spans="1:4" x14ac:dyDescent="0.45">
      <c r="A144" s="391">
        <v>46188</v>
      </c>
      <c r="B144" s="392" t="s">
        <v>30</v>
      </c>
      <c r="C144" s="393">
        <v>1</v>
      </c>
      <c r="D144" s="394"/>
    </row>
    <row r="145" spans="1:4" x14ac:dyDescent="0.45">
      <c r="A145" s="391">
        <v>46189</v>
      </c>
      <c r="B145" s="392" t="s">
        <v>30</v>
      </c>
      <c r="C145" s="393">
        <v>1</v>
      </c>
      <c r="D145" s="394"/>
    </row>
    <row r="146" spans="1:4" x14ac:dyDescent="0.45">
      <c r="A146" s="391">
        <v>46190</v>
      </c>
      <c r="B146" s="392" t="s">
        <v>30</v>
      </c>
      <c r="C146" s="393">
        <v>1</v>
      </c>
      <c r="D146" s="394"/>
    </row>
    <row r="147" spans="1:4" x14ac:dyDescent="0.45">
      <c r="A147" s="391">
        <v>46191</v>
      </c>
      <c r="B147" s="392" t="s">
        <v>30</v>
      </c>
      <c r="C147" s="393">
        <v>1</v>
      </c>
      <c r="D147" s="394"/>
    </row>
  </sheetData>
  <conditionalFormatting sqref="A2:D147">
    <cfRule type="expression" dxfId="79" priority="1">
      <formula>MOD(ROW(),2)=0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Worksheet____3"/>
  <dimension ref="A1:H94"/>
  <sheetViews>
    <sheetView zoomScale="96" workbookViewId="0">
      <pane ySplit="1" topLeftCell="A9" activePane="bottomLeft" state="frozen"/>
      <selection pane="bottomLeft" activeCell="C2" sqref="C2"/>
    </sheetView>
  </sheetViews>
  <sheetFormatPr defaultRowHeight="14.25" outlineLevelRow="2" x14ac:dyDescent="0.45"/>
  <cols>
    <col min="1" max="1" width="16" customWidth="1"/>
    <col min="2" max="2" width="7.1328125" customWidth="1"/>
    <col min="3" max="3" width="35.6640625" customWidth="1"/>
    <col min="4" max="4" width="13.33203125" customWidth="1"/>
    <col min="5" max="5" width="11.53125" customWidth="1"/>
    <col min="6" max="6" width="26.796875" customWidth="1"/>
    <col min="7" max="7" width="19.6640625" customWidth="1"/>
    <col min="8" max="8" width="49.9296875" customWidth="1"/>
  </cols>
  <sheetData>
    <row r="1" spans="1:8" ht="30" customHeight="1" x14ac:dyDescent="0.45">
      <c r="A1" s="29" t="s">
        <v>26</v>
      </c>
      <c r="B1" s="30" t="s">
        <v>31</v>
      </c>
      <c r="C1" s="30" t="s">
        <v>32</v>
      </c>
      <c r="D1" s="30" t="s">
        <v>33</v>
      </c>
      <c r="E1" s="30" t="s">
        <v>34</v>
      </c>
      <c r="F1" s="30" t="s">
        <v>35</v>
      </c>
      <c r="G1" s="31" t="s">
        <v>36</v>
      </c>
      <c r="H1" s="32" t="s">
        <v>37</v>
      </c>
    </row>
    <row r="2" spans="1:8" ht="22.15" customHeight="1" outlineLevel="2" x14ac:dyDescent="0.45">
      <c r="A2" s="33">
        <v>45973</v>
      </c>
      <c r="B2" s="34">
        <v>1</v>
      </c>
      <c r="C2" s="35" t="s">
        <v>38</v>
      </c>
      <c r="D2" s="36" t="s">
        <v>39</v>
      </c>
      <c r="E2" s="37">
        <v>1</v>
      </c>
      <c r="F2" s="38">
        <v>91695000</v>
      </c>
      <c r="G2" s="39">
        <f>IF(A2&lt;&gt;"", F2 / VLOOKUP(A2, 'Курс валют'!$A:$D, 4, 0), "")</f>
        <v>7641.25</v>
      </c>
      <c r="H2" s="40" t="s">
        <v>40</v>
      </c>
    </row>
    <row r="3" spans="1:8" ht="24" customHeight="1" outlineLevel="1" x14ac:dyDescent="0.45">
      <c r="A3" s="41" t="s">
        <v>41</v>
      </c>
      <c r="B3" s="42"/>
      <c r="C3" s="43"/>
      <c r="D3" s="44"/>
      <c r="E3" s="45"/>
      <c r="F3" s="46">
        <f>SUBTOTAL(9,F2:F2)</f>
        <v>91695000</v>
      </c>
      <c r="G3" s="39" t="e">
        <f>IF(A3&lt;&gt;"", F3 / VLOOKUP(A3, 'Курс валют'!$A:$D, 4, 0), "")</f>
        <v>#N/A</v>
      </c>
      <c r="H3" s="47"/>
    </row>
    <row r="4" spans="1:8" ht="22.15" customHeight="1" outlineLevel="2" x14ac:dyDescent="0.45">
      <c r="A4" s="48">
        <v>46054</v>
      </c>
      <c r="B4" s="49">
        <v>1</v>
      </c>
      <c r="C4" s="50" t="s">
        <v>42</v>
      </c>
      <c r="D4" s="51" t="s">
        <v>43</v>
      </c>
      <c r="E4" s="52">
        <v>1</v>
      </c>
      <c r="F4" s="53">
        <v>6000000</v>
      </c>
      <c r="G4" s="39">
        <f>IF(A4&lt;&gt;"", F4 / VLOOKUP(A4, 'Курс валют'!$A:$D, 4, 0), "")</f>
        <v>491.80327868852459</v>
      </c>
      <c r="H4" s="55" t="s">
        <v>40</v>
      </c>
    </row>
    <row r="5" spans="1:8" ht="22.15" customHeight="1" outlineLevel="2" x14ac:dyDescent="0.45">
      <c r="A5" s="48">
        <v>46054</v>
      </c>
      <c r="B5" s="49">
        <v>2</v>
      </c>
      <c r="C5" s="50" t="s">
        <v>44</v>
      </c>
      <c r="D5" s="51" t="s">
        <v>43</v>
      </c>
      <c r="E5" s="52">
        <v>1</v>
      </c>
      <c r="F5" s="53">
        <v>7000000</v>
      </c>
      <c r="G5" s="39">
        <f>IF(A5&lt;&gt;"", F5 / VLOOKUP(A5, 'Курс валют'!$A:$D, 4, 0), "")</f>
        <v>573.77049180327867</v>
      </c>
      <c r="H5" s="55" t="s">
        <v>40</v>
      </c>
    </row>
    <row r="6" spans="1:8" ht="22.15" customHeight="1" outlineLevel="2" x14ac:dyDescent="0.45">
      <c r="A6" s="48">
        <v>46054</v>
      </c>
      <c r="B6" s="49">
        <v>3</v>
      </c>
      <c r="C6" s="50" t="s">
        <v>45</v>
      </c>
      <c r="D6" s="51" t="s">
        <v>43</v>
      </c>
      <c r="E6" s="52">
        <v>1</v>
      </c>
      <c r="F6" s="53">
        <v>10000000</v>
      </c>
      <c r="G6" s="39">
        <f>IF(A6&lt;&gt;"", F6 / VLOOKUP(A6, 'Курс валют'!$A:$D, 4, 0), "")</f>
        <v>819.67213114754099</v>
      </c>
      <c r="H6" s="55" t="s">
        <v>40</v>
      </c>
    </row>
    <row r="7" spans="1:8" ht="22.15" customHeight="1" outlineLevel="2" x14ac:dyDescent="0.45">
      <c r="A7" s="48">
        <v>46054</v>
      </c>
      <c r="B7" s="49">
        <v>4</v>
      </c>
      <c r="C7" s="50" t="s">
        <v>46</v>
      </c>
      <c r="D7" s="51" t="s">
        <v>43</v>
      </c>
      <c r="E7" s="52">
        <v>1</v>
      </c>
      <c r="F7" s="53">
        <v>4000000</v>
      </c>
      <c r="G7" s="39">
        <f>IF(A7&lt;&gt;"", F7 / VLOOKUP(A7, 'Курс валют'!$A:$D, 4, 0), "")</f>
        <v>327.86885245901641</v>
      </c>
      <c r="H7" s="55" t="s">
        <v>40</v>
      </c>
    </row>
    <row r="8" spans="1:8" ht="22.15" customHeight="1" outlineLevel="2" x14ac:dyDescent="0.45">
      <c r="A8" s="48">
        <v>46054</v>
      </c>
      <c r="B8" s="49">
        <v>5</v>
      </c>
      <c r="C8" s="50" t="s">
        <v>47</v>
      </c>
      <c r="D8" s="51" t="s">
        <v>43</v>
      </c>
      <c r="E8" s="52">
        <v>1</v>
      </c>
      <c r="F8" s="53">
        <v>10000000</v>
      </c>
      <c r="G8" s="39">
        <f>IF(A8&lt;&gt;"", F8 / VLOOKUP(A8, 'Курс валют'!$A:$D, 4, 0), "")</f>
        <v>819.67213114754099</v>
      </c>
      <c r="H8" s="55" t="s">
        <v>40</v>
      </c>
    </row>
    <row r="9" spans="1:8" ht="24" customHeight="1" outlineLevel="1" x14ac:dyDescent="0.45">
      <c r="A9" s="41" t="s">
        <v>48</v>
      </c>
      <c r="B9" s="42"/>
      <c r="C9" s="43"/>
      <c r="D9" s="44"/>
      <c r="E9" s="45"/>
      <c r="F9" s="46">
        <f>SUBTOTAL(9,F4:F8)</f>
        <v>37000000</v>
      </c>
      <c r="G9" s="39" t="e">
        <f>IF(A9&lt;&gt;"", F9 / VLOOKUP(A9, 'Курс валют'!$A:$D, 4, 0), "")</f>
        <v>#N/A</v>
      </c>
      <c r="H9" s="47"/>
    </row>
    <row r="10" spans="1:8" ht="22.15" customHeight="1" outlineLevel="2" x14ac:dyDescent="0.45">
      <c r="A10" s="33">
        <v>46081</v>
      </c>
      <c r="B10" s="34">
        <v>1</v>
      </c>
      <c r="C10" s="35" t="s">
        <v>18</v>
      </c>
      <c r="D10" s="36" t="s">
        <v>39</v>
      </c>
      <c r="E10" s="37">
        <v>2414</v>
      </c>
      <c r="F10" s="38">
        <f>145000*E10</f>
        <v>350030000</v>
      </c>
      <c r="G10" s="39">
        <f>IF(A10&lt;&gt;"", F10 / VLOOKUP(A10, 'Курс валют'!$A:$D, 4, 0), "")</f>
        <v>28975.993377483443</v>
      </c>
      <c r="H10" s="40" t="s">
        <v>40</v>
      </c>
    </row>
    <row r="11" spans="1:8" ht="22.15" customHeight="1" outlineLevel="2" x14ac:dyDescent="0.45">
      <c r="A11" s="33">
        <v>46081</v>
      </c>
      <c r="B11" s="34">
        <v>2</v>
      </c>
      <c r="C11" s="35" t="s">
        <v>49</v>
      </c>
      <c r="D11" s="36" t="s">
        <v>39</v>
      </c>
      <c r="E11" s="37">
        <v>2050</v>
      </c>
      <c r="F11" s="38">
        <f>10000*E11</f>
        <v>20500000</v>
      </c>
      <c r="G11" s="39">
        <f>IF(A11&lt;&gt;"", F11 / VLOOKUP(A11, 'Курс валют'!$A:$D, 4, 0), "")</f>
        <v>1697.0198675496688</v>
      </c>
      <c r="H11" s="40" t="s">
        <v>40</v>
      </c>
    </row>
    <row r="12" spans="1:8" ht="24" customHeight="1" outlineLevel="1" x14ac:dyDescent="0.45">
      <c r="A12" s="41" t="s">
        <v>50</v>
      </c>
      <c r="B12" s="42"/>
      <c r="C12" s="43"/>
      <c r="D12" s="44"/>
      <c r="E12" s="45"/>
      <c r="F12" s="46">
        <f>SUBTOTAL(9,F10:F11)</f>
        <v>370530000</v>
      </c>
      <c r="G12" s="39" t="e">
        <f>IF(A12&lt;&gt;"", F12 / VLOOKUP(A12, 'Курс валют'!$A:$D, 4, 0), "")</f>
        <v>#N/A</v>
      </c>
      <c r="H12" s="47"/>
    </row>
    <row r="13" spans="1:8" ht="22.15" customHeight="1" outlineLevel="2" x14ac:dyDescent="0.45">
      <c r="A13" s="48">
        <v>46112</v>
      </c>
      <c r="B13" s="49">
        <v>1</v>
      </c>
      <c r="C13" s="50" t="s">
        <v>18</v>
      </c>
      <c r="D13" s="51" t="s">
        <v>39</v>
      </c>
      <c r="E13" s="52">
        <v>3530</v>
      </c>
      <c r="F13" s="53">
        <f>E13*115000</f>
        <v>405950000</v>
      </c>
      <c r="G13" s="39">
        <f>IF(A13&lt;&gt;"", F13 / VLOOKUP(A13, 'Курс валют'!$A:$D, 4, 0), "")</f>
        <v>33466.611706512776</v>
      </c>
      <c r="H13" s="55" t="s">
        <v>40</v>
      </c>
    </row>
    <row r="14" spans="1:8" ht="22.15" customHeight="1" outlineLevel="2" x14ac:dyDescent="0.45">
      <c r="A14" s="48">
        <v>46112</v>
      </c>
      <c r="B14" s="49">
        <v>2</v>
      </c>
      <c r="C14" s="50" t="s">
        <v>49</v>
      </c>
      <c r="D14" s="51" t="s">
        <v>39</v>
      </c>
      <c r="E14" s="52">
        <v>923</v>
      </c>
      <c r="F14" s="53">
        <f>10000*E14</f>
        <v>9230000</v>
      </c>
      <c r="G14" s="39">
        <f>IF(A14&lt;&gt;"", F14 / VLOOKUP(A14, 'Курс валют'!$A:$D, 4, 0), "")</f>
        <v>760.92333058532563</v>
      </c>
      <c r="H14" s="55" t="s">
        <v>40</v>
      </c>
    </row>
    <row r="15" spans="1:8" ht="22.15" customHeight="1" outlineLevel="2" x14ac:dyDescent="0.45">
      <c r="A15" s="48">
        <v>46112</v>
      </c>
      <c r="B15" s="49">
        <v>3</v>
      </c>
      <c r="C15" s="50" t="s">
        <v>42</v>
      </c>
      <c r="D15" s="51" t="s">
        <v>43</v>
      </c>
      <c r="E15" s="52">
        <v>1</v>
      </c>
      <c r="F15" s="53">
        <v>6000000</v>
      </c>
      <c r="G15" s="39">
        <f>IF(A15&lt;&gt;"", F15 / VLOOKUP(A15, 'Курс валют'!$A:$D, 4, 0), "")</f>
        <v>494.64138499587801</v>
      </c>
      <c r="H15" s="55" t="s">
        <v>40</v>
      </c>
    </row>
    <row r="16" spans="1:8" ht="22.15" customHeight="1" outlineLevel="2" x14ac:dyDescent="0.45">
      <c r="A16" s="48">
        <v>46112</v>
      </c>
      <c r="B16" s="49">
        <v>4</v>
      </c>
      <c r="C16" s="50" t="s">
        <v>44</v>
      </c>
      <c r="D16" s="51" t="s">
        <v>43</v>
      </c>
      <c r="E16" s="52">
        <v>1</v>
      </c>
      <c r="F16" s="53">
        <v>7000000</v>
      </c>
      <c r="G16" s="39">
        <f>IF(A16&lt;&gt;"", F16 / VLOOKUP(A16, 'Курс валют'!$A:$D, 4, 0), "")</f>
        <v>577.08161582852426</v>
      </c>
      <c r="H16" s="55" t="s">
        <v>40</v>
      </c>
    </row>
    <row r="17" spans="1:8" ht="22.15" customHeight="1" outlineLevel="2" x14ac:dyDescent="0.45">
      <c r="A17" s="48">
        <v>46112</v>
      </c>
      <c r="B17" s="49">
        <v>5</v>
      </c>
      <c r="C17" s="50" t="s">
        <v>45</v>
      </c>
      <c r="D17" s="51" t="s">
        <v>43</v>
      </c>
      <c r="E17" s="52">
        <v>1</v>
      </c>
      <c r="F17" s="53">
        <v>10000000</v>
      </c>
      <c r="G17" s="39">
        <f>IF(A17&lt;&gt;"", F17 / VLOOKUP(A17, 'Курс валют'!$A:$D, 4, 0), "")</f>
        <v>824.4023083264633</v>
      </c>
      <c r="H17" s="55" t="s">
        <v>40</v>
      </c>
    </row>
    <row r="18" spans="1:8" ht="22.15" customHeight="1" outlineLevel="2" x14ac:dyDescent="0.45">
      <c r="A18" s="48">
        <v>46112</v>
      </c>
      <c r="B18" s="49">
        <v>6</v>
      </c>
      <c r="C18" s="50" t="s">
        <v>46</v>
      </c>
      <c r="D18" s="51" t="s">
        <v>43</v>
      </c>
      <c r="E18" s="52">
        <v>1</v>
      </c>
      <c r="F18" s="53">
        <v>4000000</v>
      </c>
      <c r="G18" s="39">
        <f>IF(A18&lt;&gt;"", F18 / VLOOKUP(A18, 'Курс валют'!$A:$D, 4, 0), "")</f>
        <v>329.76092333058534</v>
      </c>
      <c r="H18" s="55" t="s">
        <v>40</v>
      </c>
    </row>
    <row r="19" spans="1:8" ht="22.15" customHeight="1" outlineLevel="2" x14ac:dyDescent="0.45">
      <c r="A19" s="48">
        <v>46112</v>
      </c>
      <c r="B19" s="49">
        <v>7</v>
      </c>
      <c r="C19" s="50" t="s">
        <v>47</v>
      </c>
      <c r="D19" s="51" t="s">
        <v>43</v>
      </c>
      <c r="E19" s="52">
        <v>1</v>
      </c>
      <c r="F19" s="53">
        <v>12000000</v>
      </c>
      <c r="G19" s="39">
        <f>IF(A19&lt;&gt;"", F19 / VLOOKUP(A19, 'Курс валют'!$A:$D, 4, 0), "")</f>
        <v>989.28276999175603</v>
      </c>
      <c r="H19" s="55" t="s">
        <v>40</v>
      </c>
    </row>
    <row r="20" spans="1:8" ht="22.15" customHeight="1" outlineLevel="2" x14ac:dyDescent="0.45">
      <c r="A20" s="48">
        <v>46112</v>
      </c>
      <c r="B20" s="49">
        <v>8</v>
      </c>
      <c r="C20" s="50" t="s">
        <v>51</v>
      </c>
      <c r="D20" s="51" t="s">
        <v>43</v>
      </c>
      <c r="E20" s="52">
        <v>1</v>
      </c>
      <c r="F20" s="53">
        <v>5000000</v>
      </c>
      <c r="G20" s="39">
        <f>IF(A20&lt;&gt;"", F20 / VLOOKUP(A20, 'Курс валют'!$A:$D, 4, 0), "")</f>
        <v>412.20115416323165</v>
      </c>
      <c r="H20" s="55" t="s">
        <v>40</v>
      </c>
    </row>
    <row r="21" spans="1:8" ht="24" customHeight="1" outlineLevel="1" x14ac:dyDescent="0.45">
      <c r="A21" s="41" t="s">
        <v>52</v>
      </c>
      <c r="B21" s="42"/>
      <c r="C21" s="43"/>
      <c r="D21" s="44"/>
      <c r="E21" s="45"/>
      <c r="F21" s="46">
        <f>SUBTOTAL(9,F13:F20)</f>
        <v>459180000</v>
      </c>
      <c r="G21" s="39" t="e">
        <f>IF(A21&lt;&gt;"", F21 / VLOOKUP(A21, 'Курс валют'!$A:$D, 4, 0), "")</f>
        <v>#N/A</v>
      </c>
      <c r="H21" s="47"/>
    </row>
    <row r="22" spans="1:8" ht="28.15" customHeight="1" x14ac:dyDescent="0.45">
      <c r="A22" s="56" t="s">
        <v>53</v>
      </c>
      <c r="B22" s="57"/>
      <c r="C22" s="58"/>
      <c r="D22" s="59"/>
      <c r="E22" s="60"/>
      <c r="F22" s="61">
        <f>SUBTOTAL(9,F2:F20)</f>
        <v>958405000</v>
      </c>
      <c r="G22" s="39" t="e">
        <f>IF(A22&lt;&gt;"", F22 / VLOOKUP(A22, 'Курс валют'!$A:$D, 4, 0), "")</f>
        <v>#N/A</v>
      </c>
      <c r="H22" s="62"/>
    </row>
    <row r="23" spans="1:8" ht="20.100000000000001" customHeight="1" x14ac:dyDescent="0.45">
      <c r="A23" s="48">
        <v>46143</v>
      </c>
      <c r="B23" s="49">
        <v>1</v>
      </c>
      <c r="C23" s="50" t="s">
        <v>18</v>
      </c>
      <c r="D23" s="51" t="s">
        <v>39</v>
      </c>
      <c r="E23" s="52"/>
      <c r="F23" s="53">
        <v>400000000</v>
      </c>
      <c r="G23" s="39">
        <f>IF(A23&lt;&gt;"", F23 / VLOOKUP(A23, 'Курс валют'!$A:$D, 4, 0), "")</f>
        <v>33057.85123966942</v>
      </c>
      <c r="H23" s="55" t="s">
        <v>40</v>
      </c>
    </row>
    <row r="24" spans="1:8" ht="20.100000000000001" customHeight="1" x14ac:dyDescent="0.45">
      <c r="A24" s="48">
        <v>46146</v>
      </c>
      <c r="B24" s="49">
        <v>2</v>
      </c>
      <c r="C24" s="50" t="s">
        <v>18</v>
      </c>
      <c r="D24" s="51" t="s">
        <v>39</v>
      </c>
      <c r="E24" s="52"/>
      <c r="F24" s="53">
        <v>170000000</v>
      </c>
      <c r="G24" s="39">
        <f>IF(A24&lt;&gt;"", F24 / VLOOKUP(A24, 'Курс валют'!$A:$D, 4, 0), "")</f>
        <v>14166.666666666666</v>
      </c>
      <c r="H24" s="55" t="s">
        <v>40</v>
      </c>
    </row>
    <row r="25" spans="1:8" ht="20.100000000000001" customHeight="1" x14ac:dyDescent="0.45">
      <c r="A25" s="48">
        <v>46147</v>
      </c>
      <c r="B25" s="49">
        <v>3</v>
      </c>
      <c r="C25" s="50" t="s">
        <v>18</v>
      </c>
      <c r="D25" s="51" t="s">
        <v>39</v>
      </c>
      <c r="E25" s="52"/>
      <c r="F25" s="53">
        <v>133280000</v>
      </c>
      <c r="G25" s="39">
        <f>IF(A25&lt;&gt;"", F25 / VLOOKUP(A25, 'Курс валют'!$A:$D, 4, 0), "")</f>
        <v>11106.666666666666</v>
      </c>
      <c r="H25" s="55" t="s">
        <v>40</v>
      </c>
    </row>
    <row r="26" spans="1:8" x14ac:dyDescent="0.45">
      <c r="A26" s="48">
        <v>46174</v>
      </c>
      <c r="B26" s="49">
        <v>1</v>
      </c>
      <c r="C26" s="50" t="s">
        <v>18</v>
      </c>
      <c r="D26" s="51" t="s">
        <v>39</v>
      </c>
      <c r="E26" s="52"/>
      <c r="F26" s="53">
        <v>450000000</v>
      </c>
      <c r="G26" s="39" t="e">
        <f>IF(A26&lt;&gt;"", F26 / VLOOKUP(A26, 'Курс валют'!$A:$D, 4, 0), "")</f>
        <v>#DIV/0!</v>
      </c>
      <c r="H26" s="55" t="s">
        <v>40</v>
      </c>
    </row>
    <row r="27" spans="1:8" x14ac:dyDescent="0.45">
      <c r="A27" s="48">
        <v>46176</v>
      </c>
      <c r="B27" s="49">
        <v>1</v>
      </c>
      <c r="C27" s="50" t="s">
        <v>18</v>
      </c>
      <c r="D27" s="51" t="s">
        <v>39</v>
      </c>
      <c r="E27" s="52"/>
      <c r="F27" s="53">
        <v>350000000</v>
      </c>
      <c r="G27" s="54" t="e">
        <f>IF(A27&lt;&gt;"", F27 / VLOOKUP(A27, '[1]Курс валют'!$A:$D, 4, 0), "")</f>
        <v>#DIV/0!</v>
      </c>
      <c r="H27" s="55" t="s">
        <v>40</v>
      </c>
    </row>
    <row r="28" spans="1:8" x14ac:dyDescent="0.45">
      <c r="A28" s="48">
        <v>46176</v>
      </c>
      <c r="B28" s="49">
        <v>2</v>
      </c>
      <c r="C28" s="50" t="s">
        <v>894</v>
      </c>
      <c r="D28" s="51" t="s">
        <v>39</v>
      </c>
      <c r="E28" s="52"/>
      <c r="F28" s="53">
        <v>3360000</v>
      </c>
      <c r="G28" s="54" t="e">
        <f>IF(A28&lt;&gt;"", F28 / VLOOKUP(A28, '[1]Курс валют'!$A:$D, 4, 0), "")</f>
        <v>#DIV/0!</v>
      </c>
      <c r="H28" s="55" t="s">
        <v>40</v>
      </c>
    </row>
    <row r="29" spans="1:8" x14ac:dyDescent="0.45">
      <c r="A29" s="48">
        <v>46178</v>
      </c>
      <c r="B29" s="49">
        <v>1</v>
      </c>
      <c r="C29" s="50" t="s">
        <v>18</v>
      </c>
      <c r="D29" s="51" t="s">
        <v>39</v>
      </c>
      <c r="E29" s="52"/>
      <c r="F29" s="53">
        <v>133750000</v>
      </c>
      <c r="G29" s="54" t="e">
        <f>IF(A29&lt;&gt;"", F29 / VLOOKUP(A29, '[1]Курс валют'!$A:$D, 4, 0), "")</f>
        <v>#DIV/0!</v>
      </c>
      <c r="H29" s="55" t="s">
        <v>40</v>
      </c>
    </row>
    <row r="30" spans="1:8" x14ac:dyDescent="0.45">
      <c r="A30" s="48"/>
      <c r="B30" s="49"/>
      <c r="C30" s="50"/>
      <c r="D30" s="51"/>
      <c r="E30" s="52"/>
      <c r="F30" s="53"/>
      <c r="G30" s="54" t="str">
        <f>IF(A30&lt;&gt;"", F30 / VLOOKUP(A30, '[1]Курс валют'!$A:$D, 4, 0), "")</f>
        <v/>
      </c>
      <c r="H30" s="55"/>
    </row>
    <row r="31" spans="1:8" x14ac:dyDescent="0.45">
      <c r="A31" s="48"/>
      <c r="B31" s="49"/>
      <c r="C31" s="50"/>
      <c r="D31" s="51"/>
      <c r="E31" s="52"/>
      <c r="F31" s="53"/>
      <c r="G31" s="54"/>
      <c r="H31" s="55"/>
    </row>
    <row r="32" spans="1:8" x14ac:dyDescent="0.45">
      <c r="A32" s="48"/>
      <c r="B32" s="49"/>
      <c r="C32" s="50"/>
      <c r="D32" s="51"/>
      <c r="E32" s="52"/>
      <c r="F32" s="53"/>
      <c r="G32" s="54"/>
      <c r="H32" s="55"/>
    </row>
    <row r="33" spans="1:8" x14ac:dyDescent="0.45">
      <c r="A33" s="48"/>
      <c r="B33" s="49"/>
      <c r="C33" s="50"/>
      <c r="D33" s="51"/>
      <c r="E33" s="52"/>
      <c r="F33" s="53"/>
      <c r="G33" s="54"/>
      <c r="H33" s="55"/>
    </row>
    <row r="34" spans="1:8" x14ac:dyDescent="0.45">
      <c r="A34" s="48"/>
      <c r="B34" s="49"/>
      <c r="C34" s="50"/>
      <c r="D34" s="51"/>
      <c r="E34" s="52"/>
      <c r="F34" s="53"/>
      <c r="G34" s="54"/>
      <c r="H34" s="55"/>
    </row>
    <row r="35" spans="1:8" x14ac:dyDescent="0.45">
      <c r="A35" s="63"/>
      <c r="B35" s="64"/>
      <c r="C35" s="65"/>
      <c r="D35" s="66"/>
      <c r="E35" s="66"/>
      <c r="F35" s="67"/>
      <c r="G35" s="67"/>
      <c r="H35" s="68"/>
    </row>
    <row r="36" spans="1:8" x14ac:dyDescent="0.45">
      <c r="A36" s="69"/>
      <c r="B36" s="64"/>
      <c r="C36" s="65"/>
      <c r="D36" s="68"/>
      <c r="E36" s="68"/>
      <c r="F36" s="66"/>
      <c r="G36" s="66"/>
      <c r="H36" s="68"/>
    </row>
    <row r="37" spans="1:8" x14ac:dyDescent="0.45">
      <c r="A37" s="63"/>
      <c r="B37" s="70"/>
      <c r="C37" s="71"/>
      <c r="D37" s="72"/>
      <c r="E37" s="72"/>
      <c r="F37" s="66"/>
      <c r="G37" s="66"/>
      <c r="H37" s="72"/>
    </row>
    <row r="38" spans="1:8" x14ac:dyDescent="0.45">
      <c r="A38" s="63"/>
      <c r="B38" s="64"/>
      <c r="C38" s="65"/>
      <c r="D38" s="68"/>
      <c r="E38" s="68"/>
      <c r="F38" s="66"/>
      <c r="G38" s="66"/>
      <c r="H38" s="68"/>
    </row>
    <row r="39" spans="1:8" x14ac:dyDescent="0.45">
      <c r="A39" s="63"/>
      <c r="B39" s="70"/>
      <c r="C39" s="71"/>
      <c r="D39" s="72"/>
      <c r="E39" s="72"/>
      <c r="F39" s="66"/>
      <c r="G39" s="66"/>
      <c r="H39" s="72"/>
    </row>
    <row r="40" spans="1:8" x14ac:dyDescent="0.45">
      <c r="A40" s="63"/>
      <c r="B40" s="64"/>
      <c r="C40" s="65"/>
      <c r="D40" s="68"/>
      <c r="E40" s="68"/>
      <c r="F40" s="66"/>
      <c r="G40" s="66"/>
      <c r="H40" s="68"/>
    </row>
    <row r="41" spans="1:8" x14ac:dyDescent="0.45">
      <c r="A41" s="63"/>
      <c r="B41" s="70"/>
      <c r="C41" s="71"/>
      <c r="D41" s="72"/>
      <c r="E41" s="72"/>
      <c r="F41" s="66"/>
      <c r="G41" s="66"/>
      <c r="H41" s="72"/>
    </row>
    <row r="42" spans="1:8" x14ac:dyDescent="0.45">
      <c r="A42" s="63"/>
      <c r="B42" s="64"/>
      <c r="C42" s="65"/>
      <c r="D42" s="68"/>
      <c r="E42" s="68"/>
      <c r="F42" s="66"/>
      <c r="G42" s="66"/>
      <c r="H42" s="68"/>
    </row>
    <row r="43" spans="1:8" x14ac:dyDescent="0.45">
      <c r="A43" s="63"/>
      <c r="B43" s="70"/>
      <c r="C43" s="71"/>
      <c r="D43" s="72"/>
      <c r="E43" s="72"/>
      <c r="F43" s="67"/>
      <c r="G43" s="67"/>
      <c r="H43" s="72"/>
    </row>
    <row r="44" spans="1:8" x14ac:dyDescent="0.45">
      <c r="A44" s="63"/>
      <c r="B44" s="64"/>
      <c r="C44" s="65"/>
      <c r="D44" s="68"/>
      <c r="E44" s="68"/>
      <c r="F44" s="66"/>
      <c r="G44" s="66"/>
      <c r="H44" s="68"/>
    </row>
    <row r="45" spans="1:8" x14ac:dyDescent="0.45">
      <c r="A45" s="63"/>
      <c r="B45" s="70"/>
      <c r="C45" s="71"/>
      <c r="D45" s="72"/>
      <c r="E45" s="72"/>
      <c r="F45" s="66"/>
      <c r="G45" s="66"/>
      <c r="H45" s="72"/>
    </row>
    <row r="46" spans="1:8" x14ac:dyDescent="0.45">
      <c r="A46" s="63"/>
      <c r="B46" s="64"/>
      <c r="C46" s="65"/>
      <c r="D46" s="68"/>
      <c r="E46" s="68"/>
      <c r="F46" s="66"/>
      <c r="G46" s="66"/>
      <c r="H46" s="68"/>
    </row>
    <row r="47" spans="1:8" x14ac:dyDescent="0.45">
      <c r="A47" s="63"/>
      <c r="B47" s="70"/>
      <c r="C47" s="71"/>
      <c r="D47" s="72"/>
      <c r="E47" s="72"/>
      <c r="F47" s="66"/>
      <c r="G47" s="66"/>
      <c r="H47" s="72"/>
    </row>
    <row r="48" spans="1:8" x14ac:dyDescent="0.45">
      <c r="A48" s="63"/>
      <c r="B48" s="64"/>
      <c r="C48" s="65"/>
      <c r="D48" s="68"/>
      <c r="E48" s="68"/>
      <c r="F48" s="66"/>
      <c r="G48" s="66"/>
      <c r="H48" s="68"/>
    </row>
    <row r="49" spans="1:8" x14ac:dyDescent="0.45">
      <c r="A49" s="63"/>
      <c r="B49" s="70"/>
      <c r="C49" s="71"/>
      <c r="D49" s="72"/>
      <c r="E49" s="72"/>
      <c r="F49" s="66"/>
      <c r="G49" s="66"/>
      <c r="H49" s="72"/>
    </row>
    <row r="50" spans="1:8" x14ac:dyDescent="0.45">
      <c r="A50" s="63"/>
      <c r="B50" s="64"/>
      <c r="C50" s="65"/>
      <c r="D50" s="68"/>
      <c r="E50" s="68"/>
      <c r="F50" s="66"/>
      <c r="G50" s="66"/>
      <c r="H50" s="68"/>
    </row>
    <row r="51" spans="1:8" x14ac:dyDescent="0.45">
      <c r="A51" s="63"/>
      <c r="B51" s="70"/>
      <c r="C51" s="71"/>
      <c r="D51" s="72"/>
      <c r="E51" s="72"/>
      <c r="F51" s="67"/>
      <c r="G51" s="67"/>
      <c r="H51" s="72"/>
    </row>
    <row r="52" spans="1:8" x14ac:dyDescent="0.45">
      <c r="A52" s="69"/>
      <c r="B52" s="70"/>
      <c r="C52" s="71"/>
      <c r="D52" s="72"/>
      <c r="E52" s="72"/>
      <c r="F52" s="66"/>
      <c r="G52" s="66"/>
      <c r="H52" s="72"/>
    </row>
    <row r="53" spans="1:8" x14ac:dyDescent="0.45">
      <c r="A53" s="73"/>
      <c r="B53" s="64"/>
      <c r="C53" s="65"/>
      <c r="D53" s="68"/>
      <c r="E53" s="68"/>
      <c r="F53" s="66"/>
      <c r="G53" s="66"/>
      <c r="H53" s="68"/>
    </row>
    <row r="54" spans="1:8" x14ac:dyDescent="0.45">
      <c r="A54" s="73"/>
      <c r="B54" s="70"/>
      <c r="C54" s="71"/>
      <c r="D54" s="72"/>
      <c r="E54" s="72"/>
      <c r="F54" s="66"/>
      <c r="G54" s="66"/>
      <c r="H54" s="72"/>
    </row>
    <row r="55" spans="1:8" x14ac:dyDescent="0.45">
      <c r="A55" s="73"/>
      <c r="B55" s="64"/>
      <c r="C55" s="65"/>
      <c r="D55" s="68"/>
      <c r="E55" s="68"/>
      <c r="F55" s="66"/>
      <c r="G55" s="66"/>
      <c r="H55" s="68"/>
    </row>
    <row r="56" spans="1:8" x14ac:dyDescent="0.45">
      <c r="A56" s="74"/>
      <c r="B56" s="64"/>
      <c r="C56" s="65"/>
      <c r="D56" s="68"/>
      <c r="E56" s="68"/>
      <c r="F56" s="66"/>
      <c r="G56" s="66"/>
      <c r="H56" s="68"/>
    </row>
    <row r="57" spans="1:8" x14ac:dyDescent="0.45">
      <c r="A57" s="63"/>
      <c r="B57" s="70"/>
      <c r="C57" s="71"/>
      <c r="D57" s="72"/>
      <c r="E57" s="72"/>
      <c r="F57" s="66"/>
      <c r="G57" s="66"/>
      <c r="H57" s="72"/>
    </row>
    <row r="58" spans="1:8" x14ac:dyDescent="0.45">
      <c r="A58" s="63"/>
      <c r="B58" s="64"/>
      <c r="C58" s="65"/>
      <c r="D58" s="68"/>
      <c r="E58" s="68"/>
      <c r="F58" s="66"/>
      <c r="G58" s="66"/>
      <c r="H58" s="68"/>
    </row>
    <row r="59" spans="1:8" x14ac:dyDescent="0.45">
      <c r="A59" s="63"/>
      <c r="B59" s="70"/>
      <c r="C59" s="71"/>
      <c r="D59" s="72"/>
      <c r="E59" s="72"/>
      <c r="F59" s="67"/>
      <c r="G59" s="67"/>
      <c r="H59" s="72"/>
    </row>
    <row r="60" spans="1:8" x14ac:dyDescent="0.45">
      <c r="A60" s="63"/>
      <c r="B60" s="64"/>
      <c r="C60" s="65"/>
      <c r="D60" s="68"/>
      <c r="E60" s="68"/>
      <c r="F60" s="66"/>
      <c r="G60" s="66"/>
      <c r="H60" s="68"/>
    </row>
    <row r="61" spans="1:8" x14ac:dyDescent="0.45">
      <c r="A61" s="63"/>
      <c r="B61" s="70"/>
      <c r="C61" s="71"/>
      <c r="D61" s="72"/>
      <c r="E61" s="72"/>
      <c r="F61" s="66"/>
      <c r="G61" s="66"/>
      <c r="H61" s="72"/>
    </row>
    <row r="62" spans="1:8" x14ac:dyDescent="0.45">
      <c r="A62" s="63"/>
      <c r="B62" s="64"/>
      <c r="C62" s="65"/>
      <c r="D62" s="68"/>
      <c r="E62" s="68"/>
      <c r="F62" s="66"/>
      <c r="G62" s="66"/>
      <c r="H62" s="68"/>
    </row>
    <row r="63" spans="1:8" x14ac:dyDescent="0.45">
      <c r="A63" s="63"/>
      <c r="B63" s="70"/>
      <c r="C63" s="71"/>
      <c r="D63" s="68"/>
      <c r="E63" s="68"/>
      <c r="F63" s="66"/>
      <c r="G63" s="66"/>
      <c r="H63" s="72"/>
    </row>
    <row r="64" spans="1:8" x14ac:dyDescent="0.45">
      <c r="A64" s="63"/>
      <c r="B64" s="64"/>
      <c r="C64" s="65"/>
      <c r="D64" s="68"/>
      <c r="E64" s="68"/>
      <c r="F64" s="66"/>
      <c r="G64" s="66"/>
      <c r="H64" s="68"/>
    </row>
    <row r="65" spans="1:8" x14ac:dyDescent="0.45">
      <c r="A65" s="63"/>
      <c r="B65" s="70"/>
      <c r="C65" s="71"/>
      <c r="D65" s="68"/>
      <c r="E65" s="68"/>
      <c r="F65" s="66"/>
      <c r="G65" s="66"/>
      <c r="H65" s="72"/>
    </row>
    <row r="66" spans="1:8" x14ac:dyDescent="0.45">
      <c r="A66" s="69"/>
      <c r="B66" s="70"/>
      <c r="C66" s="71"/>
      <c r="D66" s="68"/>
      <c r="E66" s="68"/>
      <c r="F66" s="66"/>
      <c r="G66" s="66"/>
      <c r="H66" s="72"/>
    </row>
    <row r="67" spans="1:8" x14ac:dyDescent="0.45">
      <c r="A67" s="73"/>
      <c r="B67" s="64"/>
      <c r="C67" s="65"/>
      <c r="D67" s="68"/>
      <c r="E67" s="68"/>
      <c r="F67" s="67"/>
      <c r="G67" s="67"/>
      <c r="H67" s="68"/>
    </row>
    <row r="68" spans="1:8" x14ac:dyDescent="0.45">
      <c r="A68" s="74"/>
      <c r="B68" s="64"/>
      <c r="C68" s="65"/>
      <c r="D68" s="68"/>
      <c r="E68" s="68"/>
      <c r="F68" s="66"/>
      <c r="G68" s="66"/>
      <c r="H68" s="68"/>
    </row>
    <row r="69" spans="1:8" x14ac:dyDescent="0.45">
      <c r="A69" s="63"/>
      <c r="B69" s="70"/>
      <c r="C69" s="71"/>
      <c r="D69" s="72"/>
      <c r="E69" s="72"/>
      <c r="F69" s="66"/>
      <c r="G69" s="66"/>
      <c r="H69" s="72"/>
    </row>
    <row r="70" spans="1:8" x14ac:dyDescent="0.45">
      <c r="A70" s="69"/>
      <c r="B70" s="70"/>
      <c r="C70" s="71"/>
      <c r="D70" s="72"/>
      <c r="E70" s="72"/>
      <c r="F70" s="66"/>
      <c r="G70" s="66"/>
      <c r="H70" s="72"/>
    </row>
    <row r="71" spans="1:8" x14ac:dyDescent="0.45">
      <c r="A71" s="73"/>
      <c r="B71" s="64"/>
      <c r="C71" s="65"/>
      <c r="D71" s="68"/>
      <c r="E71" s="68"/>
      <c r="F71" s="66"/>
      <c r="G71" s="66"/>
      <c r="H71" s="68"/>
    </row>
    <row r="72" spans="1:8" x14ac:dyDescent="0.45">
      <c r="A72" s="73"/>
      <c r="B72" s="70"/>
      <c r="C72" s="65"/>
      <c r="D72" s="72"/>
      <c r="E72" s="72"/>
      <c r="F72" s="66"/>
      <c r="G72" s="66"/>
      <c r="H72" s="72"/>
    </row>
    <row r="73" spans="1:8" x14ac:dyDescent="0.45">
      <c r="A73" s="73"/>
      <c r="B73" s="64"/>
      <c r="C73" s="65"/>
      <c r="D73" s="68"/>
      <c r="E73" s="68"/>
      <c r="F73" s="66"/>
      <c r="G73" s="66"/>
      <c r="H73" s="68"/>
    </row>
    <row r="74" spans="1:8" x14ac:dyDescent="0.45">
      <c r="A74" s="73"/>
      <c r="B74" s="70"/>
      <c r="C74" s="65"/>
      <c r="D74" s="68"/>
      <c r="E74" s="68"/>
      <c r="F74" s="66"/>
      <c r="G74" s="66"/>
      <c r="H74" s="72"/>
    </row>
    <row r="75" spans="1:8" x14ac:dyDescent="0.45">
      <c r="A75" s="74"/>
      <c r="B75" s="70"/>
      <c r="C75" s="65"/>
      <c r="D75" s="68"/>
      <c r="E75" s="68"/>
      <c r="F75" s="67"/>
      <c r="G75" s="67"/>
      <c r="H75" s="72"/>
    </row>
    <row r="76" spans="1:8" x14ac:dyDescent="0.45">
      <c r="A76" s="73"/>
      <c r="B76" s="64"/>
      <c r="C76" s="65"/>
      <c r="D76" s="68"/>
      <c r="E76" s="68"/>
      <c r="F76" s="66"/>
      <c r="G76" s="66"/>
      <c r="H76" s="68"/>
    </row>
    <row r="77" spans="1:8" x14ac:dyDescent="0.45">
      <c r="A77" s="73"/>
      <c r="B77" s="70"/>
      <c r="C77" s="71"/>
      <c r="D77" s="68"/>
      <c r="E77" s="68"/>
      <c r="F77" s="66"/>
      <c r="G77" s="66"/>
      <c r="H77" s="72"/>
    </row>
    <row r="78" spans="1:8" x14ac:dyDescent="0.45">
      <c r="A78" s="73"/>
      <c r="B78" s="64"/>
      <c r="C78" s="65"/>
      <c r="D78" s="68"/>
      <c r="E78" s="68"/>
      <c r="F78" s="66"/>
      <c r="G78" s="66"/>
      <c r="H78" s="68"/>
    </row>
    <row r="79" spans="1:8" x14ac:dyDescent="0.45">
      <c r="A79" s="73"/>
      <c r="B79" s="70"/>
      <c r="C79" s="71"/>
      <c r="D79" s="68"/>
      <c r="E79" s="68"/>
      <c r="F79" s="66"/>
      <c r="G79" s="66"/>
      <c r="H79" s="72"/>
    </row>
    <row r="80" spans="1:8" x14ac:dyDescent="0.45">
      <c r="A80" s="73"/>
      <c r="B80" s="64"/>
      <c r="C80" s="65"/>
      <c r="D80" s="68"/>
      <c r="E80" s="68"/>
      <c r="F80" s="66"/>
      <c r="G80" s="66"/>
      <c r="H80" s="68"/>
    </row>
    <row r="81" spans="1:8" x14ac:dyDescent="0.45">
      <c r="A81" s="73"/>
      <c r="B81" s="70"/>
      <c r="C81" s="71"/>
      <c r="D81" s="68"/>
      <c r="E81" s="68"/>
      <c r="F81" s="66"/>
      <c r="G81" s="66"/>
      <c r="H81" s="72"/>
    </row>
    <row r="82" spans="1:8" x14ac:dyDescent="0.45">
      <c r="A82" s="74"/>
      <c r="B82" s="70"/>
      <c r="C82" s="71"/>
      <c r="D82" s="68"/>
      <c r="E82" s="68"/>
      <c r="F82" s="66"/>
      <c r="G82" s="66"/>
      <c r="H82" s="72"/>
    </row>
    <row r="83" spans="1:8" x14ac:dyDescent="0.45">
      <c r="A83" s="73"/>
      <c r="B83" s="64"/>
      <c r="C83" s="65"/>
      <c r="D83" s="68"/>
      <c r="E83" s="68"/>
      <c r="F83" s="67"/>
      <c r="G83" s="67"/>
      <c r="H83" s="68"/>
    </row>
    <row r="84" spans="1:8" x14ac:dyDescent="0.45">
      <c r="A84" s="74"/>
      <c r="B84" s="64"/>
      <c r="C84" s="65"/>
      <c r="D84" s="68"/>
      <c r="E84" s="68"/>
      <c r="F84" s="66"/>
      <c r="G84" s="66"/>
      <c r="H84" s="68"/>
    </row>
    <row r="85" spans="1:8" x14ac:dyDescent="0.45">
      <c r="A85" s="63"/>
      <c r="B85" s="70"/>
      <c r="C85" s="71"/>
      <c r="D85" s="72"/>
      <c r="E85" s="72"/>
      <c r="F85" s="66"/>
      <c r="G85" s="66"/>
      <c r="H85" s="72"/>
    </row>
    <row r="86" spans="1:8" x14ac:dyDescent="0.45">
      <c r="A86" s="69"/>
      <c r="B86" s="70"/>
      <c r="C86" s="71"/>
      <c r="D86" s="72"/>
      <c r="E86" s="72"/>
      <c r="F86" s="66"/>
      <c r="G86" s="66"/>
      <c r="H86" s="72"/>
    </row>
    <row r="87" spans="1:8" x14ac:dyDescent="0.45">
      <c r="A87" s="73"/>
      <c r="B87" s="64"/>
      <c r="C87" s="65"/>
      <c r="D87" s="68"/>
      <c r="E87" s="68"/>
      <c r="F87" s="66"/>
      <c r="G87" s="66"/>
      <c r="H87" s="68"/>
    </row>
    <row r="88" spans="1:8" x14ac:dyDescent="0.45">
      <c r="A88" s="73"/>
      <c r="B88" s="70"/>
      <c r="C88" s="71"/>
      <c r="D88" s="72"/>
      <c r="E88" s="72"/>
      <c r="F88" s="66"/>
      <c r="G88" s="66"/>
      <c r="H88" s="72"/>
    </row>
    <row r="89" spans="1:8" x14ac:dyDescent="0.45">
      <c r="A89" s="73"/>
      <c r="B89" s="64"/>
      <c r="C89" s="65"/>
      <c r="D89" s="68"/>
      <c r="E89" s="68"/>
      <c r="F89" s="66"/>
      <c r="G89" s="66"/>
      <c r="H89" s="68"/>
    </row>
    <row r="90" spans="1:8" x14ac:dyDescent="0.45">
      <c r="A90" s="74"/>
      <c r="B90" s="64"/>
      <c r="C90" s="65"/>
      <c r="D90" s="68"/>
      <c r="E90" s="68"/>
      <c r="F90" s="66"/>
      <c r="G90" s="66"/>
      <c r="H90" s="68"/>
    </row>
    <row r="91" spans="1:8" x14ac:dyDescent="0.45">
      <c r="A91" s="73"/>
      <c r="B91" s="70"/>
      <c r="C91" s="71"/>
      <c r="D91" s="72"/>
      <c r="E91" s="72"/>
      <c r="F91" s="67"/>
      <c r="G91" s="67"/>
      <c r="H91" s="72"/>
    </row>
    <row r="92" spans="1:8" x14ac:dyDescent="0.45">
      <c r="A92" s="73"/>
      <c r="B92" s="64"/>
      <c r="C92" s="65"/>
      <c r="D92" s="68"/>
      <c r="E92" s="68"/>
      <c r="F92" s="66"/>
      <c r="G92" s="66"/>
      <c r="H92" s="68"/>
    </row>
    <row r="93" spans="1:8" x14ac:dyDescent="0.45">
      <c r="A93" s="74"/>
      <c r="B93" s="64"/>
      <c r="C93" s="65"/>
      <c r="D93" s="68"/>
      <c r="E93" s="68"/>
      <c r="F93" s="66"/>
      <c r="G93" s="66"/>
      <c r="H93" s="68"/>
    </row>
    <row r="94" spans="1:8" x14ac:dyDescent="0.45">
      <c r="A94" s="75"/>
      <c r="B94" s="70"/>
      <c r="C94" s="71"/>
      <c r="D94" s="72"/>
      <c r="E94" s="72"/>
      <c r="F94" s="72"/>
      <c r="G94" s="72"/>
      <c r="H94" s="72"/>
    </row>
  </sheetData>
  <phoneticPr fontId="77" type="noConversion"/>
  <conditionalFormatting sqref="A1:F9 H1:H22 G1:G49 A10:E13 B14:E14 A14:A22 B15:B22 C20:G22 A23:H23 A24:G25">
    <cfRule type="expression" dxfId="78" priority="12">
      <formula>SEARCH("Итог", $A1)</formula>
    </cfRule>
  </conditionalFormatting>
  <conditionalFormatting sqref="A26:F26">
    <cfRule type="containsText" dxfId="77" priority="1" operator="containsText" text="Количество">
      <formula>NOT(ISERROR(SEARCH("Количество",A26)))</formula>
    </cfRule>
    <cfRule type="expression" dxfId="76" priority="2">
      <formula>SEARCH("Итог", $A26)</formula>
    </cfRule>
  </conditionalFormatting>
  <conditionalFormatting sqref="A1:H25 G26:H26 A27:H106">
    <cfRule type="containsText" dxfId="75" priority="3" operator="containsText" text="Количество">
      <formula>NOT(ISERROR(SEARCH("Количество",A1)))</formula>
    </cfRule>
  </conditionalFormatting>
  <conditionalFormatting sqref="A27:H94">
    <cfRule type="expression" dxfId="74" priority="7">
      <formula>SEARCH("Итог", $A27)</formula>
    </cfRule>
  </conditionalFormatting>
  <conditionalFormatting sqref="C15:E19">
    <cfRule type="expression" dxfId="73" priority="5">
      <formula>SEARCH("Итог", $A15)</formula>
    </cfRule>
  </conditionalFormatting>
  <conditionalFormatting sqref="F10:G19">
    <cfRule type="expression" dxfId="72" priority="4">
      <formula>SEARCH("Итог", $A10)</formula>
    </cfRule>
  </conditionalFormatting>
  <conditionalFormatting sqref="G24 G25:H26">
    <cfRule type="expression" dxfId="71" priority="19">
      <formula>SEARCH("Итог", $A23)</formula>
    </cfRule>
  </conditionalFormatting>
  <conditionalFormatting sqref="G24:H24">
    <cfRule type="expression" dxfId="70" priority="20">
      <formula>SEARCH("Итог", #REF!)</formula>
    </cfRule>
  </conditionalFormatting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4199B-D70B-4C83-97C6-AB6A9DFBD2EC}">
  <sheetPr codeName="Worksheet____4"/>
  <dimension ref="A1:H359"/>
  <sheetViews>
    <sheetView workbookViewId="0">
      <pane ySplit="1" topLeftCell="A259" activePane="bottomLeft" state="frozen"/>
      <selection pane="bottomLeft" activeCell="A275" sqref="A275"/>
    </sheetView>
  </sheetViews>
  <sheetFormatPr defaultRowHeight="14.25" x14ac:dyDescent="0.45"/>
  <cols>
    <col min="1" max="1" width="17.86328125" customWidth="1"/>
    <col min="2" max="2" width="30.1328125" customWidth="1"/>
    <col min="3" max="3" width="13.33203125" customWidth="1"/>
    <col min="4" max="4" width="14.1328125" customWidth="1"/>
    <col min="5" max="5" width="21.265625" customWidth="1"/>
    <col min="6" max="6" width="23.1328125" customWidth="1"/>
    <col min="7" max="7" width="19.6640625" customWidth="1"/>
    <col min="8" max="8" width="12.6640625" bestFit="1" customWidth="1"/>
  </cols>
  <sheetData>
    <row r="1" spans="1:8" ht="26.1" customHeight="1" thickBot="1" x14ac:dyDescent="0.5">
      <c r="A1" s="579" t="s">
        <v>26</v>
      </c>
      <c r="B1" s="580" t="s">
        <v>54</v>
      </c>
      <c r="C1" s="580" t="s">
        <v>33</v>
      </c>
      <c r="D1" s="580" t="s">
        <v>34</v>
      </c>
      <c r="E1" s="580" t="s">
        <v>55</v>
      </c>
      <c r="F1" s="580" t="s">
        <v>56</v>
      </c>
      <c r="G1" s="580" t="s">
        <v>36</v>
      </c>
      <c r="H1" s="581" t="s">
        <v>57</v>
      </c>
    </row>
    <row r="2" spans="1:8" ht="20.100000000000001" customHeight="1" x14ac:dyDescent="0.45">
      <c r="A2" s="493">
        <v>45986</v>
      </c>
      <c r="B2" s="87" t="s">
        <v>58</v>
      </c>
      <c r="C2" s="88" t="s">
        <v>59</v>
      </c>
      <c r="D2" s="400">
        <v>60</v>
      </c>
      <c r="E2" s="89">
        <v>7000</v>
      </c>
      <c r="F2" s="89">
        <f>[1]Бозорлик!$D2*[1]Бозорлик!$E2</f>
        <v>420000</v>
      </c>
      <c r="G2" s="90">
        <f>IF(A2&lt;&gt;"", F2/ VLOOKUP(A2, 'Курс валют'!$A:$D, 4, 0), "")</f>
        <v>36.206896551724135</v>
      </c>
      <c r="H2" s="499"/>
    </row>
    <row r="3" spans="1:8" ht="20.100000000000001" customHeight="1" x14ac:dyDescent="0.45">
      <c r="A3" s="494">
        <v>45986</v>
      </c>
      <c r="B3" s="80" t="s">
        <v>60</v>
      </c>
      <c r="C3" s="81" t="s">
        <v>59</v>
      </c>
      <c r="D3" s="401">
        <v>35</v>
      </c>
      <c r="E3" s="82">
        <v>4000</v>
      </c>
      <c r="F3" s="82">
        <f>[1]Бозорлик!$D3*[1]Бозорлик!$E3</f>
        <v>140000</v>
      </c>
      <c r="G3" s="90">
        <f>IF(A3&lt;&gt;"", F3/ VLOOKUP(A3, 'Курс валют'!$A:$D, 4, 0), "")</f>
        <v>12.068965517241379</v>
      </c>
      <c r="H3" s="500"/>
    </row>
    <row r="4" spans="1:8" ht="20.100000000000001" customHeight="1" x14ac:dyDescent="0.45">
      <c r="A4" s="495">
        <v>45986</v>
      </c>
      <c r="B4" s="77" t="s">
        <v>61</v>
      </c>
      <c r="C4" s="78" t="s">
        <v>62</v>
      </c>
      <c r="D4" s="402">
        <v>10</v>
      </c>
      <c r="E4" s="79">
        <v>21000</v>
      </c>
      <c r="F4" s="79">
        <f>[1]Бозорлик!$D4*[1]Бозорлик!$E4</f>
        <v>210000</v>
      </c>
      <c r="G4" s="90">
        <f>IF(A4&lt;&gt;"", F4/ VLOOKUP(A4, 'Курс валют'!$A:$D, 4, 0), "")</f>
        <v>18.103448275862068</v>
      </c>
      <c r="H4" s="500"/>
    </row>
    <row r="5" spans="1:8" ht="20.100000000000001" customHeight="1" x14ac:dyDescent="0.45">
      <c r="A5" s="494">
        <v>45986</v>
      </c>
      <c r="B5" s="80" t="s">
        <v>63</v>
      </c>
      <c r="C5" s="81" t="s">
        <v>59</v>
      </c>
      <c r="D5" s="401">
        <v>10</v>
      </c>
      <c r="E5" s="82">
        <v>7000</v>
      </c>
      <c r="F5" s="82">
        <f>[1]Бозорлик!$D5*[1]Бозорлик!$E5</f>
        <v>70000</v>
      </c>
      <c r="G5" s="90">
        <f>IF(A5&lt;&gt;"", F5/ VLOOKUP(A5, 'Курс валют'!$A:$D, 4, 0), "")</f>
        <v>6.0344827586206895</v>
      </c>
      <c r="H5" s="500"/>
    </row>
    <row r="6" spans="1:8" ht="20.100000000000001" customHeight="1" x14ac:dyDescent="0.45">
      <c r="A6" s="495">
        <v>45986</v>
      </c>
      <c r="B6" s="77" t="s">
        <v>64</v>
      </c>
      <c r="C6" s="78" t="s">
        <v>65</v>
      </c>
      <c r="D6" s="402">
        <v>1</v>
      </c>
      <c r="E6" s="79">
        <v>10000</v>
      </c>
      <c r="F6" s="79">
        <f>[1]Бозорлик!$D6*[1]Бозорлик!$E6</f>
        <v>10000</v>
      </c>
      <c r="G6" s="90">
        <f>IF(A6&lt;&gt;"", F6/ VLOOKUP(A6, 'Курс валют'!$A:$D, 4, 0), "")</f>
        <v>0.86206896551724133</v>
      </c>
      <c r="H6" s="500"/>
    </row>
    <row r="7" spans="1:8" ht="20.100000000000001" customHeight="1" x14ac:dyDescent="0.45">
      <c r="A7" s="496" t="s">
        <v>66</v>
      </c>
      <c r="B7" s="77"/>
      <c r="C7" s="78"/>
      <c r="D7" s="402"/>
      <c r="E7" s="79"/>
      <c r="F7" s="79">
        <f>SUBTOTAL(9,F2:F6)</f>
        <v>850000</v>
      </c>
      <c r="G7" s="90" t="e">
        <f>IF(A7&lt;&gt;"", F7/ VLOOKUP(A7, 'Курс валют'!$A:$D, 4, 0), "")</f>
        <v>#N/A</v>
      </c>
      <c r="H7" s="500"/>
    </row>
    <row r="8" spans="1:8" ht="20.100000000000001" customHeight="1" x14ac:dyDescent="0.45">
      <c r="A8" s="494">
        <v>46060</v>
      </c>
      <c r="B8" s="80" t="s">
        <v>67</v>
      </c>
      <c r="C8" s="81" t="s">
        <v>62</v>
      </c>
      <c r="D8" s="401">
        <v>10</v>
      </c>
      <c r="E8" s="82">
        <v>20000</v>
      </c>
      <c r="F8" s="82">
        <f>[1]Бозорлик!$D8*[1]Бозорлик!$E8</f>
        <v>200000</v>
      </c>
      <c r="G8" s="90">
        <f>IF(A8&lt;&gt;"", F8/ VLOOKUP(A8, 'Курс валют'!$A:$D, 4, 0), "")</f>
        <v>16.393442622950818</v>
      </c>
      <c r="H8" s="500"/>
    </row>
    <row r="9" spans="1:8" ht="20.100000000000001" customHeight="1" x14ac:dyDescent="0.45">
      <c r="A9" s="495">
        <v>46060</v>
      </c>
      <c r="B9" s="77" t="s">
        <v>68</v>
      </c>
      <c r="C9" s="78" t="s">
        <v>69</v>
      </c>
      <c r="D9" s="402">
        <v>3</v>
      </c>
      <c r="E9" s="79">
        <v>30000</v>
      </c>
      <c r="F9" s="79">
        <f>[1]Бозорлик!$D9*[1]Бозорлик!$E9</f>
        <v>90000</v>
      </c>
      <c r="G9" s="90">
        <f>IF(A9&lt;&gt;"", F9/ VLOOKUP(A9, 'Курс валют'!$A:$D, 4, 0), "")</f>
        <v>7.3770491803278686</v>
      </c>
      <c r="H9" s="500"/>
    </row>
    <row r="10" spans="1:8" ht="20.100000000000001" customHeight="1" x14ac:dyDescent="0.45">
      <c r="A10" s="494">
        <v>46060</v>
      </c>
      <c r="B10" s="80" t="s">
        <v>70</v>
      </c>
      <c r="C10" s="81" t="s">
        <v>59</v>
      </c>
      <c r="D10" s="401">
        <v>24</v>
      </c>
      <c r="E10" s="82">
        <v>10000</v>
      </c>
      <c r="F10" s="82">
        <f>[1]Бозорлик!$D10*[1]Бозорлик!$E10</f>
        <v>240000</v>
      </c>
      <c r="G10" s="90">
        <f>IF(A10&lt;&gt;"", F10/ VLOOKUP(A10, 'Курс валют'!$A:$D, 4, 0), "")</f>
        <v>19.672131147540984</v>
      </c>
      <c r="H10" s="500"/>
    </row>
    <row r="11" spans="1:8" ht="20.100000000000001" customHeight="1" x14ac:dyDescent="0.45">
      <c r="A11" s="495">
        <v>46060</v>
      </c>
      <c r="B11" s="77" t="s">
        <v>71</v>
      </c>
      <c r="C11" s="78" t="s">
        <v>59</v>
      </c>
      <c r="D11" s="402">
        <v>44</v>
      </c>
      <c r="E11" s="79">
        <v>7500</v>
      </c>
      <c r="F11" s="79">
        <f>[1]Бозорлик!$D11*[1]Бозорлик!$E11</f>
        <v>330000</v>
      </c>
      <c r="G11" s="90">
        <f>IF(A11&lt;&gt;"", F11/ VLOOKUP(A11, 'Курс валют'!$A:$D, 4, 0), "")</f>
        <v>27.049180327868854</v>
      </c>
      <c r="H11" s="500"/>
    </row>
    <row r="12" spans="1:8" ht="20.100000000000001" customHeight="1" x14ac:dyDescent="0.45">
      <c r="A12" s="494">
        <v>46060</v>
      </c>
      <c r="B12" s="80" t="s">
        <v>58</v>
      </c>
      <c r="C12" s="81" t="s">
        <v>59</v>
      </c>
      <c r="D12" s="401">
        <v>61</v>
      </c>
      <c r="E12" s="82">
        <v>5900</v>
      </c>
      <c r="F12" s="82">
        <f>[1]Бозорлик!$D12*[1]Бозорлик!$E12</f>
        <v>359900</v>
      </c>
      <c r="G12" s="90">
        <f>IF(A12&lt;&gt;"", F12/ VLOOKUP(A12, 'Курс валют'!$A:$D, 4, 0), "")</f>
        <v>29.5</v>
      </c>
      <c r="H12" s="500"/>
    </row>
    <row r="13" spans="1:8" ht="20.100000000000001" customHeight="1" x14ac:dyDescent="0.45">
      <c r="A13" s="495">
        <v>46060</v>
      </c>
      <c r="B13" s="77" t="s">
        <v>72</v>
      </c>
      <c r="C13" s="78" t="s">
        <v>73</v>
      </c>
      <c r="D13" s="402">
        <v>1</v>
      </c>
      <c r="E13" s="79">
        <v>100000</v>
      </c>
      <c r="F13" s="79">
        <f>[1]Бозорлик!$D13*[1]Бозорлик!$E13</f>
        <v>100000</v>
      </c>
      <c r="G13" s="90">
        <f>IF(A13&lt;&gt;"", F13/ VLOOKUP(A13, 'Курс валют'!$A:$D, 4, 0), "")</f>
        <v>8.1967213114754092</v>
      </c>
      <c r="H13" s="500"/>
    </row>
    <row r="14" spans="1:8" ht="20.100000000000001" customHeight="1" x14ac:dyDescent="0.45">
      <c r="A14" s="494">
        <v>46060</v>
      </c>
      <c r="B14" s="80" t="s">
        <v>74</v>
      </c>
      <c r="C14" s="81" t="s">
        <v>75</v>
      </c>
      <c r="D14" s="401">
        <v>6</v>
      </c>
      <c r="E14" s="82">
        <v>45000</v>
      </c>
      <c r="F14" s="82">
        <f>[1]Бозорлик!$D14*[1]Бозорлик!$E14</f>
        <v>270000</v>
      </c>
      <c r="G14" s="90">
        <f>IF(A14&lt;&gt;"", F14/ VLOOKUP(A14, 'Курс валют'!$A:$D, 4, 0), "")</f>
        <v>22.131147540983605</v>
      </c>
      <c r="H14" s="500"/>
    </row>
    <row r="15" spans="1:8" ht="20.100000000000001" customHeight="1" x14ac:dyDescent="0.45">
      <c r="A15" s="495">
        <v>46060</v>
      </c>
      <c r="B15" s="77" t="s">
        <v>76</v>
      </c>
      <c r="C15" s="78" t="s">
        <v>59</v>
      </c>
      <c r="D15" s="402">
        <v>2</v>
      </c>
      <c r="E15" s="79">
        <v>45000</v>
      </c>
      <c r="F15" s="79">
        <f>[1]Бозорлик!$D15*[1]Бозорлик!$E15</f>
        <v>90000</v>
      </c>
      <c r="G15" s="90">
        <f>IF(A15&lt;&gt;"", F15/ VLOOKUP(A15, 'Курс валют'!$A:$D, 4, 0), "")</f>
        <v>7.3770491803278686</v>
      </c>
      <c r="H15" s="500"/>
    </row>
    <row r="16" spans="1:8" ht="20.100000000000001" customHeight="1" x14ac:dyDescent="0.45">
      <c r="A16" s="494">
        <v>46060</v>
      </c>
      <c r="B16" s="80" t="s">
        <v>77</v>
      </c>
      <c r="C16" s="81" t="s">
        <v>59</v>
      </c>
      <c r="D16" s="401">
        <v>2</v>
      </c>
      <c r="E16" s="82">
        <v>30000</v>
      </c>
      <c r="F16" s="82">
        <f>[1]Бозорлик!$D16*[1]Бозорлик!$E16</f>
        <v>60000</v>
      </c>
      <c r="G16" s="90">
        <f>IF(A16&lt;&gt;"", F16/ VLOOKUP(A16, 'Курс валют'!$A:$D, 4, 0), "")</f>
        <v>4.918032786885246</v>
      </c>
      <c r="H16" s="500"/>
    </row>
    <row r="17" spans="1:8" ht="20.100000000000001" customHeight="1" x14ac:dyDescent="0.45">
      <c r="A17" s="495">
        <v>46060</v>
      </c>
      <c r="B17" s="77" t="s">
        <v>78</v>
      </c>
      <c r="C17" s="78" t="s">
        <v>59</v>
      </c>
      <c r="D17" s="402">
        <v>10</v>
      </c>
      <c r="E17" s="79">
        <v>15000</v>
      </c>
      <c r="F17" s="79">
        <f>[1]Бозорлик!$D17*[1]Бозорлик!$E17</f>
        <v>150000</v>
      </c>
      <c r="G17" s="90">
        <f>IF(A17&lt;&gt;"", F17/ VLOOKUP(A17, 'Курс валют'!$A:$D, 4, 0), "")</f>
        <v>12.295081967213115</v>
      </c>
      <c r="H17" s="500"/>
    </row>
    <row r="18" spans="1:8" ht="20.100000000000001" customHeight="1" x14ac:dyDescent="0.45">
      <c r="A18" s="494">
        <v>46060</v>
      </c>
      <c r="B18" s="80" t="s">
        <v>79</v>
      </c>
      <c r="C18" s="81" t="s">
        <v>59</v>
      </c>
      <c r="D18" s="401">
        <v>10</v>
      </c>
      <c r="E18" s="82">
        <v>46000</v>
      </c>
      <c r="F18" s="82">
        <f>[1]Бозорлик!$D18*[1]Бозорлик!$E18</f>
        <v>460000</v>
      </c>
      <c r="G18" s="90">
        <f>IF(A18&lt;&gt;"", F18/ VLOOKUP(A18, 'Курс валют'!$A:$D, 4, 0), "")</f>
        <v>37.704918032786885</v>
      </c>
      <c r="H18" s="500"/>
    </row>
    <row r="19" spans="1:8" ht="20.100000000000001" customHeight="1" x14ac:dyDescent="0.45">
      <c r="A19" s="497" t="s">
        <v>80</v>
      </c>
      <c r="B19" s="80"/>
      <c r="C19" s="81"/>
      <c r="D19" s="401"/>
      <c r="E19" s="82"/>
      <c r="F19" s="82">
        <f>SUBTOTAL(9,F8:F18)</f>
        <v>2349900</v>
      </c>
      <c r="G19" s="90" t="e">
        <f>IF(A19&lt;&gt;"", F19/ VLOOKUP(A19, 'Курс валют'!$A:$D, 4, 0), "")</f>
        <v>#N/A</v>
      </c>
      <c r="H19" s="500"/>
    </row>
    <row r="20" spans="1:8" ht="20.100000000000001" customHeight="1" x14ac:dyDescent="0.45">
      <c r="A20" s="495">
        <v>46063</v>
      </c>
      <c r="B20" s="77" t="s">
        <v>67</v>
      </c>
      <c r="C20" s="78" t="s">
        <v>62</v>
      </c>
      <c r="D20" s="402">
        <v>10</v>
      </c>
      <c r="E20" s="79">
        <v>20000</v>
      </c>
      <c r="F20" s="79">
        <f>[1]Бозорлик!$D20*[1]Бозорлик!$E20</f>
        <v>200000</v>
      </c>
      <c r="G20" s="90">
        <f>IF(A20&lt;&gt;"", F20/ VLOOKUP(A20, 'Курс валют'!$A:$D, 4, 0), "")</f>
        <v>16.393442622950818</v>
      </c>
      <c r="H20" s="500"/>
    </row>
    <row r="21" spans="1:8" ht="20.100000000000001" customHeight="1" x14ac:dyDescent="0.45">
      <c r="A21" s="494">
        <v>46063</v>
      </c>
      <c r="B21" s="80" t="s">
        <v>81</v>
      </c>
      <c r="C21" s="81" t="s">
        <v>62</v>
      </c>
      <c r="D21" s="401">
        <v>10</v>
      </c>
      <c r="E21" s="82">
        <v>20000</v>
      </c>
      <c r="F21" s="82">
        <f>[1]Бозорлик!$D21*[1]Бозорлик!$E21</f>
        <v>200000</v>
      </c>
      <c r="G21" s="90">
        <f>IF(A21&lt;&gt;"", F21/ VLOOKUP(A21, 'Курс валют'!$A:$D, 4, 0), "")</f>
        <v>16.393442622950818</v>
      </c>
      <c r="H21" s="500"/>
    </row>
    <row r="22" spans="1:8" ht="20.100000000000001" customHeight="1" x14ac:dyDescent="0.45">
      <c r="A22" s="495">
        <v>46063</v>
      </c>
      <c r="B22" s="77" t="s">
        <v>82</v>
      </c>
      <c r="C22" s="78" t="s">
        <v>59</v>
      </c>
      <c r="D22" s="402">
        <v>20</v>
      </c>
      <c r="E22" s="79">
        <v>80000</v>
      </c>
      <c r="F22" s="79">
        <f>[1]Бозорлик!$D22*[1]Бозорлик!$E22</f>
        <v>1600000</v>
      </c>
      <c r="G22" s="90">
        <f>IF(A22&lt;&gt;"", F22/ VLOOKUP(A22, 'Курс валют'!$A:$D, 4, 0), "")</f>
        <v>131.14754098360655</v>
      </c>
      <c r="H22" s="500"/>
    </row>
    <row r="23" spans="1:8" ht="20.100000000000001" customHeight="1" x14ac:dyDescent="0.45">
      <c r="A23" s="494">
        <v>46063</v>
      </c>
      <c r="B23" s="80" t="s">
        <v>74</v>
      </c>
      <c r="C23" s="81" t="s">
        <v>75</v>
      </c>
      <c r="D23" s="401">
        <v>10</v>
      </c>
      <c r="E23" s="82">
        <v>45000</v>
      </c>
      <c r="F23" s="82">
        <f>[1]Бозорлик!$D23*[1]Бозорлик!$E23</f>
        <v>450000</v>
      </c>
      <c r="G23" s="90">
        <f>IF(A23&lt;&gt;"", F23/ VLOOKUP(A23, 'Курс валют'!$A:$D, 4, 0), "")</f>
        <v>36.885245901639344</v>
      </c>
      <c r="H23" s="500"/>
    </row>
    <row r="24" spans="1:8" ht="20.100000000000001" customHeight="1" x14ac:dyDescent="0.45">
      <c r="A24" s="495">
        <v>46063</v>
      </c>
      <c r="B24" s="77" t="s">
        <v>76</v>
      </c>
      <c r="C24" s="78" t="s">
        <v>59</v>
      </c>
      <c r="D24" s="402">
        <v>5</v>
      </c>
      <c r="E24" s="79">
        <v>45000</v>
      </c>
      <c r="F24" s="79">
        <f>[1]Бозорлик!$D24*[1]Бозорлик!$E24</f>
        <v>225000</v>
      </c>
      <c r="G24" s="90">
        <f>IF(A24&lt;&gt;"", F24/ VLOOKUP(A24, 'Курс валют'!$A:$D, 4, 0), "")</f>
        <v>18.442622950819672</v>
      </c>
      <c r="H24" s="500"/>
    </row>
    <row r="25" spans="1:8" ht="20.100000000000001" customHeight="1" x14ac:dyDescent="0.45">
      <c r="A25" s="494">
        <v>46063</v>
      </c>
      <c r="B25" s="80" t="s">
        <v>60</v>
      </c>
      <c r="C25" s="81" t="s">
        <v>59</v>
      </c>
      <c r="D25" s="401">
        <v>37</v>
      </c>
      <c r="E25" s="82">
        <v>3500</v>
      </c>
      <c r="F25" s="82">
        <f>[1]Бозорлик!$D25*[1]Бозорлик!$E25</f>
        <v>129500</v>
      </c>
      <c r="G25" s="90">
        <f>IF(A25&lt;&gt;"", F25/ VLOOKUP(A25, 'Курс валют'!$A:$D, 4, 0), "")</f>
        <v>10.614754098360656</v>
      </c>
      <c r="H25" s="500"/>
    </row>
    <row r="26" spans="1:8" ht="20.100000000000001" customHeight="1" x14ac:dyDescent="0.45">
      <c r="A26" s="495">
        <v>46063</v>
      </c>
      <c r="B26" s="77" t="s">
        <v>58</v>
      </c>
      <c r="C26" s="78" t="s">
        <v>59</v>
      </c>
      <c r="D26" s="402">
        <v>129</v>
      </c>
      <c r="E26" s="79">
        <v>6000</v>
      </c>
      <c r="F26" s="79">
        <f>[1]Бозорлик!$D26*[1]Бозорлик!$E26</f>
        <v>774000</v>
      </c>
      <c r="G26" s="90">
        <f>IF(A26&lt;&gt;"", F26/ VLOOKUP(A26, 'Курс валют'!$A:$D, 4, 0), "")</f>
        <v>63.442622950819676</v>
      </c>
      <c r="H26" s="500"/>
    </row>
    <row r="27" spans="1:8" ht="20.100000000000001" customHeight="1" x14ac:dyDescent="0.45">
      <c r="A27" s="494">
        <v>46063</v>
      </c>
      <c r="B27" s="80" t="s">
        <v>63</v>
      </c>
      <c r="C27" s="81" t="s">
        <v>59</v>
      </c>
      <c r="D27" s="401">
        <v>44</v>
      </c>
      <c r="E27" s="82">
        <v>6000</v>
      </c>
      <c r="F27" s="82">
        <f>[1]Бозорлик!$D27*[1]Бозорлик!$E27</f>
        <v>264000</v>
      </c>
      <c r="G27" s="90">
        <f>IF(A27&lt;&gt;"", F27/ VLOOKUP(A27, 'Курс валют'!$A:$D, 4, 0), "")</f>
        <v>21.639344262295083</v>
      </c>
      <c r="H27" s="500"/>
    </row>
    <row r="28" spans="1:8" ht="20.100000000000001" customHeight="1" x14ac:dyDescent="0.45">
      <c r="A28" s="495">
        <v>46063</v>
      </c>
      <c r="B28" s="77" t="s">
        <v>83</v>
      </c>
      <c r="C28" s="78" t="s">
        <v>69</v>
      </c>
      <c r="D28" s="402">
        <v>5</v>
      </c>
      <c r="E28" s="79">
        <v>10000</v>
      </c>
      <c r="F28" s="79">
        <f>[1]Бозорлик!$D28*[1]Бозорлик!$E28</f>
        <v>50000</v>
      </c>
      <c r="G28" s="90">
        <f>IF(A28&lt;&gt;"", F28/ VLOOKUP(A28, 'Курс валют'!$A:$D, 4, 0), "")</f>
        <v>4.0983606557377046</v>
      </c>
      <c r="H28" s="500"/>
    </row>
    <row r="29" spans="1:8" ht="20.100000000000001" customHeight="1" x14ac:dyDescent="0.45">
      <c r="A29" s="494">
        <v>46063</v>
      </c>
      <c r="B29" s="80" t="s">
        <v>84</v>
      </c>
      <c r="C29" s="81" t="s">
        <v>85</v>
      </c>
      <c r="D29" s="401">
        <v>5</v>
      </c>
      <c r="E29" s="82">
        <v>14000</v>
      </c>
      <c r="F29" s="82">
        <f>[1]Бозорлик!$D29*[1]Бозорлик!$E29</f>
        <v>70000</v>
      </c>
      <c r="G29" s="90">
        <f>IF(A29&lt;&gt;"", F29/ VLOOKUP(A29, 'Курс валют'!$A:$D, 4, 0), "")</f>
        <v>5.7377049180327866</v>
      </c>
      <c r="H29" s="500"/>
    </row>
    <row r="30" spans="1:8" ht="20.100000000000001" customHeight="1" x14ac:dyDescent="0.45">
      <c r="A30" s="497" t="s">
        <v>86</v>
      </c>
      <c r="B30" s="80"/>
      <c r="C30" s="81"/>
      <c r="D30" s="401"/>
      <c r="E30" s="82"/>
      <c r="F30" s="82">
        <f>SUBTOTAL(9,F20:F29)</f>
        <v>3962500</v>
      </c>
      <c r="G30" s="90" t="e">
        <f>IF(A30&lt;&gt;"", F30/ VLOOKUP(A30, 'Курс валют'!$A:$D, 4, 0), "")</f>
        <v>#N/A</v>
      </c>
      <c r="H30" s="500"/>
    </row>
    <row r="31" spans="1:8" ht="20.100000000000001" customHeight="1" x14ac:dyDescent="0.45">
      <c r="A31" s="494">
        <v>46067</v>
      </c>
      <c r="B31" s="80" t="s">
        <v>87</v>
      </c>
      <c r="C31" s="81" t="s">
        <v>59</v>
      </c>
      <c r="D31" s="401">
        <v>160</v>
      </c>
      <c r="E31" s="82">
        <v>14000</v>
      </c>
      <c r="F31" s="79">
        <f>[1]Бозорлик!$D31*[1]Бозорлик!$E31</f>
        <v>2240000</v>
      </c>
      <c r="G31" s="90">
        <f>IF(A31&lt;&gt;"", F31/ VLOOKUP(A31, 'Курс валют'!$A:$D, 4, 0), "")</f>
        <v>183.90804597701148</v>
      </c>
      <c r="H31" s="500"/>
    </row>
    <row r="32" spans="1:8" ht="20.100000000000001" customHeight="1" x14ac:dyDescent="0.45">
      <c r="A32" s="497" t="s">
        <v>88</v>
      </c>
      <c r="B32" s="80"/>
      <c r="C32" s="81"/>
      <c r="D32" s="401"/>
      <c r="E32" s="82"/>
      <c r="F32" s="79">
        <f>SUBTOTAL(9,F31:F31)</f>
        <v>2240000</v>
      </c>
      <c r="G32" s="90" t="e">
        <f>IF(A32&lt;&gt;"", F32/ VLOOKUP(A32, 'Курс валют'!$A:$D, 4, 0), "")</f>
        <v>#N/A</v>
      </c>
      <c r="H32" s="500"/>
    </row>
    <row r="33" spans="1:8" ht="20.100000000000001" customHeight="1" x14ac:dyDescent="0.45">
      <c r="A33" s="495">
        <v>46070</v>
      </c>
      <c r="B33" s="77" t="s">
        <v>82</v>
      </c>
      <c r="C33" s="78" t="s">
        <v>59</v>
      </c>
      <c r="D33" s="402">
        <v>5</v>
      </c>
      <c r="E33" s="79">
        <v>90000</v>
      </c>
      <c r="F33" s="79">
        <f>[1]Бозорлик!$D33*[1]Бозорлик!$E33</f>
        <v>450000</v>
      </c>
      <c r="G33" s="90">
        <f>IF(A33&lt;&gt;"", F33/ VLOOKUP(A33, 'Курс валют'!$A:$D, 4, 0), "")</f>
        <v>37.037037037037038</v>
      </c>
      <c r="H33" s="500"/>
    </row>
    <row r="34" spans="1:8" ht="20.100000000000001" customHeight="1" x14ac:dyDescent="0.45">
      <c r="A34" s="494">
        <v>46070</v>
      </c>
      <c r="B34" s="80" t="s">
        <v>89</v>
      </c>
      <c r="C34" s="81" t="s">
        <v>59</v>
      </c>
      <c r="D34" s="401">
        <v>2</v>
      </c>
      <c r="E34" s="82">
        <v>70000</v>
      </c>
      <c r="F34" s="82">
        <f>[1]Бозорлик!$D34*[1]Бозорлик!$E34</f>
        <v>140000</v>
      </c>
      <c r="G34" s="90">
        <f>IF(A34&lt;&gt;"", F34/ VLOOKUP(A34, 'Курс валют'!$A:$D, 4, 0), "")</f>
        <v>11.522633744855968</v>
      </c>
      <c r="H34" s="500"/>
    </row>
    <row r="35" spans="1:8" ht="20.100000000000001" customHeight="1" x14ac:dyDescent="0.45">
      <c r="A35" s="495">
        <v>46070</v>
      </c>
      <c r="B35" s="77" t="s">
        <v>76</v>
      </c>
      <c r="C35" s="78" t="s">
        <v>59</v>
      </c>
      <c r="D35" s="402">
        <v>7</v>
      </c>
      <c r="E35" s="79">
        <v>50000</v>
      </c>
      <c r="F35" s="79">
        <f>[1]Бозорлик!$D35*[1]Бозорлик!$E35</f>
        <v>350000</v>
      </c>
      <c r="G35" s="90">
        <f>IF(A35&lt;&gt;"", F35/ VLOOKUP(A35, 'Курс валют'!$A:$D, 4, 0), "")</f>
        <v>28.806584362139919</v>
      </c>
      <c r="H35" s="500"/>
    </row>
    <row r="36" spans="1:8" ht="20.100000000000001" customHeight="1" x14ac:dyDescent="0.45">
      <c r="A36" s="494">
        <v>46070</v>
      </c>
      <c r="B36" s="80" t="s">
        <v>74</v>
      </c>
      <c r="C36" s="81" t="s">
        <v>75</v>
      </c>
      <c r="D36" s="401">
        <v>10</v>
      </c>
      <c r="E36" s="82">
        <v>45000</v>
      </c>
      <c r="F36" s="82">
        <f>[1]Бозорлик!$D36*[1]Бозорлик!$E36</f>
        <v>450000</v>
      </c>
      <c r="G36" s="90">
        <f>IF(A36&lt;&gt;"", F36/ VLOOKUP(A36, 'Курс валют'!$A:$D, 4, 0), "")</f>
        <v>37.037037037037038</v>
      </c>
      <c r="H36" s="500"/>
    </row>
    <row r="37" spans="1:8" ht="20.100000000000001" customHeight="1" x14ac:dyDescent="0.45">
      <c r="A37" s="495">
        <v>46070</v>
      </c>
      <c r="B37" s="77" t="s">
        <v>90</v>
      </c>
      <c r="C37" s="78" t="s">
        <v>59</v>
      </c>
      <c r="D37" s="402">
        <v>10</v>
      </c>
      <c r="E37" s="79">
        <v>14000</v>
      </c>
      <c r="F37" s="79">
        <f>[1]Бозорлик!$D37*[1]Бозорлик!$E37</f>
        <v>140000</v>
      </c>
      <c r="G37" s="90">
        <f>IF(A37&lt;&gt;"", F37/ VLOOKUP(A37, 'Курс валют'!$A:$D, 4, 0), "")</f>
        <v>11.522633744855968</v>
      </c>
      <c r="H37" s="500"/>
    </row>
    <row r="38" spans="1:8" ht="20.100000000000001" customHeight="1" x14ac:dyDescent="0.45">
      <c r="A38" s="495">
        <v>46070</v>
      </c>
      <c r="B38" s="77" t="s">
        <v>91</v>
      </c>
      <c r="C38" s="78" t="s">
        <v>65</v>
      </c>
      <c r="D38" s="402">
        <v>1</v>
      </c>
      <c r="E38" s="79">
        <v>70000</v>
      </c>
      <c r="F38" s="79">
        <f>[1]Бозорлик!$D38*[1]Бозорлик!$E38</f>
        <v>70000</v>
      </c>
      <c r="G38" s="90">
        <f>IF(A38&lt;&gt;"", F38/ VLOOKUP(A38, 'Курс валют'!$A:$D, 4, 0), "")</f>
        <v>5.761316872427984</v>
      </c>
      <c r="H38" s="500"/>
    </row>
    <row r="39" spans="1:8" ht="20.100000000000001" customHeight="1" x14ac:dyDescent="0.45">
      <c r="A39" s="496" t="s">
        <v>92</v>
      </c>
      <c r="B39" s="77"/>
      <c r="C39" s="78"/>
      <c r="D39" s="402"/>
      <c r="E39" s="79"/>
      <c r="F39" s="79">
        <f>SUBTOTAL(9,F33:F38)</f>
        <v>1600000</v>
      </c>
      <c r="G39" s="90" t="e">
        <f>IF(A39&lt;&gt;"", F39/ VLOOKUP(A39, 'Курс валют'!$A:$D, 4, 0), "")</f>
        <v>#N/A</v>
      </c>
      <c r="H39" s="500"/>
    </row>
    <row r="40" spans="1:8" ht="20.100000000000001" customHeight="1" x14ac:dyDescent="0.45">
      <c r="A40" s="495">
        <v>46071</v>
      </c>
      <c r="B40" s="77" t="s">
        <v>82</v>
      </c>
      <c r="C40" s="78" t="s">
        <v>59</v>
      </c>
      <c r="D40" s="402">
        <v>18</v>
      </c>
      <c r="E40" s="79">
        <v>100000</v>
      </c>
      <c r="F40" s="79">
        <f>[1]Бозорлик!$D40*[1]Бозорлик!$E40</f>
        <v>1800000</v>
      </c>
      <c r="G40" s="90">
        <f>IF(A40&lt;&gt;"", F40/ VLOOKUP(A40, 'Курс валют'!$A:$D, 4, 0), "")</f>
        <v>149.00662251655629</v>
      </c>
      <c r="H40" s="500"/>
    </row>
    <row r="41" spans="1:8" ht="20.100000000000001" customHeight="1" x14ac:dyDescent="0.45">
      <c r="A41" s="495">
        <v>46071</v>
      </c>
      <c r="B41" s="77" t="s">
        <v>91</v>
      </c>
      <c r="C41" s="78" t="s">
        <v>65</v>
      </c>
      <c r="D41" s="402">
        <v>1</v>
      </c>
      <c r="E41" s="79">
        <v>120000</v>
      </c>
      <c r="F41" s="79">
        <f>[1]Бозорлик!$D41*[1]Бозорлик!$E41</f>
        <v>120000</v>
      </c>
      <c r="G41" s="90">
        <f>IF(A41&lt;&gt;"", F41/ VLOOKUP(A41, 'Курс валют'!$A:$D, 4, 0), "")</f>
        <v>9.9337748344370862</v>
      </c>
      <c r="H41" s="500"/>
    </row>
    <row r="42" spans="1:8" ht="20.100000000000001" customHeight="1" x14ac:dyDescent="0.45">
      <c r="A42" s="496" t="s">
        <v>93</v>
      </c>
      <c r="B42" s="77"/>
      <c r="C42" s="78"/>
      <c r="D42" s="402"/>
      <c r="E42" s="79"/>
      <c r="F42" s="79">
        <f>SUBTOTAL(9,F40:F41)</f>
        <v>1920000</v>
      </c>
      <c r="G42" s="90" t="e">
        <f>IF(A42&lt;&gt;"", F42/ VLOOKUP(A42, 'Курс валют'!$A:$D, 4, 0), "")</f>
        <v>#N/A</v>
      </c>
      <c r="H42" s="500"/>
    </row>
    <row r="43" spans="1:8" ht="20.100000000000001" customHeight="1" x14ac:dyDescent="0.45">
      <c r="A43" s="494">
        <v>46075</v>
      </c>
      <c r="B43" s="80" t="s">
        <v>78</v>
      </c>
      <c r="C43" s="81" t="s">
        <v>59</v>
      </c>
      <c r="D43" s="401">
        <v>20</v>
      </c>
      <c r="E43" s="82">
        <v>16000</v>
      </c>
      <c r="F43" s="82">
        <f>[1]Бозорлик!$D43*[1]Бозорлик!$E43</f>
        <v>320000</v>
      </c>
      <c r="G43" s="90">
        <f>IF(A43&lt;&gt;"", F43/ VLOOKUP(A43, 'Курс валют'!$A:$D, 4, 0), "")</f>
        <v>26.666666666666668</v>
      </c>
      <c r="H43" s="500"/>
    </row>
    <row r="44" spans="1:8" ht="20.100000000000001" customHeight="1" x14ac:dyDescent="0.45">
      <c r="A44" s="495">
        <v>46075</v>
      </c>
      <c r="B44" s="77" t="s">
        <v>77</v>
      </c>
      <c r="C44" s="78" t="s">
        <v>59</v>
      </c>
      <c r="D44" s="402">
        <v>2</v>
      </c>
      <c r="E44" s="79">
        <v>30000</v>
      </c>
      <c r="F44" s="79">
        <f>[1]Бозорлик!$D44*[1]Бозорлик!$E44</f>
        <v>60000</v>
      </c>
      <c r="G44" s="90">
        <f>IF(A44&lt;&gt;"", F44/ VLOOKUP(A44, 'Курс валют'!$A:$D, 4, 0), "")</f>
        <v>5</v>
      </c>
      <c r="H44" s="500"/>
    </row>
    <row r="45" spans="1:8" ht="20.100000000000001" customHeight="1" x14ac:dyDescent="0.45">
      <c r="A45" s="494">
        <v>46075</v>
      </c>
      <c r="B45" s="80" t="s">
        <v>67</v>
      </c>
      <c r="C45" s="81" t="s">
        <v>62</v>
      </c>
      <c r="D45" s="401">
        <v>10</v>
      </c>
      <c r="E45" s="82">
        <v>21000</v>
      </c>
      <c r="F45" s="82">
        <f>[1]Бозорлик!$D45*[1]Бозорлик!$E45</f>
        <v>210000</v>
      </c>
      <c r="G45" s="90">
        <f>IF(A45&lt;&gt;"", F45/ VLOOKUP(A45, 'Курс валют'!$A:$D, 4, 0), "")</f>
        <v>17.5</v>
      </c>
      <c r="H45" s="500"/>
    </row>
    <row r="46" spans="1:8" ht="20.100000000000001" customHeight="1" x14ac:dyDescent="0.45">
      <c r="A46" s="495">
        <v>46075</v>
      </c>
      <c r="B46" s="77" t="s">
        <v>81</v>
      </c>
      <c r="C46" s="78" t="s">
        <v>62</v>
      </c>
      <c r="D46" s="402">
        <v>10</v>
      </c>
      <c r="E46" s="79">
        <v>22000</v>
      </c>
      <c r="F46" s="79">
        <f>[1]Бозорлик!$D46*[1]Бозорлик!$E46</f>
        <v>220000</v>
      </c>
      <c r="G46" s="90">
        <f>IF(A46&lt;&gt;"", F46/ VLOOKUP(A46, 'Курс валют'!$A:$D, 4, 0), "")</f>
        <v>18.333333333333332</v>
      </c>
      <c r="H46" s="500"/>
    </row>
    <row r="47" spans="1:8" ht="20.100000000000001" customHeight="1" x14ac:dyDescent="0.45">
      <c r="A47" s="494">
        <v>46075</v>
      </c>
      <c r="B47" s="80" t="s">
        <v>74</v>
      </c>
      <c r="C47" s="81" t="s">
        <v>75</v>
      </c>
      <c r="D47" s="401">
        <v>10</v>
      </c>
      <c r="E47" s="82">
        <v>45000</v>
      </c>
      <c r="F47" s="82">
        <f>[1]Бозорлик!$D47*[1]Бозорлик!$E47</f>
        <v>450000</v>
      </c>
      <c r="G47" s="90">
        <f>IF(A47&lt;&gt;"", F47/ VLOOKUP(A47, 'Курс валют'!$A:$D, 4, 0), "")</f>
        <v>37.5</v>
      </c>
      <c r="H47" s="500"/>
    </row>
    <row r="48" spans="1:8" ht="20.100000000000001" customHeight="1" x14ac:dyDescent="0.45">
      <c r="A48" s="495">
        <v>46075</v>
      </c>
      <c r="B48" s="77" t="s">
        <v>71</v>
      </c>
      <c r="C48" s="78" t="s">
        <v>59</v>
      </c>
      <c r="D48" s="402">
        <v>68</v>
      </c>
      <c r="E48" s="79">
        <v>7280</v>
      </c>
      <c r="F48" s="79">
        <f>[1]Бозорлик!$D48*[1]Бозорлик!$E48</f>
        <v>495040</v>
      </c>
      <c r="G48" s="90">
        <f>IF(A48&lt;&gt;"", F48/ VLOOKUP(A48, 'Курс валют'!$A:$D, 4, 0), "")</f>
        <v>41.25333333333333</v>
      </c>
      <c r="H48" s="500"/>
    </row>
    <row r="49" spans="1:8" ht="20.100000000000001" customHeight="1" x14ac:dyDescent="0.45">
      <c r="A49" s="494">
        <v>46075</v>
      </c>
      <c r="B49" s="80" t="s">
        <v>68</v>
      </c>
      <c r="C49" s="81" t="s">
        <v>69</v>
      </c>
      <c r="D49" s="401">
        <v>2</v>
      </c>
      <c r="E49" s="82">
        <v>30000</v>
      </c>
      <c r="F49" s="82">
        <f>[1]Бозорлик!$D49*[1]Бозорлик!$E49</f>
        <v>60000</v>
      </c>
      <c r="G49" s="90">
        <f>IF(A49&lt;&gt;"", F49/ VLOOKUP(A49, 'Курс валют'!$A:$D, 4, 0), "")</f>
        <v>5</v>
      </c>
      <c r="H49" s="500"/>
    </row>
    <row r="50" spans="1:8" ht="20.100000000000001" customHeight="1" x14ac:dyDescent="0.45">
      <c r="A50" s="494">
        <v>46075</v>
      </c>
      <c r="B50" s="80" t="s">
        <v>91</v>
      </c>
      <c r="C50" s="81" t="s">
        <v>65</v>
      </c>
      <c r="D50" s="401">
        <v>1</v>
      </c>
      <c r="E50" s="82">
        <v>80000</v>
      </c>
      <c r="F50" s="82">
        <f>[1]Бозорлик!$D50*[1]Бозорлик!$E50</f>
        <v>80000</v>
      </c>
      <c r="G50" s="90">
        <f>IF(A50&lt;&gt;"", F50/ VLOOKUP(A50, 'Курс валют'!$A:$D, 4, 0), "")</f>
        <v>6.666666666666667</v>
      </c>
      <c r="H50" s="500"/>
    </row>
    <row r="51" spans="1:8" ht="20.100000000000001" customHeight="1" x14ac:dyDescent="0.45">
      <c r="A51" s="497" t="s">
        <v>94</v>
      </c>
      <c r="B51" s="80"/>
      <c r="C51" s="81"/>
      <c r="D51" s="401"/>
      <c r="E51" s="82"/>
      <c r="F51" s="82">
        <f>SUBTOTAL(9,F43:F50)</f>
        <v>1895040</v>
      </c>
      <c r="G51" s="90" t="e">
        <f>IF(A51&lt;&gt;"", F51/ VLOOKUP(A51, 'Курс валют'!$A:$D, 4, 0), "")</f>
        <v>#N/A</v>
      </c>
      <c r="H51" s="500"/>
    </row>
    <row r="52" spans="1:8" ht="20.100000000000001" customHeight="1" x14ac:dyDescent="0.45">
      <c r="A52" s="495">
        <v>46080</v>
      </c>
      <c r="B52" s="77" t="s">
        <v>74</v>
      </c>
      <c r="C52" s="78" t="s">
        <v>75</v>
      </c>
      <c r="D52" s="402">
        <v>10</v>
      </c>
      <c r="E52" s="79">
        <v>45000</v>
      </c>
      <c r="F52" s="79">
        <f>[1]Бозорлик!$D52*[1]Бозорлик!$E52</f>
        <v>450000</v>
      </c>
      <c r="G52" s="90">
        <f>IF(A52&lt;&gt;"", F52/ VLOOKUP(A52, 'Курс валют'!$A:$D, 4, 0), "")</f>
        <v>37.251655629139073</v>
      </c>
      <c r="H52" s="500"/>
    </row>
    <row r="53" spans="1:8" ht="20.100000000000001" customHeight="1" x14ac:dyDescent="0.45">
      <c r="A53" s="494">
        <v>46080</v>
      </c>
      <c r="B53" s="80" t="s">
        <v>60</v>
      </c>
      <c r="C53" s="81" t="s">
        <v>59</v>
      </c>
      <c r="D53" s="401">
        <v>36.25</v>
      </c>
      <c r="E53" s="82">
        <v>4000</v>
      </c>
      <c r="F53" s="82">
        <f>[1]Бозорлик!$D53*[1]Бозорлик!$E53</f>
        <v>145000</v>
      </c>
      <c r="G53" s="90">
        <f>IF(A53&lt;&gt;"", F53/ VLOOKUP(A53, 'Курс валют'!$A:$D, 4, 0), "")</f>
        <v>12.003311258278146</v>
      </c>
      <c r="H53" s="500"/>
    </row>
    <row r="54" spans="1:8" ht="20.100000000000001" customHeight="1" x14ac:dyDescent="0.45">
      <c r="A54" s="495">
        <v>46080</v>
      </c>
      <c r="B54" s="77" t="s">
        <v>89</v>
      </c>
      <c r="C54" s="78" t="s">
        <v>59</v>
      </c>
      <c r="D54" s="402">
        <v>2</v>
      </c>
      <c r="E54" s="79">
        <v>70000</v>
      </c>
      <c r="F54" s="79">
        <f>[1]Бозорлик!$D54*[1]Бозорлик!$E54</f>
        <v>140000</v>
      </c>
      <c r="G54" s="90">
        <f>IF(A54&lt;&gt;"", F54/ VLOOKUP(A54, 'Курс валют'!$A:$D, 4, 0), "")</f>
        <v>11.589403973509933</v>
      </c>
      <c r="H54" s="500"/>
    </row>
    <row r="55" spans="1:8" ht="20.100000000000001" customHeight="1" x14ac:dyDescent="0.45">
      <c r="A55" s="494">
        <v>46080</v>
      </c>
      <c r="B55" s="80" t="s">
        <v>63</v>
      </c>
      <c r="C55" s="81" t="s">
        <v>59</v>
      </c>
      <c r="D55" s="401">
        <v>30</v>
      </c>
      <c r="E55" s="82">
        <v>6000</v>
      </c>
      <c r="F55" s="82">
        <f>[1]Бозорлик!$D55*[1]Бозорлик!$E55</f>
        <v>180000</v>
      </c>
      <c r="G55" s="90">
        <f>IF(A55&lt;&gt;"", F55/ VLOOKUP(A55, 'Курс валют'!$A:$D, 4, 0), "")</f>
        <v>14.900662251655628</v>
      </c>
      <c r="H55" s="500"/>
    </row>
    <row r="56" spans="1:8" ht="20.100000000000001" customHeight="1" x14ac:dyDescent="0.45">
      <c r="A56" s="494">
        <v>46080</v>
      </c>
      <c r="B56" s="80" t="s">
        <v>82</v>
      </c>
      <c r="C56" s="81" t="s">
        <v>59</v>
      </c>
      <c r="D56" s="401">
        <v>25</v>
      </c>
      <c r="E56" s="82">
        <v>105000</v>
      </c>
      <c r="F56" s="82">
        <f>[1]Бозорлик!$D56*[1]Бозорлик!$E56</f>
        <v>2625000</v>
      </c>
      <c r="G56" s="90">
        <f>IF(A56&lt;&gt;"", F56/ VLOOKUP(A56, 'Курс валют'!$A:$D, 4, 0), "")</f>
        <v>217.30132450331126</v>
      </c>
      <c r="H56" s="500"/>
    </row>
    <row r="57" spans="1:8" ht="20.100000000000001" customHeight="1" x14ac:dyDescent="0.45">
      <c r="A57" s="497" t="s">
        <v>95</v>
      </c>
      <c r="B57" s="80"/>
      <c r="C57" s="81"/>
      <c r="D57" s="401"/>
      <c r="E57" s="82"/>
      <c r="F57" s="82">
        <f>SUBTOTAL(9,F52:F56)</f>
        <v>3540000</v>
      </c>
      <c r="G57" s="90" t="e">
        <f>IF(A57&lt;&gt;"", F57/ VLOOKUP(A57, 'Курс валют'!$A:$D, 4, 0), "")</f>
        <v>#N/A</v>
      </c>
      <c r="H57" s="500"/>
    </row>
    <row r="58" spans="1:8" ht="20.100000000000001" customHeight="1" x14ac:dyDescent="0.45">
      <c r="A58" s="494">
        <v>46085</v>
      </c>
      <c r="B58" s="80" t="s">
        <v>82</v>
      </c>
      <c r="C58" s="81" t="s">
        <v>59</v>
      </c>
      <c r="D58" s="401">
        <v>27.5</v>
      </c>
      <c r="E58" s="82">
        <v>105000</v>
      </c>
      <c r="F58" s="79">
        <f>[1]Бозорлик!$D58*[1]Бозорлик!$E58</f>
        <v>2887500</v>
      </c>
      <c r="G58" s="90">
        <f>IF(A58&lt;&gt;"", F58/ VLOOKUP(A58, 'Курс валют'!$A:$D, 4, 0), "")</f>
        <v>239.03145695364239</v>
      </c>
      <c r="H58" s="500"/>
    </row>
    <row r="59" spans="1:8" ht="20.100000000000001" customHeight="1" x14ac:dyDescent="0.45">
      <c r="A59" s="497" t="s">
        <v>96</v>
      </c>
      <c r="B59" s="80"/>
      <c r="C59" s="81"/>
      <c r="D59" s="401"/>
      <c r="E59" s="82"/>
      <c r="F59" s="79">
        <f>SUBTOTAL(9,F58:F58)</f>
        <v>2887500</v>
      </c>
      <c r="G59" s="90" t="e">
        <f>IF(A59&lt;&gt;"", F59/ VLOOKUP(A59, 'Курс валют'!$A:$D, 4, 0), "")</f>
        <v>#N/A</v>
      </c>
      <c r="H59" s="500"/>
    </row>
    <row r="60" spans="1:8" ht="20.100000000000001" customHeight="1" x14ac:dyDescent="0.45">
      <c r="A60" s="495">
        <v>46088</v>
      </c>
      <c r="B60" s="77" t="s">
        <v>58</v>
      </c>
      <c r="C60" s="78" t="s">
        <v>59</v>
      </c>
      <c r="D60" s="402">
        <v>60</v>
      </c>
      <c r="E60" s="79">
        <v>6000</v>
      </c>
      <c r="F60" s="79">
        <f>[1]Бозорлик!$D60*[1]Бозорлик!$E60</f>
        <v>360000</v>
      </c>
      <c r="G60" s="90">
        <f>IF(A60&lt;&gt;"", F60/ VLOOKUP(A60, 'Курс валют'!$A:$D, 4, 0), "")</f>
        <v>29.75206611570248</v>
      </c>
      <c r="H60" s="500"/>
    </row>
    <row r="61" spans="1:8" ht="20.100000000000001" customHeight="1" x14ac:dyDescent="0.45">
      <c r="A61" s="494">
        <v>46088</v>
      </c>
      <c r="B61" s="80" t="s">
        <v>74</v>
      </c>
      <c r="C61" s="81" t="s">
        <v>75</v>
      </c>
      <c r="D61" s="401">
        <v>15</v>
      </c>
      <c r="E61" s="82">
        <v>48000</v>
      </c>
      <c r="F61" s="82">
        <f>[1]Бозорлик!$D61*[1]Бозорлик!$E61</f>
        <v>720000</v>
      </c>
      <c r="G61" s="90">
        <f>IF(A61&lt;&gt;"", F61/ VLOOKUP(A61, 'Курс валют'!$A:$D, 4, 0), "")</f>
        <v>59.504132231404959</v>
      </c>
      <c r="H61" s="500"/>
    </row>
    <row r="62" spans="1:8" ht="20.100000000000001" customHeight="1" x14ac:dyDescent="0.45">
      <c r="A62" s="495">
        <v>46088</v>
      </c>
      <c r="B62" s="77" t="s">
        <v>76</v>
      </c>
      <c r="C62" s="78" t="s">
        <v>59</v>
      </c>
      <c r="D62" s="402">
        <v>10</v>
      </c>
      <c r="E62" s="79">
        <v>48000</v>
      </c>
      <c r="F62" s="79">
        <f>[1]Бозорлик!$D62*[1]Бозорлик!$E62</f>
        <v>480000</v>
      </c>
      <c r="G62" s="90">
        <f>IF(A62&lt;&gt;"", F62/ VLOOKUP(A62, 'Курс валют'!$A:$D, 4, 0), "")</f>
        <v>39.669421487603309</v>
      </c>
      <c r="H62" s="500"/>
    </row>
    <row r="63" spans="1:8" ht="20.100000000000001" customHeight="1" x14ac:dyDescent="0.45">
      <c r="A63" s="494">
        <v>46088</v>
      </c>
      <c r="B63" s="80" t="s">
        <v>77</v>
      </c>
      <c r="C63" s="81" t="s">
        <v>59</v>
      </c>
      <c r="D63" s="401">
        <v>2</v>
      </c>
      <c r="E63" s="82">
        <v>30000</v>
      </c>
      <c r="F63" s="82">
        <f>[1]Бозорлик!$D63*[1]Бозорлик!$E63</f>
        <v>60000</v>
      </c>
      <c r="G63" s="90">
        <f>IF(A63&lt;&gt;"", F63/ VLOOKUP(A63, 'Курс валют'!$A:$D, 4, 0), "")</f>
        <v>4.9586776859504136</v>
      </c>
      <c r="H63" s="500"/>
    </row>
    <row r="64" spans="1:8" ht="20.100000000000001" customHeight="1" x14ac:dyDescent="0.45">
      <c r="A64" s="495">
        <v>46088</v>
      </c>
      <c r="B64" s="77" t="s">
        <v>70</v>
      </c>
      <c r="C64" s="78" t="s">
        <v>59</v>
      </c>
      <c r="D64" s="402">
        <v>12</v>
      </c>
      <c r="E64" s="79">
        <v>12000</v>
      </c>
      <c r="F64" s="79">
        <f>[1]Бозорлик!$D64*[1]Бозорлик!$E64</f>
        <v>144000</v>
      </c>
      <c r="G64" s="90">
        <f>IF(A64&lt;&gt;"", F64/ VLOOKUP(A64, 'Курс валют'!$A:$D, 4, 0), "")</f>
        <v>11.900826446280991</v>
      </c>
      <c r="H64" s="500"/>
    </row>
    <row r="65" spans="1:8" ht="20.100000000000001" customHeight="1" x14ac:dyDescent="0.45">
      <c r="A65" s="494">
        <v>46088</v>
      </c>
      <c r="B65" s="80" t="s">
        <v>60</v>
      </c>
      <c r="C65" s="81" t="s">
        <v>59</v>
      </c>
      <c r="D65" s="401">
        <v>34</v>
      </c>
      <c r="E65" s="82">
        <v>4000</v>
      </c>
      <c r="F65" s="82">
        <f>[1]Бозорлик!$D65*[1]Бозорлик!$E65</f>
        <v>136000</v>
      </c>
      <c r="G65" s="90">
        <f>IF(A65&lt;&gt;"", F65/ VLOOKUP(A65, 'Курс валют'!$A:$D, 4, 0), "")</f>
        <v>11.239669421487603</v>
      </c>
      <c r="H65" s="500"/>
    </row>
    <row r="66" spans="1:8" ht="20.100000000000001" customHeight="1" x14ac:dyDescent="0.45">
      <c r="A66" s="495">
        <v>46088</v>
      </c>
      <c r="B66" s="77" t="s">
        <v>67</v>
      </c>
      <c r="C66" s="78" t="s">
        <v>97</v>
      </c>
      <c r="D66" s="402">
        <v>10</v>
      </c>
      <c r="E66" s="79">
        <v>21000</v>
      </c>
      <c r="F66" s="79">
        <f>[1]Бозорлик!$D66*[1]Бозорлик!$E66</f>
        <v>210000</v>
      </c>
      <c r="G66" s="90">
        <f>IF(A66&lt;&gt;"", F66/ VLOOKUP(A66, 'Курс валют'!$A:$D, 4, 0), "")</f>
        <v>17.355371900826448</v>
      </c>
      <c r="H66" s="500"/>
    </row>
    <row r="67" spans="1:8" ht="20.100000000000001" customHeight="1" x14ac:dyDescent="0.45">
      <c r="A67" s="494">
        <v>46088</v>
      </c>
      <c r="B67" s="80" t="s">
        <v>81</v>
      </c>
      <c r="C67" s="81" t="s">
        <v>97</v>
      </c>
      <c r="D67" s="401">
        <v>10</v>
      </c>
      <c r="E67" s="82">
        <v>22000</v>
      </c>
      <c r="F67" s="82">
        <f>[1]Бозорлик!$D67*[1]Бозорлик!$E67</f>
        <v>220000</v>
      </c>
      <c r="G67" s="90">
        <f>IF(A67&lt;&gt;"", F67/ VLOOKUP(A67, 'Курс валют'!$A:$D, 4, 0), "")</f>
        <v>18.181818181818183</v>
      </c>
      <c r="H67" s="500"/>
    </row>
    <row r="68" spans="1:8" ht="20.100000000000001" customHeight="1" x14ac:dyDescent="0.45">
      <c r="A68" s="494">
        <v>46088</v>
      </c>
      <c r="B68" s="80" t="s">
        <v>91</v>
      </c>
      <c r="C68" s="81" t="s">
        <v>65</v>
      </c>
      <c r="D68" s="401">
        <v>1</v>
      </c>
      <c r="E68" s="82">
        <v>120000</v>
      </c>
      <c r="F68" s="82">
        <f>[1]Бозорлик!$D68*[1]Бозорлик!$E68</f>
        <v>120000</v>
      </c>
      <c r="G68" s="90">
        <f>IF(A68&lt;&gt;"", F68/ VLOOKUP(A68, 'Курс валют'!$A:$D, 4, 0), "")</f>
        <v>9.9173553719008272</v>
      </c>
      <c r="H68" s="500"/>
    </row>
    <row r="69" spans="1:8" ht="20.100000000000001" customHeight="1" x14ac:dyDescent="0.45">
      <c r="A69" s="497" t="s">
        <v>98</v>
      </c>
      <c r="B69" s="80"/>
      <c r="C69" s="81"/>
      <c r="D69" s="401"/>
      <c r="E69" s="82"/>
      <c r="F69" s="82">
        <f>SUBTOTAL(9,F60:F68)</f>
        <v>2450000</v>
      </c>
      <c r="G69" s="90" t="e">
        <f>IF(A69&lt;&gt;"", F69/ VLOOKUP(A69, 'Курс валют'!$A:$D, 4, 0), "")</f>
        <v>#N/A</v>
      </c>
      <c r="H69" s="500"/>
    </row>
    <row r="70" spans="1:8" ht="20.100000000000001" customHeight="1" x14ac:dyDescent="0.45">
      <c r="A70" s="494">
        <v>46090</v>
      </c>
      <c r="B70" s="80" t="s">
        <v>82</v>
      </c>
      <c r="C70" s="81" t="s">
        <v>59</v>
      </c>
      <c r="D70" s="401">
        <v>20</v>
      </c>
      <c r="E70" s="82">
        <v>100000</v>
      </c>
      <c r="F70" s="82">
        <f>[1]Бозорлик!$D70*[1]Бозорлик!$E70</f>
        <v>2000000</v>
      </c>
      <c r="G70" s="90">
        <f>IF(A70&lt;&gt;"", F70/ VLOOKUP(A70, 'Курс валют'!$A:$D, 4, 0), "")</f>
        <v>165.56291390728478</v>
      </c>
      <c r="H70" s="500"/>
    </row>
    <row r="71" spans="1:8" ht="20.100000000000001" customHeight="1" x14ac:dyDescent="0.45">
      <c r="A71" s="497" t="s">
        <v>99</v>
      </c>
      <c r="B71" s="80"/>
      <c r="C71" s="81"/>
      <c r="D71" s="401"/>
      <c r="E71" s="82"/>
      <c r="F71" s="82">
        <f>SUBTOTAL(9,F70:F70)</f>
        <v>2000000</v>
      </c>
      <c r="G71" s="90" t="e">
        <f>IF(A71&lt;&gt;"", F71/ VLOOKUP(A71, 'Курс валют'!$A:$D, 4, 0), "")</f>
        <v>#N/A</v>
      </c>
      <c r="H71" s="500"/>
    </row>
    <row r="72" spans="1:8" ht="20.100000000000001" customHeight="1" x14ac:dyDescent="0.45">
      <c r="A72" s="494">
        <v>46092</v>
      </c>
      <c r="B72" s="80" t="s">
        <v>100</v>
      </c>
      <c r="C72" s="81" t="s">
        <v>59</v>
      </c>
      <c r="D72" s="401">
        <v>80</v>
      </c>
      <c r="E72" s="82">
        <v>13000</v>
      </c>
      <c r="F72" s="82">
        <f>[1]Бозорлик!$D72*[1]Бозорлик!$E72</f>
        <v>1040000</v>
      </c>
      <c r="G72" s="90">
        <f>IF(A72&lt;&gt;"", F72/ VLOOKUP(A72, 'Курс валют'!$A:$D, 4, 0), "")</f>
        <v>85.950413223140501</v>
      </c>
      <c r="H72" s="500"/>
    </row>
    <row r="73" spans="1:8" ht="20.100000000000001" customHeight="1" x14ac:dyDescent="0.45">
      <c r="A73" s="497" t="s">
        <v>101</v>
      </c>
      <c r="B73" s="80"/>
      <c r="C73" s="81"/>
      <c r="D73" s="401"/>
      <c r="E73" s="82"/>
      <c r="F73" s="82">
        <f>SUBTOTAL(9,F72:F72)</f>
        <v>1040000</v>
      </c>
      <c r="G73" s="90" t="e">
        <f>IF(A73&lt;&gt;"", F73/ VLOOKUP(A73, 'Курс валют'!$A:$D, 4, 0), "")</f>
        <v>#N/A</v>
      </c>
      <c r="H73" s="500"/>
    </row>
    <row r="74" spans="1:8" ht="20.100000000000001" customHeight="1" x14ac:dyDescent="0.45">
      <c r="A74" s="495">
        <v>46096</v>
      </c>
      <c r="B74" s="77" t="s">
        <v>74</v>
      </c>
      <c r="C74" s="78" t="s">
        <v>75</v>
      </c>
      <c r="D74" s="402">
        <v>15</v>
      </c>
      <c r="E74" s="79">
        <v>48000</v>
      </c>
      <c r="F74" s="79">
        <f>[1]Бозорлик!$D74*[1]Бозорлик!$E74</f>
        <v>720000</v>
      </c>
      <c r="G74" s="90">
        <f>IF(A74&lt;&gt;"", F74/ VLOOKUP(A74, 'Курс валют'!$A:$D, 4, 0), "")</f>
        <v>59.504132231404959</v>
      </c>
      <c r="H74" s="500"/>
    </row>
    <row r="75" spans="1:8" ht="20.100000000000001" customHeight="1" x14ac:dyDescent="0.45">
      <c r="A75" s="494">
        <v>46096</v>
      </c>
      <c r="B75" s="80" t="s">
        <v>67</v>
      </c>
      <c r="C75" s="81" t="s">
        <v>62</v>
      </c>
      <c r="D75" s="401">
        <v>10</v>
      </c>
      <c r="E75" s="82">
        <v>22000</v>
      </c>
      <c r="F75" s="82">
        <f>[1]Бозорлик!$D75*[1]Бозорлик!$E75</f>
        <v>220000</v>
      </c>
      <c r="G75" s="90">
        <f>IF(A75&lt;&gt;"", F75/ VLOOKUP(A75, 'Курс валют'!$A:$D, 4, 0), "")</f>
        <v>18.181818181818183</v>
      </c>
      <c r="H75" s="500"/>
    </row>
    <row r="76" spans="1:8" ht="20.100000000000001" customHeight="1" x14ac:dyDescent="0.45">
      <c r="A76" s="495">
        <v>46096</v>
      </c>
      <c r="B76" s="77" t="s">
        <v>81</v>
      </c>
      <c r="C76" s="78" t="s">
        <v>62</v>
      </c>
      <c r="D76" s="402">
        <v>10</v>
      </c>
      <c r="E76" s="79">
        <v>23000</v>
      </c>
      <c r="F76" s="79">
        <f>[1]Бозорлик!$D76*[1]Бозорлик!$E76</f>
        <v>230000</v>
      </c>
      <c r="G76" s="90">
        <f>IF(A76&lt;&gt;"", F76/ VLOOKUP(A76, 'Курс валют'!$A:$D, 4, 0), "")</f>
        <v>19.008264462809919</v>
      </c>
      <c r="H76" s="500"/>
    </row>
    <row r="77" spans="1:8" ht="20.100000000000001" customHeight="1" x14ac:dyDescent="0.45">
      <c r="A77" s="494">
        <v>46096</v>
      </c>
      <c r="B77" s="80" t="s">
        <v>89</v>
      </c>
      <c r="C77" s="81" t="s">
        <v>59</v>
      </c>
      <c r="D77" s="401">
        <v>2</v>
      </c>
      <c r="E77" s="82">
        <v>70000</v>
      </c>
      <c r="F77" s="82">
        <f>[1]Бозорлик!$D77*[1]Бозорлик!$E77</f>
        <v>140000</v>
      </c>
      <c r="G77" s="90">
        <f>IF(A77&lt;&gt;"", F77/ VLOOKUP(A77, 'Курс валют'!$A:$D, 4, 0), "")</f>
        <v>11.570247933884298</v>
      </c>
      <c r="H77" s="500"/>
    </row>
    <row r="78" spans="1:8" ht="20.100000000000001" customHeight="1" x14ac:dyDescent="0.45">
      <c r="A78" s="495">
        <v>46096</v>
      </c>
      <c r="B78" s="77" t="s">
        <v>70</v>
      </c>
      <c r="C78" s="78" t="s">
        <v>59</v>
      </c>
      <c r="D78" s="402">
        <v>12</v>
      </c>
      <c r="E78" s="79">
        <v>12500</v>
      </c>
      <c r="F78" s="79">
        <f>[1]Бозорлик!$D78*[1]Бозорлик!$E78</f>
        <v>150000</v>
      </c>
      <c r="G78" s="90">
        <f>IF(A78&lt;&gt;"", F78/ VLOOKUP(A78, 'Курс валют'!$A:$D, 4, 0), "")</f>
        <v>12.396694214876034</v>
      </c>
      <c r="H78" s="500"/>
    </row>
    <row r="79" spans="1:8" ht="20.100000000000001" customHeight="1" x14ac:dyDescent="0.45">
      <c r="A79" s="494">
        <v>46096</v>
      </c>
      <c r="B79" s="80" t="s">
        <v>68</v>
      </c>
      <c r="C79" s="81" t="s">
        <v>69</v>
      </c>
      <c r="D79" s="401">
        <v>2</v>
      </c>
      <c r="E79" s="82">
        <v>35000</v>
      </c>
      <c r="F79" s="82">
        <f>[1]Бозорлик!$D79*[1]Бозорлик!$E79</f>
        <v>70000</v>
      </c>
      <c r="G79" s="90">
        <f>IF(A79&lt;&gt;"", F79/ VLOOKUP(A79, 'Курс валют'!$A:$D, 4, 0), "")</f>
        <v>5.785123966942149</v>
      </c>
      <c r="H79" s="500"/>
    </row>
    <row r="80" spans="1:8" ht="20.100000000000001" customHeight="1" x14ac:dyDescent="0.45">
      <c r="A80" s="495">
        <v>46096</v>
      </c>
      <c r="B80" s="77" t="s">
        <v>77</v>
      </c>
      <c r="C80" s="78" t="s">
        <v>59</v>
      </c>
      <c r="D80" s="402">
        <v>2</v>
      </c>
      <c r="E80" s="79">
        <v>30000</v>
      </c>
      <c r="F80" s="79">
        <f>[1]Бозорлик!$D80*[1]Бозорлик!$E80</f>
        <v>60000</v>
      </c>
      <c r="G80" s="90">
        <f>IF(A80&lt;&gt;"", F80/ VLOOKUP(A80, 'Курс валют'!$A:$D, 4, 0), "")</f>
        <v>4.9586776859504136</v>
      </c>
      <c r="H80" s="500"/>
    </row>
    <row r="81" spans="1:8" ht="20.100000000000001" customHeight="1" x14ac:dyDescent="0.45">
      <c r="A81" s="494">
        <v>46096</v>
      </c>
      <c r="B81" s="80" t="s">
        <v>58</v>
      </c>
      <c r="C81" s="81" t="s">
        <v>59</v>
      </c>
      <c r="D81" s="401">
        <v>114.16</v>
      </c>
      <c r="E81" s="82">
        <v>6000</v>
      </c>
      <c r="F81" s="82">
        <f>[1]Бозорлик!$D81*[1]Бозорлик!$E81</f>
        <v>684960</v>
      </c>
      <c r="G81" s="90">
        <f>IF(A81&lt;&gt;"", F81/ VLOOKUP(A81, 'Курс валют'!$A:$D, 4, 0), "")</f>
        <v>56.60826446280992</v>
      </c>
      <c r="H81" s="500"/>
    </row>
    <row r="82" spans="1:8" ht="20.100000000000001" customHeight="1" x14ac:dyDescent="0.45">
      <c r="A82" s="497" t="s">
        <v>102</v>
      </c>
      <c r="B82" s="80"/>
      <c r="C82" s="81"/>
      <c r="D82" s="401"/>
      <c r="E82" s="82"/>
      <c r="F82" s="82">
        <f>SUBTOTAL(9,F74:F81)</f>
        <v>2274960</v>
      </c>
      <c r="G82" s="90" t="e">
        <f>IF(A82&lt;&gt;"", F82/ VLOOKUP(A82, 'Курс валют'!$A:$D, 4, 0), "")</f>
        <v>#N/A</v>
      </c>
      <c r="H82" s="500"/>
    </row>
    <row r="83" spans="1:8" ht="20.100000000000001" customHeight="1" x14ac:dyDescent="0.45">
      <c r="A83" s="494">
        <v>46097</v>
      </c>
      <c r="B83" s="80" t="s">
        <v>82</v>
      </c>
      <c r="C83" s="81" t="s">
        <v>59</v>
      </c>
      <c r="D83" s="401">
        <v>25</v>
      </c>
      <c r="E83" s="82">
        <v>100000</v>
      </c>
      <c r="F83" s="79">
        <f>[1]Бозорлик!$D83*[1]Бозорлик!$E83</f>
        <v>2500000</v>
      </c>
      <c r="G83" s="90">
        <f>IF(A83&lt;&gt;"", F83/ VLOOKUP(A83, 'Курс валют'!$A:$D, 4, 0), "")</f>
        <v>208.33333333333334</v>
      </c>
      <c r="H83" s="500"/>
    </row>
    <row r="84" spans="1:8" ht="20.100000000000001" customHeight="1" x14ac:dyDescent="0.45">
      <c r="A84" s="497" t="s">
        <v>103</v>
      </c>
      <c r="B84" s="80"/>
      <c r="C84" s="81"/>
      <c r="D84" s="401"/>
      <c r="E84" s="82"/>
      <c r="F84" s="79">
        <f>SUBTOTAL(9,F83:F83)</f>
        <v>2500000</v>
      </c>
      <c r="G84" s="90" t="e">
        <f>IF(A84&lt;&gt;"", F84/ VLOOKUP(A84, 'Курс валют'!$A:$D, 4, 0), "")</f>
        <v>#N/A</v>
      </c>
      <c r="H84" s="500"/>
    </row>
    <row r="85" spans="1:8" ht="20.100000000000001" customHeight="1" x14ac:dyDescent="0.45">
      <c r="A85" s="495">
        <v>46102</v>
      </c>
      <c r="B85" s="77" t="s">
        <v>63</v>
      </c>
      <c r="C85" s="78" t="s">
        <v>59</v>
      </c>
      <c r="D85" s="402">
        <v>45</v>
      </c>
      <c r="E85" s="79">
        <v>6000</v>
      </c>
      <c r="F85" s="79">
        <f>[1]Бозорлик!$D85*[1]Бозорлик!$E85</f>
        <v>270000</v>
      </c>
      <c r="G85" s="90">
        <f>IF(A85&lt;&gt;"", F85/ VLOOKUP(A85, 'Курс валют'!$A:$D, 4, 0), "")</f>
        <v>22.350993377483444</v>
      </c>
      <c r="H85" s="500"/>
    </row>
    <row r="86" spans="1:8" ht="20.100000000000001" customHeight="1" x14ac:dyDescent="0.45">
      <c r="A86" s="494">
        <v>46102</v>
      </c>
      <c r="B86" s="80" t="s">
        <v>76</v>
      </c>
      <c r="C86" s="81" t="s">
        <v>59</v>
      </c>
      <c r="D86" s="401">
        <v>10</v>
      </c>
      <c r="E86" s="82">
        <v>48000</v>
      </c>
      <c r="F86" s="82">
        <f>[1]Бозорлик!$D86*[1]Бозорлик!$E86</f>
        <v>480000</v>
      </c>
      <c r="G86" s="90">
        <f>IF(A86&lt;&gt;"", F86/ VLOOKUP(A86, 'Курс валют'!$A:$D, 4, 0), "")</f>
        <v>39.735099337748345</v>
      </c>
      <c r="H86" s="500"/>
    </row>
    <row r="87" spans="1:8" ht="20.100000000000001" customHeight="1" x14ac:dyDescent="0.45">
      <c r="A87" s="495">
        <v>46102</v>
      </c>
      <c r="B87" s="77" t="s">
        <v>74</v>
      </c>
      <c r="C87" s="78" t="s">
        <v>75</v>
      </c>
      <c r="D87" s="402">
        <v>15</v>
      </c>
      <c r="E87" s="79">
        <v>48000</v>
      </c>
      <c r="F87" s="79">
        <f>[1]Бозорлик!$D87*[1]Бозорлик!$E87</f>
        <v>720000</v>
      </c>
      <c r="G87" s="90">
        <f>IF(A87&lt;&gt;"", F87/ VLOOKUP(A87, 'Курс валют'!$A:$D, 4, 0), "")</f>
        <v>59.602649006622514</v>
      </c>
      <c r="H87" s="500"/>
    </row>
    <row r="88" spans="1:8" ht="20.100000000000001" customHeight="1" x14ac:dyDescent="0.45">
      <c r="A88" s="494">
        <v>46102</v>
      </c>
      <c r="B88" s="80" t="s">
        <v>104</v>
      </c>
      <c r="C88" s="81" t="s">
        <v>59</v>
      </c>
      <c r="D88" s="401">
        <v>20</v>
      </c>
      <c r="E88" s="82">
        <v>15000</v>
      </c>
      <c r="F88" s="82">
        <f>[1]Бозорлик!$D88*[1]Бозорлик!$E88</f>
        <v>300000</v>
      </c>
      <c r="G88" s="90">
        <f>IF(A88&lt;&gt;"", F88/ VLOOKUP(A88, 'Курс валют'!$A:$D, 4, 0), "")</f>
        <v>24.834437086092716</v>
      </c>
      <c r="H88" s="500"/>
    </row>
    <row r="89" spans="1:8" ht="20.100000000000001" customHeight="1" x14ac:dyDescent="0.45">
      <c r="A89" s="495">
        <v>46102</v>
      </c>
      <c r="B89" s="77" t="s">
        <v>71</v>
      </c>
      <c r="C89" s="78" t="s">
        <v>59</v>
      </c>
      <c r="D89" s="402">
        <v>60</v>
      </c>
      <c r="E89" s="79">
        <v>8500</v>
      </c>
      <c r="F89" s="79">
        <f>[1]Бозорлик!$D89*[1]Бозорлик!$E89</f>
        <v>510000</v>
      </c>
      <c r="G89" s="90">
        <f>IF(A89&lt;&gt;"", F89/ VLOOKUP(A89, 'Курс валют'!$A:$D, 4, 0), "")</f>
        <v>42.218543046357617</v>
      </c>
      <c r="H89" s="500"/>
    </row>
    <row r="90" spans="1:8" ht="20.100000000000001" customHeight="1" x14ac:dyDescent="0.45">
      <c r="A90" s="494">
        <v>46102</v>
      </c>
      <c r="B90" s="80" t="s">
        <v>60</v>
      </c>
      <c r="C90" s="81" t="s">
        <v>59</v>
      </c>
      <c r="D90" s="401">
        <v>34</v>
      </c>
      <c r="E90" s="82">
        <v>4000</v>
      </c>
      <c r="F90" s="82">
        <f>[1]Бозорлик!$D90*[1]Бозорлик!$E90</f>
        <v>136000</v>
      </c>
      <c r="G90" s="90">
        <f>IF(A90&lt;&gt;"", F90/ VLOOKUP(A90, 'Курс валют'!$A:$D, 4, 0), "")</f>
        <v>11.258278145695364</v>
      </c>
      <c r="H90" s="500"/>
    </row>
    <row r="91" spans="1:8" ht="20.100000000000001" customHeight="1" x14ac:dyDescent="0.45">
      <c r="A91" s="495">
        <v>46102</v>
      </c>
      <c r="B91" s="77" t="s">
        <v>67</v>
      </c>
      <c r="C91" s="78" t="s">
        <v>62</v>
      </c>
      <c r="D91" s="402">
        <v>5</v>
      </c>
      <c r="E91" s="79">
        <v>24000</v>
      </c>
      <c r="F91" s="79">
        <f>[1]Бозорлик!$D91*[1]Бозорлик!$E91</f>
        <v>120000</v>
      </c>
      <c r="G91" s="90">
        <f>IF(A91&lt;&gt;"", F91/ VLOOKUP(A91, 'Курс валют'!$A:$D, 4, 0), "")</f>
        <v>9.9337748344370862</v>
      </c>
      <c r="H91" s="500"/>
    </row>
    <row r="92" spans="1:8" ht="20.100000000000001" customHeight="1" x14ac:dyDescent="0.45">
      <c r="A92" s="494">
        <v>46102</v>
      </c>
      <c r="B92" s="80" t="s">
        <v>81</v>
      </c>
      <c r="C92" s="81" t="s">
        <v>62</v>
      </c>
      <c r="D92" s="401">
        <v>5</v>
      </c>
      <c r="E92" s="82">
        <v>24000</v>
      </c>
      <c r="F92" s="82">
        <f>[1]Бозорлик!$D92*[1]Бозорлик!$E92</f>
        <v>120000</v>
      </c>
      <c r="G92" s="90">
        <f>IF(A92&lt;&gt;"", F92/ VLOOKUP(A92, 'Курс валют'!$A:$D, 4, 0), "")</f>
        <v>9.9337748344370862</v>
      </c>
      <c r="H92" s="500"/>
    </row>
    <row r="93" spans="1:8" ht="20.100000000000001" customHeight="1" x14ac:dyDescent="0.45">
      <c r="A93" s="495">
        <v>46102</v>
      </c>
      <c r="B93" s="77" t="s">
        <v>78</v>
      </c>
      <c r="C93" s="78" t="s">
        <v>59</v>
      </c>
      <c r="D93" s="402">
        <v>20</v>
      </c>
      <c r="E93" s="79">
        <v>17000</v>
      </c>
      <c r="F93" s="79">
        <f>[1]Бозорлик!$D93*[1]Бозорлик!$E93</f>
        <v>340000</v>
      </c>
      <c r="G93" s="90">
        <f>IF(A93&lt;&gt;"", F93/ VLOOKUP(A93, 'Курс валют'!$A:$D, 4, 0), "")</f>
        <v>28.14569536423841</v>
      </c>
      <c r="H93" s="500"/>
    </row>
    <row r="94" spans="1:8" ht="20.100000000000001" customHeight="1" x14ac:dyDescent="0.45">
      <c r="A94" s="494">
        <v>46102</v>
      </c>
      <c r="B94" s="80" t="s">
        <v>89</v>
      </c>
      <c r="C94" s="81" t="s">
        <v>59</v>
      </c>
      <c r="D94" s="401">
        <v>2</v>
      </c>
      <c r="E94" s="82">
        <v>70000</v>
      </c>
      <c r="F94" s="82">
        <f>[1]Бозорлик!$D94*[1]Бозорлик!$E94</f>
        <v>140000</v>
      </c>
      <c r="G94" s="90">
        <f>IF(A94&lt;&gt;"", F94/ VLOOKUP(A94, 'Курс валют'!$A:$D, 4, 0), "")</f>
        <v>11.589403973509933</v>
      </c>
      <c r="H94" s="500"/>
    </row>
    <row r="95" spans="1:8" ht="20.100000000000001" customHeight="1" x14ac:dyDescent="0.45">
      <c r="A95" s="497" t="s">
        <v>105</v>
      </c>
      <c r="B95" s="80"/>
      <c r="C95" s="81"/>
      <c r="D95" s="401"/>
      <c r="E95" s="82"/>
      <c r="F95" s="82">
        <f>SUBTOTAL(9,F85:F94)</f>
        <v>3136000</v>
      </c>
      <c r="G95" s="90" t="e">
        <f>IF(A95&lt;&gt;"", F95/ VLOOKUP(A95, 'Курс валют'!$A:$D, 4, 0), "")</f>
        <v>#N/A</v>
      </c>
      <c r="H95" s="500"/>
    </row>
    <row r="96" spans="1:8" ht="20.100000000000001" customHeight="1" x14ac:dyDescent="0.45">
      <c r="A96" s="494">
        <v>46106</v>
      </c>
      <c r="B96" s="80" t="s">
        <v>82</v>
      </c>
      <c r="C96" s="81" t="s">
        <v>59</v>
      </c>
      <c r="D96" s="401">
        <v>25</v>
      </c>
      <c r="E96" s="82">
        <v>100000</v>
      </c>
      <c r="F96" s="82">
        <f>[1]Бозорлик!$D96*[1]Бозорлик!$E96</f>
        <v>2500000</v>
      </c>
      <c r="G96" s="90">
        <f>IF(A96&lt;&gt;"", F96/ VLOOKUP(A96, 'Курс валют'!$A:$D, 4, 0), "")</f>
        <v>204.75020475020474</v>
      </c>
      <c r="H96" s="500"/>
    </row>
    <row r="97" spans="1:8" ht="20.100000000000001" customHeight="1" x14ac:dyDescent="0.45">
      <c r="A97" s="497" t="s">
        <v>106</v>
      </c>
      <c r="B97" s="80"/>
      <c r="C97" s="81"/>
      <c r="D97" s="401"/>
      <c r="E97" s="82"/>
      <c r="F97" s="82">
        <f>SUBTOTAL(9,F96:F96)</f>
        <v>2500000</v>
      </c>
      <c r="G97" s="90" t="e">
        <f>IF(A97&lt;&gt;"", F97/ VLOOKUP(A97, 'Курс валют'!$A:$D, 4, 0), "")</f>
        <v>#N/A</v>
      </c>
      <c r="H97" s="500"/>
    </row>
    <row r="98" spans="1:8" ht="20.100000000000001" customHeight="1" x14ac:dyDescent="0.45">
      <c r="A98" s="495">
        <v>46111</v>
      </c>
      <c r="B98" s="77" t="s">
        <v>74</v>
      </c>
      <c r="C98" s="78" t="s">
        <v>75</v>
      </c>
      <c r="D98" s="402">
        <v>15</v>
      </c>
      <c r="E98" s="79">
        <v>48000</v>
      </c>
      <c r="F98" s="79">
        <f>[1]Бозорлик!$D98*[1]Бозорлик!$E98</f>
        <v>720000</v>
      </c>
      <c r="G98" s="90">
        <f>IF(A98&lt;&gt;"", F98/ VLOOKUP(A98, 'Курс валют'!$A:$D, 4, 0), "")</f>
        <v>59.504132231404959</v>
      </c>
      <c r="H98" s="500"/>
    </row>
    <row r="99" spans="1:8" ht="20.100000000000001" customHeight="1" x14ac:dyDescent="0.45">
      <c r="A99" s="494">
        <v>46111</v>
      </c>
      <c r="B99" s="80" t="s">
        <v>67</v>
      </c>
      <c r="C99" s="81" t="s">
        <v>62</v>
      </c>
      <c r="D99" s="401">
        <v>15</v>
      </c>
      <c r="E99" s="82">
        <v>24000</v>
      </c>
      <c r="F99" s="82">
        <f>[1]Бозорлик!$D99*[1]Бозорлик!$E99</f>
        <v>360000</v>
      </c>
      <c r="G99" s="90">
        <f>IF(A99&lt;&gt;"", F99/ VLOOKUP(A99, 'Курс валют'!$A:$D, 4, 0), "")</f>
        <v>29.75206611570248</v>
      </c>
      <c r="H99" s="500"/>
    </row>
    <row r="100" spans="1:8" ht="20.100000000000001" customHeight="1" x14ac:dyDescent="0.45">
      <c r="A100" s="495">
        <v>46111</v>
      </c>
      <c r="B100" s="77" t="s">
        <v>81</v>
      </c>
      <c r="C100" s="78" t="s">
        <v>62</v>
      </c>
      <c r="D100" s="402">
        <v>10</v>
      </c>
      <c r="E100" s="79">
        <v>26000</v>
      </c>
      <c r="F100" s="79">
        <f>[1]Бозорлик!$D100*[1]Бозорлик!$E100</f>
        <v>260000</v>
      </c>
      <c r="G100" s="90">
        <f>IF(A100&lt;&gt;"", F100/ VLOOKUP(A100, 'Курс валют'!$A:$D, 4, 0), "")</f>
        <v>21.487603305785125</v>
      </c>
      <c r="H100" s="500"/>
    </row>
    <row r="101" spans="1:8" ht="20.100000000000001" customHeight="1" x14ac:dyDescent="0.45">
      <c r="A101" s="494">
        <v>46111</v>
      </c>
      <c r="B101" s="80" t="s">
        <v>70</v>
      </c>
      <c r="C101" s="81" t="s">
        <v>59</v>
      </c>
      <c r="D101" s="401">
        <v>10</v>
      </c>
      <c r="E101" s="82">
        <v>13000</v>
      </c>
      <c r="F101" s="82">
        <f>[1]Бозорлик!$D101*[1]Бозорлик!$E101</f>
        <v>130000</v>
      </c>
      <c r="G101" s="90">
        <f>IF(A101&lt;&gt;"", F101/ VLOOKUP(A101, 'Курс валют'!$A:$D, 4, 0), "")</f>
        <v>10.743801652892563</v>
      </c>
      <c r="H101" s="500"/>
    </row>
    <row r="102" spans="1:8" ht="20.100000000000001" customHeight="1" x14ac:dyDescent="0.45">
      <c r="A102" s="495">
        <v>46111</v>
      </c>
      <c r="B102" s="77" t="s">
        <v>58</v>
      </c>
      <c r="C102" s="78" t="s">
        <v>59</v>
      </c>
      <c r="D102" s="402">
        <v>117.7</v>
      </c>
      <c r="E102" s="79">
        <v>6500</v>
      </c>
      <c r="F102" s="79">
        <f>[1]Бозорлик!$D102*[1]Бозорлик!$E102</f>
        <v>765050</v>
      </c>
      <c r="G102" s="90">
        <f>IF(A102&lt;&gt;"", F102/ VLOOKUP(A102, 'Курс валют'!$A:$D, 4, 0), "")</f>
        <v>63.227272727272727</v>
      </c>
      <c r="H102" s="500"/>
    </row>
    <row r="103" spans="1:8" ht="20.100000000000001" customHeight="1" x14ac:dyDescent="0.45">
      <c r="A103" s="494">
        <v>46111</v>
      </c>
      <c r="B103" s="80" t="s">
        <v>76</v>
      </c>
      <c r="C103" s="81" t="s">
        <v>59</v>
      </c>
      <c r="D103" s="401">
        <v>10</v>
      </c>
      <c r="E103" s="82">
        <v>48000</v>
      </c>
      <c r="F103" s="82">
        <f>[1]Бозорлик!$D103*[1]Бозорлик!$E103</f>
        <v>480000</v>
      </c>
      <c r="G103" s="90">
        <f>IF(A103&lt;&gt;"", F103/ VLOOKUP(A103, 'Курс валют'!$A:$D, 4, 0), "")</f>
        <v>39.669421487603309</v>
      </c>
      <c r="H103" s="500"/>
    </row>
    <row r="104" spans="1:8" ht="20.100000000000001" customHeight="1" x14ac:dyDescent="0.45">
      <c r="A104" s="495">
        <v>46111</v>
      </c>
      <c r="B104" s="77" t="s">
        <v>107</v>
      </c>
      <c r="C104" s="78" t="s">
        <v>59</v>
      </c>
      <c r="D104" s="402">
        <v>48.33</v>
      </c>
      <c r="E104" s="79">
        <v>6000</v>
      </c>
      <c r="F104" s="79">
        <f>[1]Бозорлик!$D104*[1]Бозорлик!$E104</f>
        <v>289980</v>
      </c>
      <c r="G104" s="90">
        <f>IF(A104&lt;&gt;"", F104/ VLOOKUP(A104, 'Курс валют'!$A:$D, 4, 0), "")</f>
        <v>23.965289256198346</v>
      </c>
      <c r="H104" s="500"/>
    </row>
    <row r="105" spans="1:8" ht="20.100000000000001" customHeight="1" x14ac:dyDescent="0.45">
      <c r="A105" s="494">
        <v>46111</v>
      </c>
      <c r="B105" s="80" t="s">
        <v>108</v>
      </c>
      <c r="C105" s="81" t="s">
        <v>59</v>
      </c>
      <c r="D105" s="401">
        <v>5</v>
      </c>
      <c r="E105" s="82">
        <v>22222.22</v>
      </c>
      <c r="F105" s="82">
        <f>[1]Бозорлик!$D105*[1]Бозорлик!$E105</f>
        <v>111111.1</v>
      </c>
      <c r="G105" s="90">
        <f>IF(A105&lt;&gt;"", F105/ VLOOKUP(A105, 'Курс валют'!$A:$D, 4, 0), "")</f>
        <v>9.1827355371900836</v>
      </c>
      <c r="H105" s="500"/>
    </row>
    <row r="106" spans="1:8" ht="20.100000000000001" customHeight="1" x14ac:dyDescent="0.45">
      <c r="A106" s="495">
        <v>46111</v>
      </c>
      <c r="B106" s="77" t="s">
        <v>109</v>
      </c>
      <c r="C106" s="78" t="s">
        <v>59</v>
      </c>
      <c r="D106" s="402">
        <v>2</v>
      </c>
      <c r="E106" s="79">
        <v>22222.22</v>
      </c>
      <c r="F106" s="79">
        <f>[1]Бозорлик!$D106*[1]Бозорлик!$E106</f>
        <v>44444.44</v>
      </c>
      <c r="G106" s="90">
        <f>IF(A106&lt;&gt;"", F106/ VLOOKUP(A106, 'Курс валют'!$A:$D, 4, 0), "")</f>
        <v>3.6730942148760333</v>
      </c>
      <c r="H106" s="500"/>
    </row>
    <row r="107" spans="1:8" ht="20.100000000000001" customHeight="1" x14ac:dyDescent="0.45">
      <c r="A107" s="494">
        <v>46111</v>
      </c>
      <c r="B107" s="80" t="s">
        <v>110</v>
      </c>
      <c r="C107" s="81" t="s">
        <v>59</v>
      </c>
      <c r="D107" s="401">
        <v>0.5</v>
      </c>
      <c r="E107" s="82">
        <v>50000</v>
      </c>
      <c r="F107" s="82">
        <f>[1]Бозорлик!$D107*[1]Бозорлик!$E107</f>
        <v>25000</v>
      </c>
      <c r="G107" s="90">
        <f>IF(A107&lt;&gt;"", F107/ VLOOKUP(A107, 'Курс валют'!$A:$D, 4, 0), "")</f>
        <v>2.0661157024793386</v>
      </c>
      <c r="H107" s="500"/>
    </row>
    <row r="108" spans="1:8" ht="20.100000000000001" customHeight="1" x14ac:dyDescent="0.45">
      <c r="A108" s="495">
        <v>46111</v>
      </c>
      <c r="B108" s="77" t="s">
        <v>77</v>
      </c>
      <c r="C108" s="78" t="s">
        <v>59</v>
      </c>
      <c r="D108" s="402">
        <v>2</v>
      </c>
      <c r="E108" s="79">
        <v>30000</v>
      </c>
      <c r="F108" s="79">
        <f>[1]Бозорлик!$D108*[1]Бозорлик!$E108</f>
        <v>60000</v>
      </c>
      <c r="G108" s="90">
        <f>IF(A108&lt;&gt;"", F108/ VLOOKUP(A108, 'Курс валют'!$A:$D, 4, 0), "")</f>
        <v>4.9586776859504136</v>
      </c>
      <c r="H108" s="500"/>
    </row>
    <row r="109" spans="1:8" ht="20.100000000000001" customHeight="1" x14ac:dyDescent="0.45">
      <c r="A109" s="494">
        <v>46111</v>
      </c>
      <c r="B109" s="80" t="s">
        <v>68</v>
      </c>
      <c r="C109" s="81" t="s">
        <v>69</v>
      </c>
      <c r="D109" s="401">
        <v>2</v>
      </c>
      <c r="E109" s="82">
        <v>35000</v>
      </c>
      <c r="F109" s="82">
        <f>[1]Бозорлик!$D109*[1]Бозорлик!$E109</f>
        <v>70000</v>
      </c>
      <c r="G109" s="90">
        <f>IF(A109&lt;&gt;"", F109/ VLOOKUP(A109, 'Курс валют'!$A:$D, 4, 0), "")</f>
        <v>5.785123966942149</v>
      </c>
      <c r="H109" s="500"/>
    </row>
    <row r="110" spans="1:8" ht="20.100000000000001" customHeight="1" x14ac:dyDescent="0.45">
      <c r="A110" s="494">
        <v>46111</v>
      </c>
      <c r="B110" s="80" t="s">
        <v>91</v>
      </c>
      <c r="C110" s="81" t="s">
        <v>65</v>
      </c>
      <c r="D110" s="401">
        <v>1</v>
      </c>
      <c r="E110" s="82">
        <v>45000</v>
      </c>
      <c r="F110" s="82">
        <f>[1]Бозорлик!$D110*[1]Бозорлик!$E110</f>
        <v>45000</v>
      </c>
      <c r="G110" s="90">
        <f>IF(A110&lt;&gt;"", F110/ VLOOKUP(A110, 'Курс валют'!$A:$D, 4, 0), "")</f>
        <v>3.71900826446281</v>
      </c>
      <c r="H110" s="500"/>
    </row>
    <row r="111" spans="1:8" ht="20.100000000000001" customHeight="1" x14ac:dyDescent="0.45">
      <c r="A111" s="494">
        <v>46111</v>
      </c>
      <c r="B111" s="80" t="s">
        <v>82</v>
      </c>
      <c r="C111" s="81" t="s">
        <v>59</v>
      </c>
      <c r="D111" s="401">
        <v>28</v>
      </c>
      <c r="E111" s="82">
        <v>100000</v>
      </c>
      <c r="F111" s="82">
        <f>[1]Бозорлик!$D111*[1]Бозорлик!$E111</f>
        <v>2800000</v>
      </c>
      <c r="G111" s="90">
        <f>IF(A111&lt;&gt;"", F111/ VLOOKUP(A111, 'Курс валют'!$A:$D, 4, 0), "")</f>
        <v>231.40495867768595</v>
      </c>
      <c r="H111" s="500"/>
    </row>
    <row r="112" spans="1:8" ht="20.100000000000001" customHeight="1" x14ac:dyDescent="0.45">
      <c r="A112" s="497" t="s">
        <v>111</v>
      </c>
      <c r="B112" s="80"/>
      <c r="C112" s="81"/>
      <c r="D112" s="401"/>
      <c r="E112" s="82"/>
      <c r="F112" s="82">
        <f>SUBTOTAL(9,F98:F111)</f>
        <v>6160585.54</v>
      </c>
      <c r="G112" s="90" t="e">
        <f>IF(A112&lt;&gt;"", F112/ VLOOKUP(A112, 'Курс валют'!$A:$D, 4, 0), "")</f>
        <v>#N/A</v>
      </c>
      <c r="H112" s="500"/>
    </row>
    <row r="113" spans="1:8" ht="20.100000000000001" customHeight="1" x14ac:dyDescent="0.45">
      <c r="A113" s="495">
        <v>46116</v>
      </c>
      <c r="B113" s="77" t="s">
        <v>74</v>
      </c>
      <c r="C113" s="78" t="s">
        <v>75</v>
      </c>
      <c r="D113" s="402">
        <v>10</v>
      </c>
      <c r="E113" s="79">
        <v>48000</v>
      </c>
      <c r="F113" s="79">
        <f>[1]Бозорлик!$D113*[1]Бозорлик!$E113</f>
        <v>480000</v>
      </c>
      <c r="G113" s="90">
        <f>IF(A113&lt;&gt;"", F113/ VLOOKUP(A113, 'Курс валют'!$A:$D, 4, 0), "")</f>
        <v>40</v>
      </c>
      <c r="H113" s="500"/>
    </row>
    <row r="114" spans="1:8" ht="20.100000000000001" customHeight="1" x14ac:dyDescent="0.45">
      <c r="A114" s="494">
        <v>46116</v>
      </c>
      <c r="B114" s="80" t="s">
        <v>60</v>
      </c>
      <c r="C114" s="81" t="s">
        <v>59</v>
      </c>
      <c r="D114" s="401">
        <v>20</v>
      </c>
      <c r="E114" s="82">
        <v>4000</v>
      </c>
      <c r="F114" s="82">
        <f>[1]Бозорлик!$D114*[1]Бозорлик!$E114</f>
        <v>80000</v>
      </c>
      <c r="G114" s="90">
        <f>IF(A114&lt;&gt;"", F114/ VLOOKUP(A114, 'Курс валют'!$A:$D, 4, 0), "")</f>
        <v>6.666666666666667</v>
      </c>
      <c r="H114" s="500"/>
    </row>
    <row r="115" spans="1:8" ht="20.100000000000001" customHeight="1" x14ac:dyDescent="0.45">
      <c r="A115" s="495">
        <v>46116</v>
      </c>
      <c r="B115" s="77" t="s">
        <v>77</v>
      </c>
      <c r="C115" s="78" t="s">
        <v>59</v>
      </c>
      <c r="D115" s="402">
        <v>2</v>
      </c>
      <c r="E115" s="79">
        <v>30000</v>
      </c>
      <c r="F115" s="79">
        <f>[1]Бозорлик!$D115*[1]Бозорлик!$E115</f>
        <v>60000</v>
      </c>
      <c r="G115" s="90">
        <f>IF(A115&lt;&gt;"", F115/ VLOOKUP(A115, 'Курс валют'!$A:$D, 4, 0), "")</f>
        <v>5</v>
      </c>
      <c r="H115" s="500"/>
    </row>
    <row r="116" spans="1:8" ht="20.100000000000001" customHeight="1" x14ac:dyDescent="0.45">
      <c r="A116" s="494">
        <v>46116</v>
      </c>
      <c r="B116" s="80" t="s">
        <v>89</v>
      </c>
      <c r="C116" s="81" t="s">
        <v>59</v>
      </c>
      <c r="D116" s="401">
        <v>2</v>
      </c>
      <c r="E116" s="82">
        <v>70000</v>
      </c>
      <c r="F116" s="82">
        <f>[1]Бозорлик!$D116*[1]Бозорлик!$E116</f>
        <v>140000</v>
      </c>
      <c r="G116" s="90">
        <f>IF(A116&lt;&gt;"", F116/ VLOOKUP(A116, 'Курс валют'!$A:$D, 4, 0), "")</f>
        <v>11.666666666666666</v>
      </c>
      <c r="H116" s="500"/>
    </row>
    <row r="117" spans="1:8" ht="20.100000000000001" customHeight="1" x14ac:dyDescent="0.45">
      <c r="A117" s="495">
        <v>46116</v>
      </c>
      <c r="B117" s="77" t="s">
        <v>112</v>
      </c>
      <c r="C117" s="78" t="s">
        <v>59</v>
      </c>
      <c r="D117" s="402">
        <v>0.5</v>
      </c>
      <c r="E117" s="79">
        <v>100000</v>
      </c>
      <c r="F117" s="79">
        <f>[1]Бозорлик!$D117*[1]Бозорлик!$E117</f>
        <v>50000</v>
      </c>
      <c r="G117" s="90">
        <f>IF(A117&lt;&gt;"", F117/ VLOOKUP(A117, 'Курс валют'!$A:$D, 4, 0), "")</f>
        <v>4.166666666666667</v>
      </c>
      <c r="H117" s="500"/>
    </row>
    <row r="118" spans="1:8" ht="20.100000000000001" customHeight="1" x14ac:dyDescent="0.45">
      <c r="A118" s="494">
        <v>46116</v>
      </c>
      <c r="B118" s="80" t="s">
        <v>78</v>
      </c>
      <c r="C118" s="81" t="s">
        <v>59</v>
      </c>
      <c r="D118" s="401">
        <v>10</v>
      </c>
      <c r="E118" s="82">
        <v>17000</v>
      </c>
      <c r="F118" s="82">
        <f>[1]Бозорлик!$D118*[1]Бозорлик!$E118</f>
        <v>170000</v>
      </c>
      <c r="G118" s="90">
        <f>IF(A118&lt;&gt;"", F118/ VLOOKUP(A118, 'Курс валют'!$A:$D, 4, 0), "")</f>
        <v>14.166666666666666</v>
      </c>
      <c r="H118" s="500"/>
    </row>
    <row r="119" spans="1:8" ht="20.100000000000001" customHeight="1" x14ac:dyDescent="0.45">
      <c r="A119" s="495">
        <v>46116</v>
      </c>
      <c r="B119" s="77" t="s">
        <v>70</v>
      </c>
      <c r="C119" s="78" t="s">
        <v>59</v>
      </c>
      <c r="D119" s="402">
        <v>10</v>
      </c>
      <c r="E119" s="79">
        <v>15000</v>
      </c>
      <c r="F119" s="79">
        <f>[1]Бозорлик!$D119*[1]Бозорлик!$E119</f>
        <v>150000</v>
      </c>
      <c r="G119" s="90">
        <f>IF(A119&lt;&gt;"", F119/ VLOOKUP(A119, 'Курс валют'!$A:$D, 4, 0), "")</f>
        <v>12.5</v>
      </c>
      <c r="H119" s="500"/>
    </row>
    <row r="120" spans="1:8" ht="20.100000000000001" customHeight="1" x14ac:dyDescent="0.45">
      <c r="A120" s="494">
        <v>46116</v>
      </c>
      <c r="B120" s="80" t="s">
        <v>76</v>
      </c>
      <c r="C120" s="81" t="s">
        <v>59</v>
      </c>
      <c r="D120" s="401">
        <v>5</v>
      </c>
      <c r="E120" s="82">
        <v>48000</v>
      </c>
      <c r="F120" s="82">
        <f>[1]Бозорлик!$D120*[1]Бозорлик!$E120</f>
        <v>240000</v>
      </c>
      <c r="G120" s="90">
        <f>IF(A120&lt;&gt;"", F120/ VLOOKUP(A120, 'Курс валют'!$A:$D, 4, 0), "")</f>
        <v>20</v>
      </c>
      <c r="H120" s="500"/>
    </row>
    <row r="121" spans="1:8" ht="20.100000000000001" customHeight="1" x14ac:dyDescent="0.45">
      <c r="A121" s="495">
        <v>46116</v>
      </c>
      <c r="B121" s="77" t="s">
        <v>67</v>
      </c>
      <c r="C121" s="78" t="s">
        <v>62</v>
      </c>
      <c r="D121" s="402">
        <v>5</v>
      </c>
      <c r="E121" s="79">
        <v>24000</v>
      </c>
      <c r="F121" s="79">
        <f>[1]Бозорлик!$D121*[1]Бозорлик!$E121</f>
        <v>120000</v>
      </c>
      <c r="G121" s="90">
        <f>IF(A121&lt;&gt;"", F121/ VLOOKUP(A121, 'Курс валют'!$A:$D, 4, 0), "")</f>
        <v>10</v>
      </c>
      <c r="H121" s="500"/>
    </row>
    <row r="122" spans="1:8" ht="20.100000000000001" customHeight="1" x14ac:dyDescent="0.45">
      <c r="A122" s="494">
        <v>46116</v>
      </c>
      <c r="B122" s="80" t="s">
        <v>81</v>
      </c>
      <c r="C122" s="81" t="s">
        <v>62</v>
      </c>
      <c r="D122" s="401">
        <v>5</v>
      </c>
      <c r="E122" s="82">
        <v>26000</v>
      </c>
      <c r="F122" s="82">
        <f>[1]Бозорлик!$D122*[1]Бозорлик!$E122</f>
        <v>130000</v>
      </c>
      <c r="G122" s="90">
        <f>IF(A122&lt;&gt;"", F122/ VLOOKUP(A122, 'Курс валют'!$A:$D, 4, 0), "")</f>
        <v>10.833333333333334</v>
      </c>
      <c r="H122" s="500"/>
    </row>
    <row r="123" spans="1:8" ht="20.100000000000001" customHeight="1" x14ac:dyDescent="0.45">
      <c r="A123" s="495">
        <v>46116</v>
      </c>
      <c r="B123" s="77" t="s">
        <v>108</v>
      </c>
      <c r="C123" s="78" t="s">
        <v>59</v>
      </c>
      <c r="D123" s="402">
        <v>7</v>
      </c>
      <c r="E123" s="79">
        <v>24285.71</v>
      </c>
      <c r="F123" s="79">
        <f>[1]Бозорлик!$D123*[1]Бозорлик!$E123</f>
        <v>169999.97</v>
      </c>
      <c r="G123" s="90">
        <f>IF(A123&lt;&gt;"", F123/ VLOOKUP(A123, 'Курс валют'!$A:$D, 4, 0), "")</f>
        <v>14.166664166666667</v>
      </c>
      <c r="H123" s="500"/>
    </row>
    <row r="124" spans="1:8" ht="20.100000000000001" customHeight="1" x14ac:dyDescent="0.45">
      <c r="A124" s="494">
        <v>46116</v>
      </c>
      <c r="B124" s="80" t="s">
        <v>113</v>
      </c>
      <c r="C124" s="81" t="s">
        <v>59</v>
      </c>
      <c r="D124" s="401">
        <v>0.5</v>
      </c>
      <c r="E124" s="82">
        <v>150000</v>
      </c>
      <c r="F124" s="82">
        <f>[1]Бозорлик!$D124*[1]Бозорлик!$E124</f>
        <v>75000</v>
      </c>
      <c r="G124" s="90">
        <f>IF(A124&lt;&gt;"", F124/ VLOOKUP(A124, 'Курс валют'!$A:$D, 4, 0), "")</f>
        <v>6.25</v>
      </c>
      <c r="H124" s="500"/>
    </row>
    <row r="125" spans="1:8" ht="20.100000000000001" customHeight="1" x14ac:dyDescent="0.45">
      <c r="A125" s="494">
        <v>46116</v>
      </c>
      <c r="B125" s="80" t="s">
        <v>82</v>
      </c>
      <c r="C125" s="81" t="s">
        <v>59</v>
      </c>
      <c r="D125" s="401">
        <v>25.66</v>
      </c>
      <c r="E125" s="82">
        <v>100000</v>
      </c>
      <c r="F125" s="82">
        <f>[1]Бозорлик!$D125*[1]Бозорлик!$E125</f>
        <v>2566000</v>
      </c>
      <c r="G125" s="90">
        <f>IF(A125&lt;&gt;"", F125/ VLOOKUP(A125, 'Курс валют'!$A:$D, 4, 0), "")</f>
        <v>213.83333333333334</v>
      </c>
      <c r="H125" s="500"/>
    </row>
    <row r="126" spans="1:8" ht="20.100000000000001" customHeight="1" x14ac:dyDescent="0.45">
      <c r="A126" s="494">
        <v>46116</v>
      </c>
      <c r="B126" s="80" t="s">
        <v>91</v>
      </c>
      <c r="C126" s="81" t="s">
        <v>65</v>
      </c>
      <c r="D126" s="401">
        <v>1</v>
      </c>
      <c r="E126" s="82">
        <v>100000</v>
      </c>
      <c r="F126" s="82">
        <v>124000</v>
      </c>
      <c r="G126" s="90">
        <f>IF(A126&lt;&gt;"", F126/ VLOOKUP(A126, 'Курс валют'!$A:$D, 4, 0), "")</f>
        <v>10.333333333333334</v>
      </c>
      <c r="H126" s="500"/>
    </row>
    <row r="127" spans="1:8" ht="20.100000000000001" customHeight="1" x14ac:dyDescent="0.45">
      <c r="A127" s="497" t="s">
        <v>114</v>
      </c>
      <c r="B127" s="80"/>
      <c r="C127" s="81"/>
      <c r="D127" s="401"/>
      <c r="E127" s="82"/>
      <c r="F127" s="82">
        <f>SUBTOTAL(9,F113:F126)</f>
        <v>4554999.97</v>
      </c>
      <c r="G127" s="90" t="e">
        <f>IF(A127&lt;&gt;"", F127/ VLOOKUP(A127, 'Курс валют'!$A:$D, 4, 0), "")</f>
        <v>#N/A</v>
      </c>
      <c r="H127" s="500">
        <f>4554999.97*103%</f>
        <v>4691649.9690999994</v>
      </c>
    </row>
    <row r="128" spans="1:8" ht="20.100000000000001" customHeight="1" x14ac:dyDescent="0.45">
      <c r="A128" s="495">
        <v>46123</v>
      </c>
      <c r="B128" s="77" t="s">
        <v>82</v>
      </c>
      <c r="C128" s="78" t="s">
        <v>75</v>
      </c>
      <c r="D128" s="402">
        <v>20</v>
      </c>
      <c r="E128" s="79">
        <v>48000</v>
      </c>
      <c r="F128" s="79">
        <f>[1]Бозорлик!$D128*[1]Бозорлик!$E128</f>
        <v>960000</v>
      </c>
      <c r="G128" s="90">
        <f>IF(A128&lt;&gt;"", F128/ VLOOKUP(A128, 'Курс валют'!$A:$D, 4, 0), "")</f>
        <v>78.688524590163937</v>
      </c>
      <c r="H128" s="500"/>
    </row>
    <row r="129" spans="1:8" ht="20.100000000000001" customHeight="1" x14ac:dyDescent="0.45">
      <c r="A129" s="495">
        <v>46123</v>
      </c>
      <c r="B129" s="77" t="s">
        <v>74</v>
      </c>
      <c r="C129" s="78" t="s">
        <v>75</v>
      </c>
      <c r="D129" s="402">
        <v>20</v>
      </c>
      <c r="E129" s="79">
        <v>48000</v>
      </c>
      <c r="F129" s="79">
        <f>[1]Бозорлик!$D129*[1]Бозорлик!$E129</f>
        <v>960000</v>
      </c>
      <c r="G129" s="90">
        <f>IF(A129&lt;&gt;"", F129/ VLOOKUP(A129, 'Курс валют'!$A:$D, 4, 0), "")</f>
        <v>78.688524590163937</v>
      </c>
      <c r="H129" s="500"/>
    </row>
    <row r="130" spans="1:8" ht="20.100000000000001" customHeight="1" x14ac:dyDescent="0.45">
      <c r="A130" s="494">
        <v>46123</v>
      </c>
      <c r="B130" s="80" t="s">
        <v>58</v>
      </c>
      <c r="C130" s="81" t="s">
        <v>59</v>
      </c>
      <c r="D130" s="401">
        <v>64</v>
      </c>
      <c r="E130" s="82">
        <v>6500</v>
      </c>
      <c r="F130" s="82">
        <f>[1]Бозорлик!$D130*[1]Бозорлик!$E130</f>
        <v>416000</v>
      </c>
      <c r="G130" s="90">
        <f>IF(A130&lt;&gt;"", F130/ VLOOKUP(A130, 'Курс валют'!$A:$D, 4, 0), "")</f>
        <v>34.098360655737707</v>
      </c>
      <c r="H130" s="500"/>
    </row>
    <row r="131" spans="1:8" ht="20.100000000000001" customHeight="1" x14ac:dyDescent="0.45">
      <c r="A131" s="495">
        <v>46123</v>
      </c>
      <c r="B131" s="77" t="s">
        <v>71</v>
      </c>
      <c r="C131" s="78" t="s">
        <v>59</v>
      </c>
      <c r="D131" s="402">
        <v>52</v>
      </c>
      <c r="E131" s="79">
        <v>8500</v>
      </c>
      <c r="F131" s="79">
        <f>[1]Бозорлик!$D131*[1]Бозорлик!$E131</f>
        <v>442000</v>
      </c>
      <c r="G131" s="90">
        <f>IF(A131&lt;&gt;"", F131/ VLOOKUP(A131, 'Курс валют'!$A:$D, 4, 0), "")</f>
        <v>36.229508196721312</v>
      </c>
      <c r="H131" s="500"/>
    </row>
    <row r="132" spans="1:8" ht="20.100000000000001" customHeight="1" x14ac:dyDescent="0.45">
      <c r="A132" s="494">
        <v>46123</v>
      </c>
      <c r="B132" s="80" t="s">
        <v>76</v>
      </c>
      <c r="C132" s="81" t="s">
        <v>59</v>
      </c>
      <c r="D132" s="401">
        <v>10</v>
      </c>
      <c r="E132" s="82">
        <v>52000</v>
      </c>
      <c r="F132" s="82">
        <f>[1]Бозорлик!$D132*[1]Бозорлик!$E132</f>
        <v>520000</v>
      </c>
      <c r="G132" s="90">
        <f>IF(A132&lt;&gt;"", F132/ VLOOKUP(A132, 'Курс валют'!$A:$D, 4, 0), "")</f>
        <v>42.622950819672134</v>
      </c>
      <c r="H132" s="500"/>
    </row>
    <row r="133" spans="1:8" ht="20.100000000000001" customHeight="1" x14ac:dyDescent="0.45">
      <c r="A133" s="495">
        <v>46123</v>
      </c>
      <c r="B133" s="77" t="s">
        <v>78</v>
      </c>
      <c r="C133" s="78" t="s">
        <v>59</v>
      </c>
      <c r="D133" s="402">
        <v>10</v>
      </c>
      <c r="E133" s="79">
        <v>18000</v>
      </c>
      <c r="F133" s="79">
        <f>[1]Бозорлик!$D133*[1]Бозорлик!$E133</f>
        <v>180000</v>
      </c>
      <c r="G133" s="90">
        <f>IF(A133&lt;&gt;"", F133/ VLOOKUP(A133, 'Курс валют'!$A:$D, 4, 0), "")</f>
        <v>14.754098360655737</v>
      </c>
      <c r="H133" s="500"/>
    </row>
    <row r="134" spans="1:8" ht="20.100000000000001" customHeight="1" x14ac:dyDescent="0.45">
      <c r="A134" s="494">
        <v>46123</v>
      </c>
      <c r="B134" s="80" t="s">
        <v>68</v>
      </c>
      <c r="C134" s="81" t="s">
        <v>69</v>
      </c>
      <c r="D134" s="401">
        <v>2</v>
      </c>
      <c r="E134" s="82">
        <v>35000</v>
      </c>
      <c r="F134" s="82">
        <f>[1]Бозорлик!$D134*[1]Бозорлик!$E134</f>
        <v>70000</v>
      </c>
      <c r="G134" s="90">
        <f>IF(A134&lt;&gt;"", F134/ VLOOKUP(A134, 'Курс валют'!$A:$D, 4, 0), "")</f>
        <v>5.7377049180327866</v>
      </c>
      <c r="H134" s="500"/>
    </row>
    <row r="135" spans="1:8" ht="20.100000000000001" customHeight="1" x14ac:dyDescent="0.45">
      <c r="A135" s="495">
        <v>46123</v>
      </c>
      <c r="B135" s="77" t="s">
        <v>108</v>
      </c>
      <c r="C135" s="78" t="s">
        <v>59</v>
      </c>
      <c r="D135" s="402">
        <v>8</v>
      </c>
      <c r="E135" s="79">
        <v>17500</v>
      </c>
      <c r="F135" s="79">
        <f>[1]Бозорлик!$D135*[1]Бозорлик!$E135</f>
        <v>140000</v>
      </c>
      <c r="G135" s="90">
        <f>IF(A135&lt;&gt;"", F135/ VLOOKUP(A135, 'Курс валют'!$A:$D, 4, 0), "")</f>
        <v>11.475409836065573</v>
      </c>
      <c r="H135" s="500"/>
    </row>
    <row r="136" spans="1:8" ht="20.100000000000001" customHeight="1" x14ac:dyDescent="0.45">
      <c r="A136" s="494">
        <v>46123</v>
      </c>
      <c r="B136" s="80" t="s">
        <v>67</v>
      </c>
      <c r="C136" s="81" t="s">
        <v>62</v>
      </c>
      <c r="D136" s="401">
        <v>10</v>
      </c>
      <c r="E136" s="82">
        <v>24000</v>
      </c>
      <c r="F136" s="82">
        <f>[1]Бозорлик!$D136*[1]Бозорлик!$E136</f>
        <v>240000</v>
      </c>
      <c r="G136" s="90">
        <f>IF(A136&lt;&gt;"", F136/ VLOOKUP(A136, 'Курс валют'!$A:$D, 4, 0), "")</f>
        <v>19.672131147540984</v>
      </c>
      <c r="H136" s="500"/>
    </row>
    <row r="137" spans="1:8" ht="20.100000000000001" customHeight="1" x14ac:dyDescent="0.45">
      <c r="A137" s="495">
        <v>46123</v>
      </c>
      <c r="B137" s="77" t="s">
        <v>81</v>
      </c>
      <c r="C137" s="78" t="s">
        <v>62</v>
      </c>
      <c r="D137" s="402">
        <v>10</v>
      </c>
      <c r="E137" s="79">
        <v>26000</v>
      </c>
      <c r="F137" s="79">
        <f>[1]Бозорлик!$D137*[1]Бозорлик!$E137</f>
        <v>260000</v>
      </c>
      <c r="G137" s="90">
        <f>IF(A137&lt;&gt;"", F137/ VLOOKUP(A137, 'Курс валют'!$A:$D, 4, 0), "")</f>
        <v>21.311475409836067</v>
      </c>
      <c r="H137" s="500"/>
    </row>
    <row r="138" spans="1:8" ht="20.100000000000001" customHeight="1" x14ac:dyDescent="0.45">
      <c r="A138" s="494">
        <v>46123</v>
      </c>
      <c r="B138" s="80" t="s">
        <v>113</v>
      </c>
      <c r="C138" s="81" t="s">
        <v>59</v>
      </c>
      <c r="D138" s="401">
        <v>1</v>
      </c>
      <c r="E138" s="82">
        <v>120000</v>
      </c>
      <c r="F138" s="82">
        <f>[1]Бозорлик!$D138*[1]Бозорлик!$E138</f>
        <v>120000</v>
      </c>
      <c r="G138" s="90">
        <f>IF(A138&lt;&gt;"", F138/ VLOOKUP(A138, 'Курс валют'!$A:$D, 4, 0), "")</f>
        <v>9.8360655737704921</v>
      </c>
      <c r="H138" s="500"/>
    </row>
    <row r="139" spans="1:8" ht="20.100000000000001" customHeight="1" x14ac:dyDescent="0.45">
      <c r="A139" s="494">
        <v>46123</v>
      </c>
      <c r="B139" s="80" t="s">
        <v>82</v>
      </c>
      <c r="C139" s="81" t="s">
        <v>59</v>
      </c>
      <c r="D139" s="401">
        <v>24.88</v>
      </c>
      <c r="E139" s="82">
        <v>110000</v>
      </c>
      <c r="F139" s="82">
        <f>[1]Бозорлик!$D139*[1]Бозорлик!$E139</f>
        <v>2736800</v>
      </c>
      <c r="G139" s="90">
        <f>IF(A139&lt;&gt;"", F139/ VLOOKUP(A139, 'Курс валют'!$A:$D, 4, 0), "")</f>
        <v>224.32786885245901</v>
      </c>
      <c r="H139" s="500"/>
    </row>
    <row r="140" spans="1:8" ht="20.100000000000001" customHeight="1" x14ac:dyDescent="0.45">
      <c r="A140" s="497" t="s">
        <v>115</v>
      </c>
      <c r="B140" s="80"/>
      <c r="C140" s="81"/>
      <c r="D140" s="401"/>
      <c r="E140" s="82"/>
      <c r="F140" s="82">
        <f>SUBTOTAL(9,F128:F139)</f>
        <v>7044800</v>
      </c>
      <c r="G140" s="90" t="e">
        <f>IF(A140&lt;&gt;"", F140/ VLOOKUP(A140, 'Курс валют'!$A:$D, 4, 0), "")</f>
        <v>#N/A</v>
      </c>
      <c r="H140" s="500"/>
    </row>
    <row r="141" spans="1:8" ht="20.100000000000001" customHeight="1" x14ac:dyDescent="0.45">
      <c r="A141" s="495">
        <v>46129</v>
      </c>
      <c r="B141" s="77" t="s">
        <v>82</v>
      </c>
      <c r="C141" s="78" t="s">
        <v>59</v>
      </c>
      <c r="D141" s="402">
        <v>25.72</v>
      </c>
      <c r="E141" s="79">
        <v>115000</v>
      </c>
      <c r="F141" s="79">
        <f>[1]Бозорлик!$D141*[1]Бозорлик!$E141</f>
        <v>2957800</v>
      </c>
      <c r="G141" s="90">
        <f>IF(A141&lt;&gt;"", F141/ VLOOKUP(A141, 'Курс валют'!$A:$D, 4, 0), "")</f>
        <v>242.44262295081967</v>
      </c>
      <c r="H141" s="500"/>
    </row>
    <row r="142" spans="1:8" ht="20.100000000000001" customHeight="1" x14ac:dyDescent="0.45">
      <c r="A142" s="495">
        <v>46129</v>
      </c>
      <c r="B142" s="77" t="s">
        <v>74</v>
      </c>
      <c r="C142" s="78" t="s">
        <v>75</v>
      </c>
      <c r="D142" s="402">
        <v>15</v>
      </c>
      <c r="E142" s="79">
        <v>48000</v>
      </c>
      <c r="F142" s="79">
        <f>[1]Бозорлик!$D142*[1]Бозорлик!$E142</f>
        <v>720000</v>
      </c>
      <c r="G142" s="90">
        <f>IF(A142&lt;&gt;"", F142/ VLOOKUP(A142, 'Курс валют'!$A:$D, 4, 0), "")</f>
        <v>59.016393442622949</v>
      </c>
      <c r="H142" s="500"/>
    </row>
    <row r="143" spans="1:8" ht="20.100000000000001" customHeight="1" x14ac:dyDescent="0.45">
      <c r="A143" s="494">
        <v>46129</v>
      </c>
      <c r="B143" s="80" t="s">
        <v>76</v>
      </c>
      <c r="C143" s="81" t="s">
        <v>59</v>
      </c>
      <c r="D143" s="401">
        <v>7</v>
      </c>
      <c r="E143" s="82">
        <v>52000</v>
      </c>
      <c r="F143" s="82">
        <f>[1]Бозорлик!$D143*[1]Бозорлик!$E143</f>
        <v>364000</v>
      </c>
      <c r="G143" s="90">
        <f>IF(A143&lt;&gt;"", F143/ VLOOKUP(A143, 'Курс валют'!$A:$D, 4, 0), "")</f>
        <v>29.83606557377049</v>
      </c>
      <c r="H143" s="500"/>
    </row>
    <row r="144" spans="1:8" ht="20.100000000000001" customHeight="1" x14ac:dyDescent="0.45">
      <c r="A144" s="495">
        <v>46129</v>
      </c>
      <c r="B144" s="77" t="s">
        <v>108</v>
      </c>
      <c r="C144" s="78" t="s">
        <v>59</v>
      </c>
      <c r="D144" s="402">
        <v>14.85</v>
      </c>
      <c r="E144" s="79">
        <v>17500</v>
      </c>
      <c r="F144" s="79">
        <f>[1]Бозорлик!$D144*[1]Бозорлик!$E144</f>
        <v>259875</v>
      </c>
      <c r="G144" s="90">
        <f>IF(A144&lt;&gt;"", F144/ VLOOKUP(A144, 'Курс валют'!$A:$D, 4, 0), "")</f>
        <v>21.30122950819672</v>
      </c>
      <c r="H144" s="500"/>
    </row>
    <row r="145" spans="1:8" ht="20.100000000000001" customHeight="1" x14ac:dyDescent="0.45">
      <c r="A145" s="494">
        <v>46129</v>
      </c>
      <c r="B145" s="80" t="s">
        <v>67</v>
      </c>
      <c r="C145" s="81" t="s">
        <v>62</v>
      </c>
      <c r="D145" s="401">
        <v>10</v>
      </c>
      <c r="E145" s="82">
        <v>24000</v>
      </c>
      <c r="F145" s="82">
        <f>[1]Бозорлик!$D145*[1]Бозорлик!$E145</f>
        <v>240000</v>
      </c>
      <c r="G145" s="90">
        <f>IF(A145&lt;&gt;"", F145/ VLOOKUP(A145, 'Курс валют'!$A:$D, 4, 0), "")</f>
        <v>19.672131147540984</v>
      </c>
      <c r="H145" s="500"/>
    </row>
    <row r="146" spans="1:8" ht="20.100000000000001" customHeight="1" x14ac:dyDescent="0.45">
      <c r="A146" s="495">
        <v>46129</v>
      </c>
      <c r="B146" s="77" t="s">
        <v>81</v>
      </c>
      <c r="C146" s="78" t="s">
        <v>62</v>
      </c>
      <c r="D146" s="402">
        <v>10</v>
      </c>
      <c r="E146" s="79">
        <v>26000</v>
      </c>
      <c r="F146" s="79">
        <f>[1]Бозорлик!$D146*[1]Бозорлик!$E146</f>
        <v>260000</v>
      </c>
      <c r="G146" s="90">
        <f>IF(A146&lt;&gt;"", F146/ VLOOKUP(A146, 'Курс валют'!$A:$D, 4, 0), "")</f>
        <v>21.311475409836067</v>
      </c>
      <c r="H146" s="500"/>
    </row>
    <row r="147" spans="1:8" ht="20.100000000000001" customHeight="1" x14ac:dyDescent="0.45">
      <c r="A147" s="494">
        <v>46129</v>
      </c>
      <c r="B147" s="80" t="s">
        <v>60</v>
      </c>
      <c r="C147" s="81" t="s">
        <v>59</v>
      </c>
      <c r="D147" s="401">
        <v>32</v>
      </c>
      <c r="E147" s="82">
        <v>3906.25</v>
      </c>
      <c r="F147" s="82">
        <f>[1]Бозорлик!$D147*[1]Бозорлик!$E147</f>
        <v>125000</v>
      </c>
      <c r="G147" s="90">
        <f>IF(A147&lt;&gt;"", F147/ VLOOKUP(A147, 'Курс валют'!$A:$D, 4, 0), "")</f>
        <v>10.245901639344263</v>
      </c>
      <c r="H147" s="500"/>
    </row>
    <row r="148" spans="1:8" ht="20.100000000000001" customHeight="1" x14ac:dyDescent="0.45">
      <c r="A148" s="495">
        <v>46129</v>
      </c>
      <c r="B148" s="77" t="s">
        <v>70</v>
      </c>
      <c r="C148" s="78" t="s">
        <v>59</v>
      </c>
      <c r="D148" s="402">
        <v>10</v>
      </c>
      <c r="E148" s="79">
        <v>18000</v>
      </c>
      <c r="F148" s="79">
        <f>[1]Бозорлик!$D148*[1]Бозорлик!$E148</f>
        <v>180000</v>
      </c>
      <c r="G148" s="90">
        <f>IF(A148&lt;&gt;"", F148/ VLOOKUP(A148, 'Курс валют'!$A:$D, 4, 0), "")</f>
        <v>14.754098360655737</v>
      </c>
      <c r="H148" s="500"/>
    </row>
    <row r="149" spans="1:8" ht="20.100000000000001" customHeight="1" x14ac:dyDescent="0.45">
      <c r="A149" s="494">
        <v>46129</v>
      </c>
      <c r="B149" s="80" t="s">
        <v>87</v>
      </c>
      <c r="C149" s="81" t="s">
        <v>59</v>
      </c>
      <c r="D149" s="401">
        <v>100</v>
      </c>
      <c r="E149" s="82">
        <v>14000</v>
      </c>
      <c r="F149" s="82">
        <f>[1]Бозорлик!$D149*[1]Бозорлик!$E149</f>
        <v>1400000</v>
      </c>
      <c r="G149" s="90">
        <f>IF(A149&lt;&gt;"", F149/ VLOOKUP(A149, 'Курс валют'!$A:$D, 4, 0), "")</f>
        <v>114.75409836065573</v>
      </c>
      <c r="H149" s="500"/>
    </row>
    <row r="150" spans="1:8" ht="20.100000000000001" customHeight="1" x14ac:dyDescent="0.45">
      <c r="A150" s="495">
        <v>46129</v>
      </c>
      <c r="B150" s="77" t="s">
        <v>68</v>
      </c>
      <c r="C150" s="78" t="s">
        <v>69</v>
      </c>
      <c r="D150" s="402">
        <v>2</v>
      </c>
      <c r="E150" s="79">
        <v>35000</v>
      </c>
      <c r="F150" s="79">
        <f>[1]Бозорлик!$D150*[1]Бозорлик!$E150</f>
        <v>70000</v>
      </c>
      <c r="G150" s="90">
        <f>IF(A150&lt;&gt;"", F150/ VLOOKUP(A150, 'Курс валют'!$A:$D, 4, 0), "")</f>
        <v>5.7377049180327866</v>
      </c>
      <c r="H150" s="500"/>
    </row>
    <row r="151" spans="1:8" ht="20.100000000000001" customHeight="1" x14ac:dyDescent="0.45">
      <c r="A151" s="494">
        <v>46129</v>
      </c>
      <c r="B151" s="80" t="s">
        <v>78</v>
      </c>
      <c r="C151" s="81" t="s">
        <v>59</v>
      </c>
      <c r="D151" s="401">
        <v>10</v>
      </c>
      <c r="E151" s="82">
        <v>18000</v>
      </c>
      <c r="F151" s="82">
        <f>[1]Бозорлик!$D151*[1]Бозорлик!$E151</f>
        <v>180000</v>
      </c>
      <c r="G151" s="90">
        <f>IF(A151&lt;&gt;"", F151/ VLOOKUP(A151, 'Курс валют'!$A:$D, 4, 0), "")</f>
        <v>14.754098360655737</v>
      </c>
      <c r="H151" s="500"/>
    </row>
    <row r="152" spans="1:8" ht="20.100000000000001" customHeight="1" x14ac:dyDescent="0.45">
      <c r="A152" s="495">
        <v>46129</v>
      </c>
      <c r="B152" s="77" t="s">
        <v>116</v>
      </c>
      <c r="C152" s="78" t="s">
        <v>59</v>
      </c>
      <c r="D152" s="402">
        <v>10</v>
      </c>
      <c r="E152" s="79">
        <v>30000</v>
      </c>
      <c r="F152" s="79">
        <f>[1]Бозорлик!$D152*[1]Бозорлик!$E152</f>
        <v>300000</v>
      </c>
      <c r="G152" s="90">
        <f>IF(A152&lt;&gt;"", F152/ VLOOKUP(A152, 'Курс валют'!$A:$D, 4, 0), "")</f>
        <v>24.590163934426229</v>
      </c>
      <c r="H152" s="500"/>
    </row>
    <row r="153" spans="1:8" ht="20.100000000000001" customHeight="1" x14ac:dyDescent="0.45">
      <c r="A153" s="494">
        <v>46129</v>
      </c>
      <c r="B153" s="80" t="s">
        <v>117</v>
      </c>
      <c r="C153" s="81" t="s">
        <v>59</v>
      </c>
      <c r="D153" s="401">
        <v>10</v>
      </c>
      <c r="E153" s="82">
        <v>19000</v>
      </c>
      <c r="F153" s="82">
        <f>[1]Бозорлик!$D153*[1]Бозорлик!$E153</f>
        <v>190000</v>
      </c>
      <c r="G153" s="90">
        <f>IF(A153&lt;&gt;"", F153/ VLOOKUP(A153, 'Курс валют'!$A:$D, 4, 0), "")</f>
        <v>15.573770491803279</v>
      </c>
      <c r="H153" s="500"/>
    </row>
    <row r="154" spans="1:8" ht="20.100000000000001" customHeight="1" x14ac:dyDescent="0.45">
      <c r="A154" s="494">
        <v>46129</v>
      </c>
      <c r="B154" s="80" t="s">
        <v>82</v>
      </c>
      <c r="C154" s="81" t="s">
        <v>59</v>
      </c>
      <c r="D154" s="401">
        <v>25.71</v>
      </c>
      <c r="E154" s="82">
        <v>115000</v>
      </c>
      <c r="F154" s="82">
        <f>[1]Бозорлик!$D154*[1]Бозорлик!$E154</f>
        <v>2956650</v>
      </c>
      <c r="G154" s="90">
        <f>IF(A154&lt;&gt;"", F154/ VLOOKUP(A154, 'Курс валют'!$A:$D, 4, 0), "")</f>
        <v>242.34836065573771</v>
      </c>
      <c r="H154" s="500"/>
    </row>
    <row r="155" spans="1:8" ht="20.100000000000001" customHeight="1" x14ac:dyDescent="0.45">
      <c r="A155" s="497" t="s">
        <v>118</v>
      </c>
      <c r="B155" s="80"/>
      <c r="C155" s="81"/>
      <c r="D155" s="401"/>
      <c r="E155" s="82"/>
      <c r="F155" s="82">
        <f>SUBTOTAL(9,F141:F154)</f>
        <v>10203325</v>
      </c>
      <c r="G155" s="90" t="e">
        <f>IF(A155&lt;&gt;"", F155/ VLOOKUP(A155, 'Курс валют'!$A:$D, 4, 0), "")</f>
        <v>#N/A</v>
      </c>
      <c r="H155" s="500"/>
    </row>
    <row r="156" spans="1:8" ht="20.100000000000001" customHeight="1" x14ac:dyDescent="0.45">
      <c r="A156" s="494">
        <v>46136</v>
      </c>
      <c r="B156" s="80" t="s">
        <v>82</v>
      </c>
      <c r="C156" s="81" t="s">
        <v>59</v>
      </c>
      <c r="D156" s="401">
        <v>30</v>
      </c>
      <c r="E156" s="82">
        <v>115000</v>
      </c>
      <c r="F156" s="82">
        <f>[1]Бозорлик!$D156*[1]Бозорлик!$E156</f>
        <v>3450000</v>
      </c>
      <c r="G156" s="90">
        <f>IF(A156&lt;&gt;"", F156/ VLOOKUP(A156, 'Курс валют'!$A:$D, 4, 0), "")</f>
        <v>286.30705394190869</v>
      </c>
      <c r="H156" s="500"/>
    </row>
    <row r="157" spans="1:8" ht="20.100000000000001" customHeight="1" x14ac:dyDescent="0.45">
      <c r="A157" s="494">
        <v>46136</v>
      </c>
      <c r="B157" s="80" t="s">
        <v>58</v>
      </c>
      <c r="C157" s="81" t="s">
        <v>59</v>
      </c>
      <c r="D157" s="401">
        <v>107.7</v>
      </c>
      <c r="E157" s="82">
        <v>6500</v>
      </c>
      <c r="F157" s="82">
        <f>[1]Бозорлик!$D157*[1]Бозорлик!$E157</f>
        <v>700050</v>
      </c>
      <c r="G157" s="90">
        <f>IF(A157&lt;&gt;"", F157/ VLOOKUP(A157, 'Курс валют'!$A:$D, 4, 0), "")</f>
        <v>58.095435684647306</v>
      </c>
      <c r="H157" s="500"/>
    </row>
    <row r="158" spans="1:8" ht="20.100000000000001" customHeight="1" x14ac:dyDescent="0.45">
      <c r="A158" s="494">
        <v>46136</v>
      </c>
      <c r="B158" s="80" t="s">
        <v>74</v>
      </c>
      <c r="C158" s="81" t="s">
        <v>75</v>
      </c>
      <c r="D158" s="401">
        <v>10</v>
      </c>
      <c r="E158" s="82">
        <v>47000</v>
      </c>
      <c r="F158" s="82">
        <f>[1]Бозорлик!$D158*[1]Бозорлик!$E158</f>
        <v>470000</v>
      </c>
      <c r="G158" s="90">
        <f>IF(A158&lt;&gt;"", F158/ VLOOKUP(A158, 'Курс валют'!$A:$D, 4, 0), "")</f>
        <v>39.004149377593365</v>
      </c>
      <c r="H158" s="500"/>
    </row>
    <row r="159" spans="1:8" ht="20.100000000000001" customHeight="1" x14ac:dyDescent="0.45">
      <c r="A159" s="494">
        <v>46136</v>
      </c>
      <c r="B159" s="80" t="s">
        <v>76</v>
      </c>
      <c r="C159" s="81" t="s">
        <v>69</v>
      </c>
      <c r="D159" s="401">
        <v>7</v>
      </c>
      <c r="E159" s="82">
        <v>52000</v>
      </c>
      <c r="F159" s="82">
        <f>[1]Бозорлик!$D159*[1]Бозорлик!$E159</f>
        <v>364000</v>
      </c>
      <c r="G159" s="90">
        <f>IF(A159&lt;&gt;"", F159/ VLOOKUP(A159, 'Курс валют'!$A:$D, 4, 0), "")</f>
        <v>30.207468879668049</v>
      </c>
      <c r="H159" s="500"/>
    </row>
    <row r="160" spans="1:8" ht="20.100000000000001" customHeight="1" x14ac:dyDescent="0.45">
      <c r="A160" s="494">
        <v>46136</v>
      </c>
      <c r="B160" s="80" t="s">
        <v>116</v>
      </c>
      <c r="C160" s="81" t="s">
        <v>59</v>
      </c>
      <c r="D160" s="401">
        <v>15</v>
      </c>
      <c r="E160" s="82">
        <v>30000</v>
      </c>
      <c r="F160" s="82">
        <f>[1]Бозорлик!$D160*[1]Бозорлик!$E160</f>
        <v>450000</v>
      </c>
      <c r="G160" s="90">
        <f>IF(A160&lt;&gt;"", F160/ VLOOKUP(A160, 'Курс валют'!$A:$D, 4, 0), "")</f>
        <v>37.344398340248965</v>
      </c>
      <c r="H160" s="500"/>
    </row>
    <row r="161" spans="1:8" ht="20.100000000000001" customHeight="1" x14ac:dyDescent="0.45">
      <c r="A161" s="494">
        <v>46136</v>
      </c>
      <c r="B161" s="80" t="s">
        <v>117</v>
      </c>
      <c r="C161" s="81" t="s">
        <v>59</v>
      </c>
      <c r="D161" s="401">
        <v>15</v>
      </c>
      <c r="E161" s="82">
        <v>12000</v>
      </c>
      <c r="F161" s="82">
        <f>[1]Бозорлик!$D161*[1]Бозорлик!$E161</f>
        <v>180000</v>
      </c>
      <c r="G161" s="90">
        <f>IF(A161&lt;&gt;"", F161/ VLOOKUP(A161, 'Курс валют'!$A:$D, 4, 0), "")</f>
        <v>14.937759336099585</v>
      </c>
      <c r="H161" s="500"/>
    </row>
    <row r="162" spans="1:8" ht="20.100000000000001" customHeight="1" x14ac:dyDescent="0.45">
      <c r="A162" s="494">
        <v>46136</v>
      </c>
      <c r="B162" s="80" t="s">
        <v>108</v>
      </c>
      <c r="C162" s="81" t="s">
        <v>59</v>
      </c>
      <c r="D162" s="399">
        <v>1</v>
      </c>
      <c r="E162" s="82">
        <v>260000</v>
      </c>
      <c r="F162" s="82">
        <f>[1]Бозорлик!$D162*[1]Бозорлик!$E162</f>
        <v>260000</v>
      </c>
      <c r="G162" s="90">
        <f>IF(A162&lt;&gt;"", F162/ VLOOKUP(A162, 'Курс валют'!$A:$D, 4, 0), "")</f>
        <v>21.57676348547718</v>
      </c>
      <c r="H162" s="500"/>
    </row>
    <row r="163" spans="1:8" ht="20.100000000000001" customHeight="1" x14ac:dyDescent="0.45">
      <c r="A163" s="494">
        <v>46136</v>
      </c>
      <c r="B163" s="80" t="s">
        <v>119</v>
      </c>
      <c r="C163" s="83" t="s">
        <v>59</v>
      </c>
      <c r="D163" s="399">
        <v>1</v>
      </c>
      <c r="E163" s="82">
        <v>0</v>
      </c>
      <c r="F163" s="82">
        <f>[1]Бозорлик!$D163*[1]Бозорлик!$E163</f>
        <v>0</v>
      </c>
      <c r="G163" s="90">
        <f>IF(A163&lt;&gt;"", F163/ VLOOKUP(A163, 'Курс валют'!$A:$D, 4, 0), "")</f>
        <v>0</v>
      </c>
      <c r="H163" s="500"/>
    </row>
    <row r="164" spans="1:8" ht="20.100000000000001" customHeight="1" x14ac:dyDescent="0.45">
      <c r="A164" s="494">
        <v>46136</v>
      </c>
      <c r="B164" s="80" t="s">
        <v>89</v>
      </c>
      <c r="C164" s="81" t="s">
        <v>59</v>
      </c>
      <c r="D164" s="401">
        <v>2</v>
      </c>
      <c r="E164" s="82">
        <v>70000</v>
      </c>
      <c r="F164" s="82">
        <f>[1]Бозорлик!$D164*[1]Бозорлик!$E164</f>
        <v>140000</v>
      </c>
      <c r="G164" s="90">
        <f>IF(A164&lt;&gt;"", F164/ VLOOKUP(A164, 'Курс валют'!$A:$D, 4, 0), "")</f>
        <v>11.618257261410788</v>
      </c>
      <c r="H164" s="500"/>
    </row>
    <row r="165" spans="1:8" ht="20.100000000000001" customHeight="1" x14ac:dyDescent="0.45">
      <c r="A165" s="494">
        <v>46136</v>
      </c>
      <c r="B165" s="80" t="s">
        <v>77</v>
      </c>
      <c r="C165" s="81" t="s">
        <v>59</v>
      </c>
      <c r="D165" s="401">
        <v>2</v>
      </c>
      <c r="E165" s="82">
        <v>30000</v>
      </c>
      <c r="F165" s="82">
        <f>[1]Бозорлик!$D165*[1]Бозорлик!$E165</f>
        <v>60000</v>
      </c>
      <c r="G165" s="90">
        <f>IF(A165&lt;&gt;"", F165/ VLOOKUP(A165, 'Курс валют'!$A:$D, 4, 0), "")</f>
        <v>4.9792531120331951</v>
      </c>
      <c r="H165" s="500"/>
    </row>
    <row r="166" spans="1:8" ht="20.100000000000001" customHeight="1" x14ac:dyDescent="0.45">
      <c r="A166" s="494">
        <v>46136</v>
      </c>
      <c r="B166" s="80" t="s">
        <v>120</v>
      </c>
      <c r="C166" s="81" t="s">
        <v>59</v>
      </c>
      <c r="D166" s="401">
        <v>10</v>
      </c>
      <c r="E166" s="82">
        <v>18000</v>
      </c>
      <c r="F166" s="82">
        <f>[1]Бозорлик!$D166*[1]Бозорлик!$E166</f>
        <v>180000</v>
      </c>
      <c r="G166" s="90">
        <f>IF(A166&lt;&gt;"", F166/ VLOOKUP(A166, 'Курс валют'!$A:$D, 4, 0), "")</f>
        <v>14.937759336099585</v>
      </c>
      <c r="H166" s="500"/>
    </row>
    <row r="167" spans="1:8" ht="20.100000000000001" customHeight="1" x14ac:dyDescent="0.45">
      <c r="A167" s="494">
        <v>46136</v>
      </c>
      <c r="B167" s="80" t="s">
        <v>67</v>
      </c>
      <c r="C167" s="81" t="s">
        <v>62</v>
      </c>
      <c r="D167" s="401">
        <v>10</v>
      </c>
      <c r="E167" s="82">
        <v>24000</v>
      </c>
      <c r="F167" s="82">
        <f>[1]Бозорлик!$D167*[1]Бозорлик!$E167</f>
        <v>240000</v>
      </c>
      <c r="G167" s="90">
        <f>IF(A167&lt;&gt;"", F167/ VLOOKUP(A167, 'Курс валют'!$A:$D, 4, 0), "")</f>
        <v>19.91701244813278</v>
      </c>
      <c r="H167" s="500"/>
    </row>
    <row r="168" spans="1:8" ht="20.100000000000001" customHeight="1" x14ac:dyDescent="0.45">
      <c r="A168" s="494">
        <v>46136</v>
      </c>
      <c r="B168" s="80" t="s">
        <v>81</v>
      </c>
      <c r="C168" s="81" t="s">
        <v>62</v>
      </c>
      <c r="D168" s="401">
        <v>10</v>
      </c>
      <c r="E168" s="82">
        <v>23000</v>
      </c>
      <c r="F168" s="82">
        <f>[1]Бозорлик!$D168*[1]Бозорлик!$E168</f>
        <v>230000</v>
      </c>
      <c r="G168" s="90">
        <f>IF(A168&lt;&gt;"", F168/ VLOOKUP(A168, 'Курс валют'!$A:$D, 4, 0), "")</f>
        <v>19.087136929460581</v>
      </c>
      <c r="H168" s="500"/>
    </row>
    <row r="169" spans="1:8" ht="20.100000000000001" customHeight="1" x14ac:dyDescent="0.45">
      <c r="A169" s="494">
        <v>46136</v>
      </c>
      <c r="B169" s="80" t="s">
        <v>71</v>
      </c>
      <c r="C169" s="83"/>
      <c r="D169" s="399">
        <v>48</v>
      </c>
      <c r="E169" s="82">
        <v>8542</v>
      </c>
      <c r="F169" s="82">
        <f>[1]Бозорлик!$D169*[1]Бозорлик!$E169</f>
        <v>410016</v>
      </c>
      <c r="G169" s="90">
        <f>IF(A169&lt;&gt;"", F169/ VLOOKUP(A169, 'Курс валют'!$A:$D, 4, 0), "")</f>
        <v>34.026224066390043</v>
      </c>
      <c r="H169" s="500"/>
    </row>
    <row r="170" spans="1:8" ht="20.100000000000001" customHeight="1" x14ac:dyDescent="0.45">
      <c r="A170" s="494">
        <v>46136</v>
      </c>
      <c r="B170" s="80" t="s">
        <v>70</v>
      </c>
      <c r="C170" s="81" t="s">
        <v>59</v>
      </c>
      <c r="D170" s="399">
        <v>12</v>
      </c>
      <c r="E170" s="82">
        <v>15000</v>
      </c>
      <c r="F170" s="82">
        <f>[1]Бозорлик!$D170*[1]Бозорлик!$E170</f>
        <v>180000</v>
      </c>
      <c r="G170" s="90">
        <f>IF(A170&lt;&gt;"", F170/ VLOOKUP(A170, 'Курс валют'!$A:$D, 4, 0), "")</f>
        <v>14.937759336099585</v>
      </c>
      <c r="H170" s="500"/>
    </row>
    <row r="171" spans="1:8" ht="20.100000000000001" customHeight="1" x14ac:dyDescent="0.45">
      <c r="A171" s="494">
        <v>46136</v>
      </c>
      <c r="B171" s="80" t="s">
        <v>72</v>
      </c>
      <c r="C171" s="81" t="s">
        <v>73</v>
      </c>
      <c r="D171" s="399">
        <v>1</v>
      </c>
      <c r="E171" s="82">
        <v>100000</v>
      </c>
      <c r="F171" s="82">
        <f>[1]Бозорлик!$D171*[1]Бозорлик!$E171</f>
        <v>100000</v>
      </c>
      <c r="G171" s="90">
        <f>IF(A171&lt;&gt;"", F171/ VLOOKUP(A171, 'Курс валют'!$A:$D, 4, 0), "")</f>
        <v>8.2987551867219924</v>
      </c>
      <c r="H171" s="500"/>
    </row>
    <row r="172" spans="1:8" ht="20.100000000000001" customHeight="1" x14ac:dyDescent="0.45">
      <c r="A172" s="494">
        <v>46136</v>
      </c>
      <c r="B172" s="80" t="s">
        <v>91</v>
      </c>
      <c r="C172" s="81" t="s">
        <v>65</v>
      </c>
      <c r="D172" s="399">
        <v>1</v>
      </c>
      <c r="E172" s="82">
        <v>75000</v>
      </c>
      <c r="F172" s="82">
        <f>[1]Бозорлик!$D172*[1]Бозорлик!$E172</f>
        <v>75000</v>
      </c>
      <c r="G172" s="90">
        <f>IF(A172&lt;&gt;"", F172/ VLOOKUP(A172, 'Курс валют'!$A:$D, 4, 0), "")</f>
        <v>6.2240663900414939</v>
      </c>
      <c r="H172" s="500"/>
    </row>
    <row r="173" spans="1:8" ht="20.100000000000001" customHeight="1" x14ac:dyDescent="0.45">
      <c r="A173" s="497" t="s">
        <v>121</v>
      </c>
      <c r="B173" s="80"/>
      <c r="C173" s="81"/>
      <c r="D173" s="399"/>
      <c r="E173" s="82"/>
      <c r="F173" s="82">
        <f>SUBTOTAL(9,F156:F172)</f>
        <v>7489066</v>
      </c>
      <c r="G173" s="90" t="e">
        <f>IF(A173&lt;&gt;"", F173/ VLOOKUP(A173, 'Курс валют'!$A:$D, 4, 0), "")</f>
        <v>#N/A</v>
      </c>
      <c r="H173" s="500">
        <f>7489066*103%</f>
        <v>7713737.9800000004</v>
      </c>
    </row>
    <row r="174" spans="1:8" ht="20.100000000000001" customHeight="1" x14ac:dyDescent="0.45">
      <c r="A174" s="494">
        <v>46143</v>
      </c>
      <c r="B174" s="80" t="s">
        <v>82</v>
      </c>
      <c r="C174" s="81" t="s">
        <v>59</v>
      </c>
      <c r="D174" s="399">
        <v>30.95</v>
      </c>
      <c r="E174" s="82">
        <v>105000</v>
      </c>
      <c r="F174" s="82">
        <f>[1]Бозорлик!$D174*[1]Бозорлик!$E174</f>
        <v>3249750</v>
      </c>
      <c r="G174" s="90">
        <f>IF(A174&lt;&gt;"", F174/ VLOOKUP(A174, 'Курс валют'!$A:$D, 4, 0), "")</f>
        <v>268.57438016528926</v>
      </c>
      <c r="H174" s="500"/>
    </row>
    <row r="175" spans="1:8" ht="20.100000000000001" customHeight="1" x14ac:dyDescent="0.45">
      <c r="A175" s="494">
        <v>46143</v>
      </c>
      <c r="B175" s="80" t="s">
        <v>74</v>
      </c>
      <c r="C175" s="81" t="s">
        <v>75</v>
      </c>
      <c r="D175" s="399">
        <v>20</v>
      </c>
      <c r="E175" s="82">
        <v>47000</v>
      </c>
      <c r="F175" s="82">
        <f>[1]Бозорлик!$D175*[1]Бозорлик!$E175</f>
        <v>940000</v>
      </c>
      <c r="G175" s="90">
        <f>IF(A175&lt;&gt;"", F175/ VLOOKUP(A175, 'Курс валют'!$A:$D, 4, 0), "")</f>
        <v>77.685950413223139</v>
      </c>
      <c r="H175" s="500"/>
    </row>
    <row r="176" spans="1:8" ht="20.100000000000001" customHeight="1" x14ac:dyDescent="0.45">
      <c r="A176" s="494">
        <v>46143</v>
      </c>
      <c r="B176" s="80" t="s">
        <v>76</v>
      </c>
      <c r="C176" s="81" t="s">
        <v>69</v>
      </c>
      <c r="D176" s="399">
        <v>7</v>
      </c>
      <c r="E176" s="82">
        <f>F176/D176</f>
        <v>52142.857142857145</v>
      </c>
      <c r="F176" s="82">
        <v>365000</v>
      </c>
      <c r="G176" s="90">
        <f>IF(A176&lt;&gt;"", F176/ VLOOKUP(A176, 'Курс валют'!$A:$D, 4, 0), "")</f>
        <v>30.165289256198346</v>
      </c>
      <c r="H176" s="500"/>
    </row>
    <row r="177" spans="1:8" ht="20.100000000000001" customHeight="1" x14ac:dyDescent="0.45">
      <c r="A177" s="494">
        <v>46143</v>
      </c>
      <c r="B177" s="80" t="s">
        <v>60</v>
      </c>
      <c r="C177" s="81" t="s">
        <v>59</v>
      </c>
      <c r="D177" s="399">
        <v>32</v>
      </c>
      <c r="E177" s="82">
        <f t="shared" ref="E177:E192" si="0">F177/D177</f>
        <v>4062.5</v>
      </c>
      <c r="F177" s="82">
        <v>130000</v>
      </c>
      <c r="G177" s="90">
        <f>IF(A177&lt;&gt;"", F177/ VLOOKUP(A177, 'Курс валют'!$A:$D, 4, 0), "")</f>
        <v>10.743801652892563</v>
      </c>
      <c r="H177" s="500"/>
    </row>
    <row r="178" spans="1:8" ht="20.100000000000001" customHeight="1" x14ac:dyDescent="0.45">
      <c r="A178" s="494">
        <v>46143</v>
      </c>
      <c r="B178" s="80" t="s">
        <v>58</v>
      </c>
      <c r="C178" s="81" t="s">
        <v>59</v>
      </c>
      <c r="D178" s="399">
        <v>113</v>
      </c>
      <c r="E178" s="82">
        <f t="shared" si="0"/>
        <v>6814.1592920353978</v>
      </c>
      <c r="F178" s="82">
        <v>770000</v>
      </c>
      <c r="G178" s="90">
        <f>IF(A178&lt;&gt;"", F178/ VLOOKUP(A178, 'Курс валют'!$A:$D, 4, 0), "")</f>
        <v>63.636363636363633</v>
      </c>
      <c r="H178" s="500"/>
    </row>
    <row r="179" spans="1:8" ht="20.100000000000001" customHeight="1" x14ac:dyDescent="0.45">
      <c r="A179" s="494">
        <v>46143</v>
      </c>
      <c r="B179" s="80" t="s">
        <v>70</v>
      </c>
      <c r="C179" s="81" t="s">
        <v>59</v>
      </c>
      <c r="D179" s="399">
        <v>15</v>
      </c>
      <c r="E179" s="82">
        <f t="shared" si="0"/>
        <v>12000</v>
      </c>
      <c r="F179" s="82">
        <v>180000</v>
      </c>
      <c r="G179" s="90">
        <f>IF(A179&lt;&gt;"", F179/ VLOOKUP(A179, 'Курс валют'!$A:$D, 4, 0), "")</f>
        <v>14.87603305785124</v>
      </c>
      <c r="H179" s="500"/>
    </row>
    <row r="180" spans="1:8" ht="20.100000000000001" customHeight="1" x14ac:dyDescent="0.45">
      <c r="A180" s="494">
        <v>46143</v>
      </c>
      <c r="B180" s="80" t="s">
        <v>89</v>
      </c>
      <c r="C180" s="81" t="s">
        <v>59</v>
      </c>
      <c r="D180" s="399">
        <v>2</v>
      </c>
      <c r="E180" s="82">
        <f t="shared" si="0"/>
        <v>70000</v>
      </c>
      <c r="F180" s="82">
        <v>140000</v>
      </c>
      <c r="G180" s="90">
        <f>IF(A180&lt;&gt;"", F180/ VLOOKUP(A180, 'Курс валют'!$A:$D, 4, 0), "")</f>
        <v>11.570247933884298</v>
      </c>
      <c r="H180" s="500"/>
    </row>
    <row r="181" spans="1:8" ht="20.100000000000001" customHeight="1" x14ac:dyDescent="0.45">
      <c r="A181" s="494">
        <v>46143</v>
      </c>
      <c r="B181" s="80" t="s">
        <v>77</v>
      </c>
      <c r="C181" s="81" t="s">
        <v>59</v>
      </c>
      <c r="D181" s="399">
        <v>2</v>
      </c>
      <c r="E181" s="82">
        <f t="shared" si="0"/>
        <v>30000</v>
      </c>
      <c r="F181" s="82">
        <v>60000</v>
      </c>
      <c r="G181" s="90">
        <f>IF(A181&lt;&gt;"", F181/ VLOOKUP(A181, 'Курс валют'!$A:$D, 4, 0), "")</f>
        <v>4.9586776859504136</v>
      </c>
      <c r="H181" s="500"/>
    </row>
    <row r="182" spans="1:8" ht="20.100000000000001" customHeight="1" x14ac:dyDescent="0.45">
      <c r="A182" s="494">
        <v>46143</v>
      </c>
      <c r="B182" s="80" t="s">
        <v>113</v>
      </c>
      <c r="C182" s="81" t="s">
        <v>59</v>
      </c>
      <c r="D182" s="399">
        <v>1</v>
      </c>
      <c r="E182" s="82">
        <f t="shared" si="0"/>
        <v>120000</v>
      </c>
      <c r="F182" s="82">
        <v>120000</v>
      </c>
      <c r="G182" s="90">
        <f>IF(A182&lt;&gt;"", F182/ VLOOKUP(A182, 'Курс валют'!$A:$D, 4, 0), "")</f>
        <v>9.9173553719008272</v>
      </c>
      <c r="H182" s="500"/>
    </row>
    <row r="183" spans="1:8" ht="20.100000000000001" customHeight="1" x14ac:dyDescent="0.45">
      <c r="A183" s="494">
        <v>46143</v>
      </c>
      <c r="B183" s="80" t="s">
        <v>67</v>
      </c>
      <c r="C183" s="81" t="s">
        <v>62</v>
      </c>
      <c r="D183" s="399">
        <v>10</v>
      </c>
      <c r="E183" s="82">
        <f t="shared" si="0"/>
        <v>23500</v>
      </c>
      <c r="F183" s="82">
        <v>235000</v>
      </c>
      <c r="G183" s="90">
        <f>IF(A183&lt;&gt;"", F183/ VLOOKUP(A183, 'Курс валют'!$A:$D, 4, 0), "")</f>
        <v>19.421487603305785</v>
      </c>
      <c r="H183" s="500"/>
    </row>
    <row r="184" spans="1:8" ht="20.100000000000001" customHeight="1" x14ac:dyDescent="0.45">
      <c r="A184" s="494">
        <v>46143</v>
      </c>
      <c r="B184" s="80" t="s">
        <v>81</v>
      </c>
      <c r="C184" s="81" t="s">
        <v>62</v>
      </c>
      <c r="D184" s="399">
        <v>10</v>
      </c>
      <c r="E184" s="82">
        <f t="shared" si="0"/>
        <v>23500</v>
      </c>
      <c r="F184" s="82">
        <v>235000</v>
      </c>
      <c r="G184" s="90">
        <f>IF(A184&lt;&gt;"", F184/ VLOOKUP(A184, 'Курс валют'!$A:$D, 4, 0), "")</f>
        <v>19.421487603305785</v>
      </c>
      <c r="H184" s="500"/>
    </row>
    <row r="185" spans="1:8" ht="20.100000000000001" customHeight="1" x14ac:dyDescent="0.45">
      <c r="A185" s="494">
        <v>46143</v>
      </c>
      <c r="B185" s="80" t="s">
        <v>90</v>
      </c>
      <c r="C185" s="81" t="s">
        <v>59</v>
      </c>
      <c r="D185" s="399">
        <v>20</v>
      </c>
      <c r="E185" s="82">
        <f t="shared" si="0"/>
        <v>17500</v>
      </c>
      <c r="F185" s="82">
        <v>350000</v>
      </c>
      <c r="G185" s="90">
        <f>IF(A185&lt;&gt;"", F185/ VLOOKUP(A185, 'Курс валют'!$A:$D, 4, 0), "")</f>
        <v>28.925619834710744</v>
      </c>
      <c r="H185" s="500"/>
    </row>
    <row r="186" spans="1:8" ht="20.100000000000001" customHeight="1" x14ac:dyDescent="0.45">
      <c r="A186" s="494">
        <v>46143</v>
      </c>
      <c r="B186" s="80" t="s">
        <v>68</v>
      </c>
      <c r="C186" s="81" t="s">
        <v>69</v>
      </c>
      <c r="D186" s="399">
        <v>2</v>
      </c>
      <c r="E186" s="82">
        <f t="shared" si="0"/>
        <v>35000</v>
      </c>
      <c r="F186" s="82">
        <v>70000</v>
      </c>
      <c r="G186" s="90">
        <f>IF(A186&lt;&gt;"", F186/ VLOOKUP(A186, 'Курс валют'!$A:$D, 4, 0), "")</f>
        <v>5.785123966942149</v>
      </c>
      <c r="H186" s="500"/>
    </row>
    <row r="187" spans="1:8" ht="20.100000000000001" customHeight="1" x14ac:dyDescent="0.45">
      <c r="A187" s="494">
        <v>46143</v>
      </c>
      <c r="B187" s="80" t="s">
        <v>122</v>
      </c>
      <c r="C187" s="81" t="s">
        <v>59</v>
      </c>
      <c r="D187" s="399">
        <v>0.5</v>
      </c>
      <c r="E187" s="82">
        <f t="shared" si="0"/>
        <v>40000</v>
      </c>
      <c r="F187" s="82">
        <v>20000</v>
      </c>
      <c r="G187" s="90">
        <f>IF(A187&lt;&gt;"", F187/ VLOOKUP(A187, 'Курс валют'!$A:$D, 4, 0), "")</f>
        <v>1.6528925619834711</v>
      </c>
      <c r="H187" s="500"/>
    </row>
    <row r="188" spans="1:8" ht="20.100000000000001" customHeight="1" x14ac:dyDescent="0.45">
      <c r="A188" s="494">
        <v>46143</v>
      </c>
      <c r="B188" s="80" t="s">
        <v>123</v>
      </c>
      <c r="C188" s="81" t="s">
        <v>69</v>
      </c>
      <c r="D188" s="399">
        <v>2</v>
      </c>
      <c r="E188" s="82">
        <f t="shared" si="0"/>
        <v>25000</v>
      </c>
      <c r="F188" s="82">
        <v>50000</v>
      </c>
      <c r="G188" s="90">
        <f>IF(A188&lt;&gt;"", F188/ VLOOKUP(A188, 'Курс валют'!$A:$D, 4, 0), "")</f>
        <v>4.1322314049586772</v>
      </c>
      <c r="H188" s="500"/>
    </row>
    <row r="189" spans="1:8" ht="20.100000000000001" customHeight="1" x14ac:dyDescent="0.45">
      <c r="A189" s="494">
        <v>46143</v>
      </c>
      <c r="B189" s="80" t="s">
        <v>108</v>
      </c>
      <c r="C189" s="81" t="s">
        <v>69</v>
      </c>
      <c r="D189" s="399">
        <v>10</v>
      </c>
      <c r="E189" s="82">
        <f t="shared" si="0"/>
        <v>14500</v>
      </c>
      <c r="F189" s="82">
        <v>145000</v>
      </c>
      <c r="G189" s="90">
        <f>IF(A189&lt;&gt;"", F189/ VLOOKUP(A189, 'Курс валют'!$A:$D, 4, 0), "")</f>
        <v>11.983471074380166</v>
      </c>
      <c r="H189" s="500"/>
    </row>
    <row r="190" spans="1:8" ht="20.100000000000001" customHeight="1" x14ac:dyDescent="0.45">
      <c r="A190" s="494">
        <v>46143</v>
      </c>
      <c r="B190" s="80" t="s">
        <v>124</v>
      </c>
      <c r="C190" s="81" t="s">
        <v>69</v>
      </c>
      <c r="D190" s="399">
        <v>10</v>
      </c>
      <c r="E190" s="82">
        <f t="shared" si="0"/>
        <v>19500</v>
      </c>
      <c r="F190" s="82">
        <v>195000</v>
      </c>
      <c r="G190" s="90">
        <f>IF(A190&lt;&gt;"", F190/ VLOOKUP(A190, 'Курс валют'!$A:$D, 4, 0), "")</f>
        <v>16.115702479338843</v>
      </c>
      <c r="H190" s="500"/>
    </row>
    <row r="191" spans="1:8" ht="20.100000000000001" customHeight="1" x14ac:dyDescent="0.45">
      <c r="A191" s="494">
        <v>46143</v>
      </c>
      <c r="B191" s="80" t="s">
        <v>116</v>
      </c>
      <c r="C191" s="81" t="s">
        <v>59</v>
      </c>
      <c r="D191" s="399">
        <v>15</v>
      </c>
      <c r="E191" s="82">
        <f t="shared" si="0"/>
        <v>25000</v>
      </c>
      <c r="F191" s="82">
        <v>375000</v>
      </c>
      <c r="G191" s="90">
        <f>IF(A191&lt;&gt;"", F191/ VLOOKUP(A191, 'Курс валют'!$A:$D, 4, 0), "")</f>
        <v>30.991735537190081</v>
      </c>
      <c r="H191" s="500"/>
    </row>
    <row r="192" spans="1:8" ht="20.100000000000001" customHeight="1" x14ac:dyDescent="0.45">
      <c r="A192" s="494">
        <v>46143</v>
      </c>
      <c r="B192" s="80" t="s">
        <v>117</v>
      </c>
      <c r="C192" s="81" t="s">
        <v>59</v>
      </c>
      <c r="D192" s="399">
        <v>15</v>
      </c>
      <c r="E192" s="82">
        <f t="shared" si="0"/>
        <v>13000</v>
      </c>
      <c r="F192" s="82">
        <v>195000</v>
      </c>
      <c r="G192" s="90">
        <f>IF(A192&lt;&gt;"", F192/ VLOOKUP(A192, 'Курс валют'!$A:$D, 4, 0), "")</f>
        <v>16.115702479338843</v>
      </c>
      <c r="H192" s="500"/>
    </row>
    <row r="193" spans="1:8" ht="20.100000000000001" customHeight="1" x14ac:dyDescent="0.45">
      <c r="A193" s="497" t="s">
        <v>125</v>
      </c>
      <c r="B193" s="80"/>
      <c r="C193" s="81"/>
      <c r="D193" s="399"/>
      <c r="E193" s="82"/>
      <c r="F193" s="82">
        <f>SUBTOTAL(9,F174:F192)</f>
        <v>7824750</v>
      </c>
      <c r="G193" s="90" t="e">
        <f>IF(A193&lt;&gt;"", F193/ VLOOKUP(A193, 'Курс валют'!$A:$D, 4, 0), "")</f>
        <v>#N/A</v>
      </c>
      <c r="H193" s="500">
        <f>7824750*103%</f>
        <v>8059492.5</v>
      </c>
    </row>
    <row r="194" spans="1:8" ht="20.100000000000001" customHeight="1" x14ac:dyDescent="0.45">
      <c r="A194" s="497" t="s">
        <v>53</v>
      </c>
      <c r="B194" s="80"/>
      <c r="C194" s="81"/>
      <c r="D194" s="399"/>
      <c r="E194" s="82"/>
      <c r="F194" s="82">
        <f>SUBTOTAL(9,F2:F192)</f>
        <v>80423426.50999999</v>
      </c>
      <c r="G194" s="90" t="e">
        <f>IF(A194&lt;&gt;"", F194/ VLOOKUP(A194, 'Курс валют'!$A:$D, 4, 0), "")</f>
        <v>#N/A</v>
      </c>
      <c r="H194" s="500"/>
    </row>
    <row r="195" spans="1:8" ht="20.100000000000001" customHeight="1" x14ac:dyDescent="0.45">
      <c r="A195" s="494">
        <v>46150</v>
      </c>
      <c r="B195" s="80" t="s">
        <v>74</v>
      </c>
      <c r="C195" s="81" t="s">
        <v>75</v>
      </c>
      <c r="D195" s="399">
        <v>15</v>
      </c>
      <c r="E195" s="82">
        <f t="shared" ref="E195:E229" si="1">F195/D195</f>
        <v>45000</v>
      </c>
      <c r="F195" s="82">
        <v>675000</v>
      </c>
      <c r="G195" s="90">
        <f>IF(A195&lt;&gt;"", F195/ VLOOKUP(A195, 'Курс валют'!$A:$D, 4, 0), "")</f>
        <v>55.785123966942152</v>
      </c>
      <c r="H195" s="500"/>
    </row>
    <row r="196" spans="1:8" ht="20.100000000000001" customHeight="1" x14ac:dyDescent="0.45">
      <c r="A196" s="494">
        <v>46150</v>
      </c>
      <c r="B196" s="80" t="s">
        <v>71</v>
      </c>
      <c r="C196" s="81" t="s">
        <v>59</v>
      </c>
      <c r="D196" s="399">
        <v>53</v>
      </c>
      <c r="E196" s="82">
        <f t="shared" si="1"/>
        <v>8490.566037735849</v>
      </c>
      <c r="F196" s="82">
        <v>450000</v>
      </c>
      <c r="G196" s="90">
        <f>IF(A196&lt;&gt;"", F196/ VLOOKUP(A196, 'Курс валют'!$A:$D, 4, 0), "")</f>
        <v>37.190082644628099</v>
      </c>
      <c r="H196" s="500"/>
    </row>
    <row r="197" spans="1:8" ht="20.100000000000001" customHeight="1" x14ac:dyDescent="0.45">
      <c r="A197" s="494">
        <v>46150</v>
      </c>
      <c r="B197" s="80" t="s">
        <v>60</v>
      </c>
      <c r="C197" s="81" t="s">
        <v>59</v>
      </c>
      <c r="D197" s="399">
        <v>30</v>
      </c>
      <c r="E197" s="82">
        <f t="shared" si="1"/>
        <v>4500</v>
      </c>
      <c r="F197" s="82">
        <v>135000</v>
      </c>
      <c r="G197" s="90">
        <f>IF(A197&lt;&gt;"", F197/ VLOOKUP(A197, 'Курс валют'!$A:$D, 4, 0), "")</f>
        <v>11.15702479338843</v>
      </c>
      <c r="H197" s="500"/>
    </row>
    <row r="198" spans="1:8" ht="20.100000000000001" customHeight="1" x14ac:dyDescent="0.45">
      <c r="A198" s="494">
        <v>46150</v>
      </c>
      <c r="B198" s="80" t="s">
        <v>78</v>
      </c>
      <c r="C198" s="81" t="s">
        <v>59</v>
      </c>
      <c r="D198" s="399">
        <v>15</v>
      </c>
      <c r="E198" s="82">
        <f t="shared" si="1"/>
        <v>18000</v>
      </c>
      <c r="F198" s="82">
        <v>270000</v>
      </c>
      <c r="G198" s="90">
        <f>IF(A198&lt;&gt;"", F198/ VLOOKUP(A198, 'Курс валют'!$A:$D, 4, 0), "")</f>
        <v>22.314049586776861</v>
      </c>
      <c r="H198" s="500"/>
    </row>
    <row r="199" spans="1:8" ht="20.100000000000001" customHeight="1" x14ac:dyDescent="0.45">
      <c r="A199" s="494">
        <v>46150</v>
      </c>
      <c r="B199" s="80" t="s">
        <v>67</v>
      </c>
      <c r="C199" s="81" t="s">
        <v>62</v>
      </c>
      <c r="D199" s="399">
        <v>10</v>
      </c>
      <c r="E199" s="82">
        <f t="shared" si="1"/>
        <v>24000</v>
      </c>
      <c r="F199" s="82">
        <v>240000</v>
      </c>
      <c r="G199" s="90">
        <f>IF(A199&lt;&gt;"", F199/ VLOOKUP(A199, 'Курс валют'!$A:$D, 4, 0), "")</f>
        <v>19.834710743801654</v>
      </c>
      <c r="H199" s="500"/>
    </row>
    <row r="200" spans="1:8" ht="20.100000000000001" customHeight="1" x14ac:dyDescent="0.45">
      <c r="A200" s="494">
        <v>46150</v>
      </c>
      <c r="B200" s="80" t="s">
        <v>81</v>
      </c>
      <c r="C200" s="81" t="s">
        <v>62</v>
      </c>
      <c r="D200" s="399">
        <v>15</v>
      </c>
      <c r="E200" s="82">
        <f t="shared" si="1"/>
        <v>26000</v>
      </c>
      <c r="F200" s="82">
        <v>390000</v>
      </c>
      <c r="G200" s="90">
        <f>IF(A200&lt;&gt;"", F200/ VLOOKUP(A200, 'Курс валют'!$A:$D, 4, 0), "")</f>
        <v>32.231404958677686</v>
      </c>
      <c r="H200" s="500"/>
    </row>
    <row r="201" spans="1:8" ht="20.100000000000001" customHeight="1" x14ac:dyDescent="0.45">
      <c r="A201" s="494">
        <v>46150</v>
      </c>
      <c r="B201" s="80" t="s">
        <v>116</v>
      </c>
      <c r="C201" s="81" t="s">
        <v>59</v>
      </c>
      <c r="D201" s="399">
        <v>18</v>
      </c>
      <c r="E201" s="82">
        <f t="shared" si="1"/>
        <v>20000</v>
      </c>
      <c r="F201" s="82">
        <v>360000</v>
      </c>
      <c r="G201" s="90">
        <f>IF(A201&lt;&gt;"", F201/ VLOOKUP(A201, 'Курс валют'!$A:$D, 4, 0), "")</f>
        <v>29.75206611570248</v>
      </c>
      <c r="H201" s="500"/>
    </row>
    <row r="202" spans="1:8" ht="20.100000000000001" customHeight="1" x14ac:dyDescent="0.45">
      <c r="A202" s="494">
        <v>46150</v>
      </c>
      <c r="B202" s="80" t="s">
        <v>117</v>
      </c>
      <c r="C202" s="81" t="s">
        <v>59</v>
      </c>
      <c r="D202" s="399">
        <v>15</v>
      </c>
      <c r="E202" s="82">
        <f t="shared" si="1"/>
        <v>12000</v>
      </c>
      <c r="F202" s="82">
        <v>180000</v>
      </c>
      <c r="G202" s="90">
        <f>IF(A202&lt;&gt;"", F202/ VLOOKUP(A202, 'Курс валют'!$A:$D, 4, 0), "")</f>
        <v>14.87603305785124</v>
      </c>
      <c r="H202" s="500"/>
    </row>
    <row r="203" spans="1:8" ht="20.100000000000001" customHeight="1" x14ac:dyDescent="0.45">
      <c r="A203" s="494">
        <v>46150</v>
      </c>
      <c r="B203" s="80" t="s">
        <v>108</v>
      </c>
      <c r="C203" s="81" t="s">
        <v>69</v>
      </c>
      <c r="D203" s="399">
        <v>1</v>
      </c>
      <c r="E203" s="82">
        <f t="shared" si="1"/>
        <v>150000</v>
      </c>
      <c r="F203" s="82">
        <v>150000</v>
      </c>
      <c r="G203" s="90">
        <f>IF(A203&lt;&gt;"", F203/ VLOOKUP(A203, 'Курс валют'!$A:$D, 4, 0), "")</f>
        <v>12.396694214876034</v>
      </c>
      <c r="H203" s="500"/>
    </row>
    <row r="204" spans="1:8" ht="20.100000000000001" customHeight="1" x14ac:dyDescent="0.45">
      <c r="A204" s="494">
        <v>46150</v>
      </c>
      <c r="B204" s="80" t="s">
        <v>76</v>
      </c>
      <c r="C204" s="81" t="s">
        <v>59</v>
      </c>
      <c r="D204" s="399">
        <v>7</v>
      </c>
      <c r="E204" s="82">
        <f t="shared" si="1"/>
        <v>52142.857142857145</v>
      </c>
      <c r="F204" s="82">
        <v>365000</v>
      </c>
      <c r="G204" s="90">
        <f>IF(A204&lt;&gt;"", F204/ VLOOKUP(A204, 'Курс валют'!$A:$D, 4, 0), "")</f>
        <v>30.165289256198346</v>
      </c>
      <c r="H204" s="500"/>
    </row>
    <row r="205" spans="1:8" ht="20.100000000000001" customHeight="1" x14ac:dyDescent="0.45">
      <c r="A205" s="494">
        <v>46150</v>
      </c>
      <c r="B205" s="80" t="s">
        <v>70</v>
      </c>
      <c r="C205" s="81" t="s">
        <v>59</v>
      </c>
      <c r="D205" s="399">
        <v>15</v>
      </c>
      <c r="E205" s="82">
        <f t="shared" si="1"/>
        <v>13333.333333333334</v>
      </c>
      <c r="F205" s="82">
        <v>200000</v>
      </c>
      <c r="G205" s="90">
        <f>IF(A205&lt;&gt;"", F205/ VLOOKUP(A205, 'Курс валют'!$A:$D, 4, 0), "")</f>
        <v>16.528925619834709</v>
      </c>
      <c r="H205" s="500"/>
    </row>
    <row r="206" spans="1:8" ht="20.100000000000001" customHeight="1" x14ac:dyDescent="0.45">
      <c r="A206" s="494">
        <v>46150</v>
      </c>
      <c r="B206" s="80" t="s">
        <v>126</v>
      </c>
      <c r="C206" s="81" t="s">
        <v>59</v>
      </c>
      <c r="D206" s="399">
        <v>3</v>
      </c>
      <c r="E206" s="82">
        <f t="shared" si="1"/>
        <v>23333.333333333332</v>
      </c>
      <c r="F206" s="82">
        <v>70000</v>
      </c>
      <c r="G206" s="90">
        <f>IF(A206&lt;&gt;"", F206/ VLOOKUP(A206, 'Курс валют'!$A:$D, 4, 0), "")</f>
        <v>5.785123966942149</v>
      </c>
      <c r="H206" s="500"/>
    </row>
    <row r="207" spans="1:8" ht="20.100000000000001" customHeight="1" x14ac:dyDescent="0.45">
      <c r="A207" s="494">
        <v>46150</v>
      </c>
      <c r="B207" s="80" t="s">
        <v>77</v>
      </c>
      <c r="C207" s="81" t="s">
        <v>59</v>
      </c>
      <c r="D207" s="399">
        <v>2</v>
      </c>
      <c r="E207" s="82">
        <f t="shared" si="1"/>
        <v>25000</v>
      </c>
      <c r="F207" s="82">
        <v>50000</v>
      </c>
      <c r="G207" s="90">
        <f>IF(A207&lt;&gt;"", F207/ VLOOKUP(A207, 'Курс валют'!$A:$D, 4, 0), "")</f>
        <v>4.1322314049586772</v>
      </c>
      <c r="H207" s="500"/>
    </row>
    <row r="208" spans="1:8" ht="20.100000000000001" customHeight="1" x14ac:dyDescent="0.45">
      <c r="A208" s="494">
        <v>46150</v>
      </c>
      <c r="B208" s="80" t="s">
        <v>89</v>
      </c>
      <c r="C208" s="81" t="s">
        <v>59</v>
      </c>
      <c r="D208" s="399">
        <v>2</v>
      </c>
      <c r="E208" s="82">
        <f t="shared" si="1"/>
        <v>70000</v>
      </c>
      <c r="F208" s="82">
        <v>140000</v>
      </c>
      <c r="G208" s="90">
        <f>IF(A208&lt;&gt;"", F208/ VLOOKUP(A208, 'Курс валют'!$A:$D, 4, 0), "")</f>
        <v>11.570247933884298</v>
      </c>
      <c r="H208" s="500"/>
    </row>
    <row r="209" spans="1:8" ht="20.100000000000001" customHeight="1" x14ac:dyDescent="0.45">
      <c r="A209" s="494">
        <v>46150</v>
      </c>
      <c r="B209" s="80" t="s">
        <v>112</v>
      </c>
      <c r="C209" s="81" t="s">
        <v>59</v>
      </c>
      <c r="D209" s="399">
        <v>0.5</v>
      </c>
      <c r="E209" s="82">
        <f t="shared" si="1"/>
        <v>120000</v>
      </c>
      <c r="F209" s="82">
        <v>60000</v>
      </c>
      <c r="G209" s="90">
        <f>IF(A209&lt;&gt;"", F209/ VLOOKUP(A209, 'Курс валют'!$A:$D, 4, 0), "")</f>
        <v>4.9586776859504136</v>
      </c>
      <c r="H209" s="500"/>
    </row>
    <row r="210" spans="1:8" ht="20.100000000000001" customHeight="1" x14ac:dyDescent="0.45">
      <c r="A210" s="494">
        <v>46150</v>
      </c>
      <c r="B210" s="80" t="s">
        <v>68</v>
      </c>
      <c r="C210" s="81" t="s">
        <v>69</v>
      </c>
      <c r="D210" s="399">
        <v>2</v>
      </c>
      <c r="E210" s="82">
        <f t="shared" si="1"/>
        <v>35000</v>
      </c>
      <c r="F210" s="82">
        <v>70000</v>
      </c>
      <c r="G210" s="90">
        <f>IF(A210&lt;&gt;"", F210/ VLOOKUP(A210, 'Курс валют'!$A:$D, 4, 0), "")</f>
        <v>5.785123966942149</v>
      </c>
      <c r="H210" s="500"/>
    </row>
    <row r="211" spans="1:8" ht="20.100000000000001" customHeight="1" x14ac:dyDescent="0.45">
      <c r="A211" s="494">
        <v>46150</v>
      </c>
      <c r="B211" s="80" t="s">
        <v>82</v>
      </c>
      <c r="C211" s="81" t="s">
        <v>59</v>
      </c>
      <c r="D211" s="399">
        <v>30</v>
      </c>
      <c r="E211" s="82">
        <f t="shared" si="1"/>
        <v>110366.66666666667</v>
      </c>
      <c r="F211" s="82">
        <v>3311000</v>
      </c>
      <c r="G211" s="90">
        <f>IF(A211&lt;&gt;"", F211/ VLOOKUP(A211, 'Курс валют'!$A:$D, 4, 0), "")</f>
        <v>273.63636363636363</v>
      </c>
      <c r="H211" s="500"/>
    </row>
    <row r="212" spans="1:8" ht="20.100000000000001" customHeight="1" x14ac:dyDescent="0.45">
      <c r="A212" s="494">
        <v>46156</v>
      </c>
      <c r="B212" s="80" t="s">
        <v>82</v>
      </c>
      <c r="C212" s="81" t="s">
        <v>59</v>
      </c>
      <c r="D212" s="399">
        <v>32</v>
      </c>
      <c r="E212" s="82">
        <f t="shared" si="1"/>
        <v>103125</v>
      </c>
      <c r="F212" s="82">
        <v>3300000</v>
      </c>
      <c r="G212" s="90">
        <f>IF(A212&lt;&gt;"", F212/ VLOOKUP(A212, 'Курс валют'!$A:$D, 4, 0), "")</f>
        <v>272.05276174773292</v>
      </c>
      <c r="H212" s="500">
        <f>SUM(F195:F211)*103%</f>
        <v>7329480</v>
      </c>
    </row>
    <row r="213" spans="1:8" ht="20.100000000000001" customHeight="1" x14ac:dyDescent="0.45">
      <c r="A213" s="494">
        <v>46156</v>
      </c>
      <c r="B213" s="80" t="s">
        <v>74</v>
      </c>
      <c r="C213" s="81" t="s">
        <v>75</v>
      </c>
      <c r="D213" s="399">
        <v>15</v>
      </c>
      <c r="E213" s="82">
        <f t="shared" si="1"/>
        <v>46000</v>
      </c>
      <c r="F213" s="82">
        <v>690000</v>
      </c>
      <c r="G213" s="90">
        <f>IF(A213&lt;&gt;"", F213/ VLOOKUP(A213, 'Курс валют'!$A:$D, 4, 0), "")</f>
        <v>56.883759274525971</v>
      </c>
      <c r="H213" s="501"/>
    </row>
    <row r="214" spans="1:8" ht="20.100000000000001" customHeight="1" x14ac:dyDescent="0.45">
      <c r="A214" s="494">
        <v>46156</v>
      </c>
      <c r="B214" s="80" t="s">
        <v>58</v>
      </c>
      <c r="C214" s="81" t="s">
        <v>59</v>
      </c>
      <c r="D214" s="399">
        <v>112</v>
      </c>
      <c r="E214" s="82">
        <f t="shared" si="1"/>
        <v>6517.8571428571431</v>
      </c>
      <c r="F214" s="82">
        <v>730000</v>
      </c>
      <c r="G214" s="90">
        <f>IF(A214&lt;&gt;"", F214/ VLOOKUP(A214, 'Курс валют'!$A:$D, 4, 0), "")</f>
        <v>60.18136850783182</v>
      </c>
      <c r="H214" s="501"/>
    </row>
    <row r="215" spans="1:8" ht="20.100000000000001" customHeight="1" x14ac:dyDescent="0.45">
      <c r="A215" s="494">
        <v>46156</v>
      </c>
      <c r="B215" s="80" t="s">
        <v>60</v>
      </c>
      <c r="C215" s="81" t="s">
        <v>59</v>
      </c>
      <c r="D215" s="399">
        <v>30</v>
      </c>
      <c r="E215" s="82">
        <f t="shared" si="1"/>
        <v>4000</v>
      </c>
      <c r="F215" s="82">
        <v>120000</v>
      </c>
      <c r="G215" s="90">
        <f>IF(A215&lt;&gt;"", F215/ VLOOKUP(A215, 'Курс валют'!$A:$D, 4, 0), "")</f>
        <v>9.8928276999175591</v>
      </c>
      <c r="H215" s="501"/>
    </row>
    <row r="216" spans="1:8" ht="20.100000000000001" customHeight="1" x14ac:dyDescent="0.45">
      <c r="A216" s="494">
        <v>46156</v>
      </c>
      <c r="B216" s="80" t="s">
        <v>70</v>
      </c>
      <c r="C216" s="81" t="s">
        <v>127</v>
      </c>
      <c r="D216" s="399">
        <v>1</v>
      </c>
      <c r="E216" s="82">
        <f t="shared" si="1"/>
        <v>180000</v>
      </c>
      <c r="F216" s="82">
        <v>180000</v>
      </c>
      <c r="G216" s="90">
        <f>IF(A216&lt;&gt;"", F216/ VLOOKUP(A216, 'Курс валют'!$A:$D, 4, 0), "")</f>
        <v>14.839241549876339</v>
      </c>
      <c r="H216" s="501"/>
    </row>
    <row r="217" spans="1:8" ht="20.100000000000001" customHeight="1" x14ac:dyDescent="0.45">
      <c r="A217" s="494">
        <v>46156</v>
      </c>
      <c r="B217" s="80" t="s">
        <v>116</v>
      </c>
      <c r="C217" s="81" t="s">
        <v>59</v>
      </c>
      <c r="D217" s="399">
        <v>15</v>
      </c>
      <c r="E217" s="82">
        <f t="shared" si="1"/>
        <v>18666.666666666668</v>
      </c>
      <c r="F217" s="82">
        <v>280000</v>
      </c>
      <c r="G217" s="90">
        <f>IF(A217&lt;&gt;"", F217/ VLOOKUP(A217, 'Курс валют'!$A:$D, 4, 0), "")</f>
        <v>23.083264633140974</v>
      </c>
      <c r="H217" s="501"/>
    </row>
    <row r="218" spans="1:8" ht="20.100000000000001" customHeight="1" x14ac:dyDescent="0.45">
      <c r="A218" s="494">
        <v>46156</v>
      </c>
      <c r="B218" s="80" t="s">
        <v>117</v>
      </c>
      <c r="C218" s="81" t="s">
        <v>59</v>
      </c>
      <c r="D218" s="399">
        <v>15</v>
      </c>
      <c r="E218" s="82">
        <f t="shared" si="1"/>
        <v>10666.666666666666</v>
      </c>
      <c r="F218" s="82">
        <v>160000</v>
      </c>
      <c r="G218" s="90">
        <f>IF(A218&lt;&gt;"", F218/ VLOOKUP(A218, 'Курс валют'!$A:$D, 4, 0), "")</f>
        <v>13.190436933223413</v>
      </c>
      <c r="H218" s="501"/>
    </row>
    <row r="219" spans="1:8" ht="20.100000000000001" customHeight="1" x14ac:dyDescent="0.45">
      <c r="A219" s="494">
        <v>46156</v>
      </c>
      <c r="B219" s="80" t="s">
        <v>68</v>
      </c>
      <c r="C219" s="81" t="s">
        <v>69</v>
      </c>
      <c r="D219" s="399">
        <v>2</v>
      </c>
      <c r="E219" s="82">
        <f t="shared" si="1"/>
        <v>35000</v>
      </c>
      <c r="F219" s="82">
        <v>70000</v>
      </c>
      <c r="G219" s="90">
        <f>IF(A219&lt;&gt;"", F219/ VLOOKUP(A219, 'Курс валют'!$A:$D, 4, 0), "")</f>
        <v>5.7708161582852435</v>
      </c>
      <c r="H219" s="501"/>
    </row>
    <row r="220" spans="1:8" ht="20.100000000000001" customHeight="1" x14ac:dyDescent="0.45">
      <c r="A220" s="494">
        <v>46156</v>
      </c>
      <c r="B220" s="80" t="s">
        <v>77</v>
      </c>
      <c r="C220" s="81" t="s">
        <v>59</v>
      </c>
      <c r="D220" s="399">
        <v>2</v>
      </c>
      <c r="E220" s="82">
        <f t="shared" si="1"/>
        <v>27500</v>
      </c>
      <c r="F220" s="82">
        <v>55000</v>
      </c>
      <c r="G220" s="90">
        <f>IF(A220&lt;&gt;"", F220/ VLOOKUP(A220, 'Курс валют'!$A:$D, 4, 0), "")</f>
        <v>4.5342126957955484</v>
      </c>
      <c r="H220" s="501"/>
    </row>
    <row r="221" spans="1:8" ht="20.100000000000001" customHeight="1" x14ac:dyDescent="0.45">
      <c r="A221" s="494">
        <v>46156</v>
      </c>
      <c r="B221" s="80" t="s">
        <v>76</v>
      </c>
      <c r="C221" s="81" t="s">
        <v>69</v>
      </c>
      <c r="D221" s="399">
        <v>7</v>
      </c>
      <c r="E221" s="82">
        <f t="shared" si="1"/>
        <v>52142.857142857145</v>
      </c>
      <c r="F221" s="82">
        <v>365000</v>
      </c>
      <c r="G221" s="90">
        <f>IF(A221&lt;&gt;"", F221/ VLOOKUP(A221, 'Курс валют'!$A:$D, 4, 0), "")</f>
        <v>30.09068425391591</v>
      </c>
      <c r="H221" s="501"/>
    </row>
    <row r="222" spans="1:8" ht="20.100000000000001" customHeight="1" x14ac:dyDescent="0.45">
      <c r="A222" s="494">
        <v>46156</v>
      </c>
      <c r="B222" s="80" t="s">
        <v>126</v>
      </c>
      <c r="C222" s="81" t="s">
        <v>59</v>
      </c>
      <c r="D222" s="399">
        <v>2</v>
      </c>
      <c r="E222" s="82">
        <f t="shared" si="1"/>
        <v>25000</v>
      </c>
      <c r="F222" s="82">
        <v>50000</v>
      </c>
      <c r="G222" s="90">
        <f>IF(A222&lt;&gt;"", F222/ VLOOKUP(A222, 'Курс валют'!$A:$D, 4, 0), "")</f>
        <v>4.1220115416323164</v>
      </c>
      <c r="H222" s="501"/>
    </row>
    <row r="223" spans="1:8" ht="20.100000000000001" customHeight="1" x14ac:dyDescent="0.45">
      <c r="A223" s="494">
        <v>46156</v>
      </c>
      <c r="B223" s="80" t="s">
        <v>67</v>
      </c>
      <c r="C223" s="81" t="s">
        <v>62</v>
      </c>
      <c r="D223" s="399">
        <v>10</v>
      </c>
      <c r="E223" s="82">
        <f t="shared" si="1"/>
        <v>24000</v>
      </c>
      <c r="F223" s="82">
        <v>240000</v>
      </c>
      <c r="G223" s="90">
        <f>IF(A223&lt;&gt;"", F223/ VLOOKUP(A223, 'Курс валют'!$A:$D, 4, 0), "")</f>
        <v>19.785655399835118</v>
      </c>
      <c r="H223" s="501"/>
    </row>
    <row r="224" spans="1:8" ht="20.100000000000001" customHeight="1" x14ac:dyDescent="0.45">
      <c r="A224" s="494">
        <v>46156</v>
      </c>
      <c r="B224" s="80" t="s">
        <v>81</v>
      </c>
      <c r="C224" s="81" t="s">
        <v>62</v>
      </c>
      <c r="D224" s="399">
        <v>10</v>
      </c>
      <c r="E224" s="82">
        <f t="shared" si="1"/>
        <v>26000</v>
      </c>
      <c r="F224" s="82">
        <v>260000</v>
      </c>
      <c r="G224" s="90">
        <f>IF(A224&lt;&gt;"", F224/ VLOOKUP(A224, 'Курс валют'!$A:$D, 4, 0), "")</f>
        <v>21.434460016488046</v>
      </c>
      <c r="H224" s="501"/>
    </row>
    <row r="225" spans="1:8" ht="20.100000000000001" customHeight="1" x14ac:dyDescent="0.45">
      <c r="A225" s="494">
        <v>46156</v>
      </c>
      <c r="B225" s="80" t="s">
        <v>78</v>
      </c>
      <c r="C225" s="81" t="s">
        <v>59</v>
      </c>
      <c r="D225" s="399">
        <v>10</v>
      </c>
      <c r="E225" s="82">
        <f t="shared" si="1"/>
        <v>18000</v>
      </c>
      <c r="F225" s="82">
        <v>180000</v>
      </c>
      <c r="G225" s="90">
        <f>IF(A225&lt;&gt;"", F225/ VLOOKUP(A225, 'Курс валют'!$A:$D, 4, 0), "")</f>
        <v>14.839241549876339</v>
      </c>
      <c r="H225" s="501"/>
    </row>
    <row r="226" spans="1:8" ht="20.100000000000001" customHeight="1" x14ac:dyDescent="0.45">
      <c r="A226" s="494">
        <v>46156</v>
      </c>
      <c r="B226" s="80" t="s">
        <v>113</v>
      </c>
      <c r="C226" s="81" t="s">
        <v>59</v>
      </c>
      <c r="D226" s="399">
        <v>1</v>
      </c>
      <c r="E226" s="82">
        <f t="shared" si="1"/>
        <v>110000</v>
      </c>
      <c r="F226" s="82">
        <v>110000</v>
      </c>
      <c r="G226" s="90">
        <f>IF(A226&lt;&gt;"", F226/ VLOOKUP(A226, 'Курс валют'!$A:$D, 4, 0), "")</f>
        <v>9.0684253915910968</v>
      </c>
      <c r="H226" s="501"/>
    </row>
    <row r="227" spans="1:8" ht="20.100000000000001" customHeight="1" x14ac:dyDescent="0.45">
      <c r="A227" s="494">
        <v>46156</v>
      </c>
      <c r="B227" s="80" t="s">
        <v>108</v>
      </c>
      <c r="C227" s="81" t="s">
        <v>69</v>
      </c>
      <c r="D227" s="399">
        <v>1</v>
      </c>
      <c r="E227" s="82">
        <f t="shared" si="1"/>
        <v>130000</v>
      </c>
      <c r="F227" s="82">
        <v>130000</v>
      </c>
      <c r="G227" s="90">
        <f>IF(A227&lt;&gt;"", F227/ VLOOKUP(A227, 'Курс валют'!$A:$D, 4, 0), "")</f>
        <v>10.717230008244023</v>
      </c>
      <c r="H227" s="501"/>
    </row>
    <row r="228" spans="1:8" ht="20.100000000000001" customHeight="1" x14ac:dyDescent="0.45">
      <c r="A228" s="494">
        <v>46156</v>
      </c>
      <c r="B228" s="80" t="s">
        <v>71</v>
      </c>
      <c r="C228" s="81" t="s">
        <v>59</v>
      </c>
      <c r="D228" s="399">
        <v>53</v>
      </c>
      <c r="E228" s="82">
        <f t="shared" si="1"/>
        <v>9245.2830188679254</v>
      </c>
      <c r="F228" s="82">
        <v>490000</v>
      </c>
      <c r="G228" s="90">
        <f>IF(A228&lt;&gt;"", F228/ VLOOKUP(A228, 'Курс валют'!$A:$D, 4, 0), "")</f>
        <v>40.395713107996706</v>
      </c>
      <c r="H228" s="501"/>
    </row>
    <row r="229" spans="1:8" ht="20.100000000000001" customHeight="1" thickBot="1" x14ac:dyDescent="0.5">
      <c r="A229" s="498">
        <v>46156</v>
      </c>
      <c r="B229" s="84" t="s">
        <v>107</v>
      </c>
      <c r="C229" s="85" t="s">
        <v>59</v>
      </c>
      <c r="D229" s="403">
        <v>22</v>
      </c>
      <c r="E229" s="86">
        <f t="shared" si="1"/>
        <v>5454.545454545455</v>
      </c>
      <c r="F229" s="86">
        <v>120000</v>
      </c>
      <c r="G229" s="90">
        <f>IF(A229&lt;&gt;"", F229/ VLOOKUP(A229, 'Курс валют'!$A:$D, 4, 0), "")</f>
        <v>9.8928276999175591</v>
      </c>
      <c r="H229" s="502"/>
    </row>
    <row r="230" spans="1:8" ht="20.100000000000001" customHeight="1" x14ac:dyDescent="0.45">
      <c r="A230" s="507">
        <v>46163</v>
      </c>
      <c r="B230" s="508" t="s">
        <v>82</v>
      </c>
      <c r="C230" s="509" t="s">
        <v>59</v>
      </c>
      <c r="D230" s="510">
        <v>34.061</v>
      </c>
      <c r="E230" s="511">
        <f>F230/D230</f>
        <v>104999.85320454479</v>
      </c>
      <c r="F230" s="511">
        <v>3576400</v>
      </c>
      <c r="G230" s="512">
        <f>IF(A230&lt;&gt;"", F230/ VLOOKUP(A230, 'Курс валют'!$A:$D, 4, 0), "")</f>
        <v>294.83924154987636</v>
      </c>
      <c r="H230" s="513"/>
    </row>
    <row r="231" spans="1:8" ht="20.100000000000001" customHeight="1" x14ac:dyDescent="0.45">
      <c r="A231" s="494">
        <v>46163</v>
      </c>
      <c r="B231" s="80" t="s">
        <v>58</v>
      </c>
      <c r="C231" s="81" t="s">
        <v>59</v>
      </c>
      <c r="D231" s="399">
        <v>58</v>
      </c>
      <c r="E231" s="82">
        <f t="shared" ref="E231:E261" si="2">F231/D231</f>
        <v>6896.5517241379312</v>
      </c>
      <c r="F231" s="82">
        <v>400000</v>
      </c>
      <c r="G231" s="512">
        <f>IF(A231&lt;&gt;"", F231/ VLOOKUP(A231, 'Курс валют'!$A:$D, 4, 0), "")</f>
        <v>32.976092333058531</v>
      </c>
      <c r="H231" s="501"/>
    </row>
    <row r="232" spans="1:8" ht="20.100000000000001" customHeight="1" x14ac:dyDescent="0.45">
      <c r="A232" s="507">
        <v>46163</v>
      </c>
      <c r="B232" s="80" t="s">
        <v>67</v>
      </c>
      <c r="C232" s="81" t="s">
        <v>62</v>
      </c>
      <c r="D232" s="399">
        <v>10</v>
      </c>
      <c r="E232" s="82">
        <f t="shared" si="2"/>
        <v>24000</v>
      </c>
      <c r="F232" s="82">
        <v>240000</v>
      </c>
      <c r="G232" s="512">
        <f>IF(A232&lt;&gt;"", F232/ VLOOKUP(A232, 'Курс валют'!$A:$D, 4, 0), "")</f>
        <v>19.785655399835118</v>
      </c>
      <c r="H232" s="501"/>
    </row>
    <row r="233" spans="1:8" ht="20.100000000000001" customHeight="1" x14ac:dyDescent="0.45">
      <c r="A233" s="494">
        <v>46163</v>
      </c>
      <c r="B233" s="80" t="s">
        <v>81</v>
      </c>
      <c r="C233" s="81" t="s">
        <v>62</v>
      </c>
      <c r="D233" s="399">
        <v>15</v>
      </c>
      <c r="E233" s="82">
        <f t="shared" si="2"/>
        <v>26000</v>
      </c>
      <c r="F233" s="82">
        <v>390000</v>
      </c>
      <c r="G233" s="512">
        <f>IF(A233&lt;&gt;"", F233/ VLOOKUP(A233, 'Курс валют'!$A:$D, 4, 0), "")</f>
        <v>32.151690024732069</v>
      </c>
      <c r="H233" s="501"/>
    </row>
    <row r="234" spans="1:8" ht="20.100000000000001" customHeight="1" x14ac:dyDescent="0.45">
      <c r="A234" s="507">
        <v>46163</v>
      </c>
      <c r="B234" s="80" t="s">
        <v>116</v>
      </c>
      <c r="C234" s="81" t="s">
        <v>59</v>
      </c>
      <c r="D234" s="399">
        <v>15</v>
      </c>
      <c r="E234" s="82">
        <f t="shared" si="2"/>
        <v>17333.333333333332</v>
      </c>
      <c r="F234" s="82">
        <v>260000</v>
      </c>
      <c r="G234" s="512">
        <f>IF(A234&lt;&gt;"", F234/ VLOOKUP(A234, 'Курс валют'!$A:$D, 4, 0), "")</f>
        <v>21.434460016488046</v>
      </c>
      <c r="H234" s="501"/>
    </row>
    <row r="235" spans="1:8" ht="20.100000000000001" customHeight="1" x14ac:dyDescent="0.45">
      <c r="A235" s="494">
        <v>46163</v>
      </c>
      <c r="B235" s="80" t="s">
        <v>117</v>
      </c>
      <c r="C235" s="81" t="s">
        <v>59</v>
      </c>
      <c r="D235" s="399">
        <v>15</v>
      </c>
      <c r="E235" s="82">
        <f t="shared" si="2"/>
        <v>10000</v>
      </c>
      <c r="F235" s="82">
        <v>150000</v>
      </c>
      <c r="G235" s="512">
        <f>IF(A235&lt;&gt;"", F235/ VLOOKUP(A235, 'Курс валют'!$A:$D, 4, 0), "")</f>
        <v>12.366034624896949</v>
      </c>
      <c r="H235" s="501"/>
    </row>
    <row r="236" spans="1:8" ht="20.100000000000001" customHeight="1" x14ac:dyDescent="0.45">
      <c r="A236" s="507">
        <v>46163</v>
      </c>
      <c r="B236" s="80" t="s">
        <v>126</v>
      </c>
      <c r="C236" s="81" t="s">
        <v>59</v>
      </c>
      <c r="D236" s="399">
        <v>2</v>
      </c>
      <c r="E236" s="82">
        <f t="shared" si="2"/>
        <v>22500</v>
      </c>
      <c r="F236" s="82">
        <v>45000</v>
      </c>
      <c r="G236" s="512">
        <f>IF(A236&lt;&gt;"", F236/ VLOOKUP(A236, 'Курс валют'!$A:$D, 4, 0), "")</f>
        <v>3.7098103874690849</v>
      </c>
      <c r="H236" s="501"/>
    </row>
    <row r="237" spans="1:8" ht="20.100000000000001" customHeight="1" x14ac:dyDescent="0.45">
      <c r="A237" s="494">
        <v>46163</v>
      </c>
      <c r="B237" s="80" t="s">
        <v>89</v>
      </c>
      <c r="C237" s="81" t="s">
        <v>59</v>
      </c>
      <c r="D237" s="399">
        <v>2</v>
      </c>
      <c r="E237" s="82">
        <f t="shared" si="2"/>
        <v>70000</v>
      </c>
      <c r="F237" s="82">
        <v>140000</v>
      </c>
      <c r="G237" s="512">
        <f>IF(A237&lt;&gt;"", F237/ VLOOKUP(A237, 'Курс валют'!$A:$D, 4, 0), "")</f>
        <v>11.541632316570487</v>
      </c>
      <c r="H237" s="501"/>
    </row>
    <row r="238" spans="1:8" ht="20.100000000000001" customHeight="1" x14ac:dyDescent="0.45">
      <c r="A238" s="507">
        <v>46163</v>
      </c>
      <c r="B238" s="80" t="s">
        <v>76</v>
      </c>
      <c r="C238" s="81" t="s">
        <v>69</v>
      </c>
      <c r="D238" s="399">
        <v>5</v>
      </c>
      <c r="E238" s="82">
        <f t="shared" si="2"/>
        <v>54000</v>
      </c>
      <c r="F238" s="82">
        <v>270000</v>
      </c>
      <c r="G238" s="512">
        <f>IF(A238&lt;&gt;"", F238/ VLOOKUP(A238, 'Курс валют'!$A:$D, 4, 0), "")</f>
        <v>22.258862324814508</v>
      </c>
      <c r="H238" s="501"/>
    </row>
    <row r="239" spans="1:8" ht="20.100000000000001" customHeight="1" x14ac:dyDescent="0.45">
      <c r="A239" s="494">
        <v>46163</v>
      </c>
      <c r="B239" s="80" t="s">
        <v>128</v>
      </c>
      <c r="C239" s="81" t="s">
        <v>59</v>
      </c>
      <c r="D239" s="399">
        <v>15</v>
      </c>
      <c r="E239" s="82">
        <f t="shared" si="2"/>
        <v>11333.333333333334</v>
      </c>
      <c r="F239" s="82">
        <v>170000</v>
      </c>
      <c r="G239" s="512">
        <f>IF(A239&lt;&gt;"", F239/ VLOOKUP(A239, 'Курс валют'!$A:$D, 4, 0), "")</f>
        <v>14.014839241549875</v>
      </c>
      <c r="H239" s="501"/>
    </row>
    <row r="240" spans="1:8" ht="20.100000000000001" customHeight="1" x14ac:dyDescent="0.45">
      <c r="A240" s="507">
        <v>46163</v>
      </c>
      <c r="B240" s="80" t="s">
        <v>74</v>
      </c>
      <c r="C240" s="81" t="s">
        <v>75</v>
      </c>
      <c r="D240" s="399">
        <v>15</v>
      </c>
      <c r="E240" s="82">
        <f t="shared" si="2"/>
        <v>43333.333333333336</v>
      </c>
      <c r="F240" s="82">
        <v>650000</v>
      </c>
      <c r="G240" s="512">
        <f>IF(A240&lt;&gt;"", F240/ VLOOKUP(A240, 'Курс валют'!$A:$D, 4, 0), "")</f>
        <v>53.586150041220115</v>
      </c>
      <c r="H240" s="501"/>
    </row>
    <row r="241" spans="1:8" ht="20.100000000000001" customHeight="1" x14ac:dyDescent="0.45">
      <c r="A241" s="494">
        <v>46163</v>
      </c>
      <c r="B241" s="80" t="s">
        <v>77</v>
      </c>
      <c r="C241" s="81" t="s">
        <v>59</v>
      </c>
      <c r="D241" s="399">
        <v>2</v>
      </c>
      <c r="E241" s="82">
        <f t="shared" si="2"/>
        <v>25000</v>
      </c>
      <c r="F241" s="82">
        <v>50000</v>
      </c>
      <c r="G241" s="512">
        <f>IF(A241&lt;&gt;"", F241/ VLOOKUP(A241, 'Курс валют'!$A:$D, 4, 0), "")</f>
        <v>4.1220115416323164</v>
      </c>
      <c r="H241" s="501"/>
    </row>
    <row r="242" spans="1:8" ht="20.100000000000001" customHeight="1" x14ac:dyDescent="0.45">
      <c r="A242" s="507">
        <v>46163</v>
      </c>
      <c r="B242" s="80" t="s">
        <v>60</v>
      </c>
      <c r="C242" s="81" t="s">
        <v>59</v>
      </c>
      <c r="D242" s="399">
        <v>30</v>
      </c>
      <c r="E242" s="82">
        <f t="shared" si="2"/>
        <v>4000</v>
      </c>
      <c r="F242" s="82">
        <v>120000</v>
      </c>
      <c r="G242" s="512">
        <f>IF(A242&lt;&gt;"", F242/ VLOOKUP(A242, 'Курс валют'!$A:$D, 4, 0), "")</f>
        <v>9.8928276999175591</v>
      </c>
      <c r="H242" s="501"/>
    </row>
    <row r="243" spans="1:8" ht="20.100000000000001" customHeight="1" x14ac:dyDescent="0.45">
      <c r="A243" s="494">
        <v>46163</v>
      </c>
      <c r="B243" s="80" t="s">
        <v>90</v>
      </c>
      <c r="C243" s="81" t="s">
        <v>59</v>
      </c>
      <c r="D243" s="399">
        <v>20</v>
      </c>
      <c r="E243" s="82">
        <f t="shared" si="2"/>
        <v>16000</v>
      </c>
      <c r="F243" s="82">
        <v>320000</v>
      </c>
      <c r="G243" s="512">
        <f>IF(A243&lt;&gt;"", F243/ VLOOKUP(A243, 'Курс валют'!$A:$D, 4, 0), "")</f>
        <v>26.380873866446827</v>
      </c>
      <c r="H243" s="501"/>
    </row>
    <row r="244" spans="1:8" ht="20.100000000000001" customHeight="1" x14ac:dyDescent="0.45">
      <c r="A244" s="507">
        <v>46163</v>
      </c>
      <c r="B244" s="80" t="s">
        <v>104</v>
      </c>
      <c r="C244" s="81" t="s">
        <v>59</v>
      </c>
      <c r="D244" s="399">
        <v>10</v>
      </c>
      <c r="E244" s="82">
        <f t="shared" si="2"/>
        <v>30000</v>
      </c>
      <c r="F244" s="82">
        <v>300000</v>
      </c>
      <c r="G244" s="512">
        <f>IF(A244&lt;&gt;"", F244/ VLOOKUP(A244, 'Курс валют'!$A:$D, 4, 0), "")</f>
        <v>24.732069249793899</v>
      </c>
      <c r="H244" s="501"/>
    </row>
    <row r="245" spans="1:8" ht="20.100000000000001" customHeight="1" x14ac:dyDescent="0.45">
      <c r="A245" s="494">
        <v>46168</v>
      </c>
      <c r="B245" s="508" t="s">
        <v>82</v>
      </c>
      <c r="C245" s="509" t="s">
        <v>59</v>
      </c>
      <c r="D245" s="399">
        <v>30</v>
      </c>
      <c r="E245" s="82">
        <f t="shared" si="2"/>
        <v>105033.33333333333</v>
      </c>
      <c r="F245" s="82">
        <v>3151000</v>
      </c>
      <c r="G245" s="512" t="e">
        <f>IF(A245&lt;&gt;"", F245/ VLOOKUP(A245, 'Курс валют'!$A:$D, 4, 0), "")</f>
        <v>#DIV/0!</v>
      </c>
      <c r="H245" s="501"/>
    </row>
    <row r="246" spans="1:8" ht="20.100000000000001" customHeight="1" x14ac:dyDescent="0.45">
      <c r="A246" s="494">
        <v>46168</v>
      </c>
      <c r="B246" s="80" t="s">
        <v>58</v>
      </c>
      <c r="C246" s="81" t="s">
        <v>59</v>
      </c>
      <c r="D246" s="399">
        <v>53</v>
      </c>
      <c r="E246" s="82">
        <f t="shared" si="2"/>
        <v>6981.132075471698</v>
      </c>
      <c r="F246" s="82">
        <v>370000</v>
      </c>
      <c r="G246" s="512" t="e">
        <f>IF(A246&lt;&gt;"", F246/ VLOOKUP(A246, 'Курс валют'!$A:$D, 4, 0), "")</f>
        <v>#DIV/0!</v>
      </c>
      <c r="H246" s="501"/>
    </row>
    <row r="247" spans="1:8" ht="20.100000000000001" customHeight="1" x14ac:dyDescent="0.45">
      <c r="A247" s="494">
        <v>46168</v>
      </c>
      <c r="B247" s="80" t="s">
        <v>81</v>
      </c>
      <c r="C247" s="81" t="s">
        <v>62</v>
      </c>
      <c r="D247" s="399">
        <v>25</v>
      </c>
      <c r="E247" s="82">
        <f t="shared" si="2"/>
        <v>26000</v>
      </c>
      <c r="F247" s="82">
        <v>650000</v>
      </c>
      <c r="G247" s="512" t="e">
        <f>IF(A247&lt;&gt;"", F247/ VLOOKUP(A247, 'Курс валют'!$A:$D, 4, 0), "")</f>
        <v>#DIV/0!</v>
      </c>
      <c r="H247" s="501"/>
    </row>
    <row r="248" spans="1:8" ht="20.100000000000001" customHeight="1" x14ac:dyDescent="0.45">
      <c r="A248" s="494">
        <v>46168</v>
      </c>
      <c r="B248" s="80" t="s">
        <v>116</v>
      </c>
      <c r="C248" s="81" t="s">
        <v>59</v>
      </c>
      <c r="D248" s="399">
        <v>15</v>
      </c>
      <c r="E248" s="82">
        <f t="shared" si="2"/>
        <v>19333.333333333332</v>
      </c>
      <c r="F248" s="82">
        <v>290000</v>
      </c>
      <c r="G248" s="512" t="e">
        <f>IF(A248&lt;&gt;"", F248/ VLOOKUP(A248, 'Курс валют'!$A:$D, 4, 0), "")</f>
        <v>#DIV/0!</v>
      </c>
      <c r="H248" s="501"/>
    </row>
    <row r="249" spans="1:8" ht="20.100000000000001" customHeight="1" x14ac:dyDescent="0.45">
      <c r="A249" s="494">
        <v>46168</v>
      </c>
      <c r="B249" s="80" t="s">
        <v>117</v>
      </c>
      <c r="C249" s="81" t="s">
        <v>59</v>
      </c>
      <c r="D249" s="399">
        <v>15</v>
      </c>
      <c r="E249" s="82">
        <f t="shared" si="2"/>
        <v>13333.333333333334</v>
      </c>
      <c r="F249" s="82">
        <v>200000</v>
      </c>
      <c r="G249" s="512" t="e">
        <f>IF(A249&lt;&gt;"", F249/ VLOOKUP(A249, 'Курс валют'!$A:$D, 4, 0), "")</f>
        <v>#DIV/0!</v>
      </c>
      <c r="H249" s="501"/>
    </row>
    <row r="250" spans="1:8" ht="20.100000000000001" customHeight="1" x14ac:dyDescent="0.45">
      <c r="A250" s="494">
        <v>46168</v>
      </c>
      <c r="B250" s="80" t="s">
        <v>126</v>
      </c>
      <c r="C250" s="81" t="s">
        <v>59</v>
      </c>
      <c r="D250" s="399">
        <v>2</v>
      </c>
      <c r="E250" s="82">
        <f t="shared" si="2"/>
        <v>20000</v>
      </c>
      <c r="F250" s="82">
        <v>40000</v>
      </c>
      <c r="G250" s="512" t="e">
        <f>IF(A250&lt;&gt;"", F250/ VLOOKUP(A250, 'Курс валют'!$A:$D, 4, 0), "")</f>
        <v>#DIV/0!</v>
      </c>
      <c r="H250" s="501"/>
    </row>
    <row r="251" spans="1:8" ht="20.100000000000001" customHeight="1" x14ac:dyDescent="0.45">
      <c r="A251" s="494">
        <v>46168</v>
      </c>
      <c r="B251" s="80" t="s">
        <v>89</v>
      </c>
      <c r="C251" s="81" t="s">
        <v>59</v>
      </c>
      <c r="D251" s="399">
        <v>2</v>
      </c>
      <c r="E251" s="82">
        <f t="shared" si="2"/>
        <v>70000</v>
      </c>
      <c r="F251" s="82">
        <v>140000</v>
      </c>
      <c r="G251" s="512" t="e">
        <f>IF(A251&lt;&gt;"", F251/ VLOOKUP(A251, 'Курс валют'!$A:$D, 4, 0), "")</f>
        <v>#DIV/0!</v>
      </c>
      <c r="H251" s="501"/>
    </row>
    <row r="252" spans="1:8" ht="20.100000000000001" customHeight="1" x14ac:dyDescent="0.45">
      <c r="A252" s="494">
        <v>46168</v>
      </c>
      <c r="B252" s="80" t="s">
        <v>76</v>
      </c>
      <c r="C252" s="81" t="s">
        <v>69</v>
      </c>
      <c r="D252" s="399">
        <v>7</v>
      </c>
      <c r="E252" s="82">
        <f t="shared" si="2"/>
        <v>54285.714285714283</v>
      </c>
      <c r="F252" s="82">
        <v>380000</v>
      </c>
      <c r="G252" s="512" t="e">
        <f>IF(A252&lt;&gt;"", F252/ VLOOKUP(A252, 'Курс валют'!$A:$D, 4, 0), "")</f>
        <v>#DIV/0!</v>
      </c>
      <c r="H252" s="501"/>
    </row>
    <row r="253" spans="1:8" ht="20.100000000000001" customHeight="1" x14ac:dyDescent="0.45">
      <c r="A253" s="494">
        <v>46168</v>
      </c>
      <c r="B253" s="80" t="s">
        <v>128</v>
      </c>
      <c r="C253" s="81" t="s">
        <v>59</v>
      </c>
      <c r="D253" s="399">
        <v>10</v>
      </c>
      <c r="E253" s="82">
        <f t="shared" si="2"/>
        <v>18000</v>
      </c>
      <c r="F253" s="82">
        <v>180000</v>
      </c>
      <c r="G253" s="512" t="e">
        <f>IF(A253&lt;&gt;"", F253/ VLOOKUP(A253, 'Курс валют'!$A:$D, 4, 0), "")</f>
        <v>#DIV/0!</v>
      </c>
      <c r="H253" s="501"/>
    </row>
    <row r="254" spans="1:8" ht="20.100000000000001" customHeight="1" x14ac:dyDescent="0.45">
      <c r="A254" s="494">
        <v>46168</v>
      </c>
      <c r="B254" s="80" t="s">
        <v>74</v>
      </c>
      <c r="C254" s="81" t="s">
        <v>75</v>
      </c>
      <c r="D254" s="399">
        <v>15</v>
      </c>
      <c r="E254" s="82">
        <f t="shared" si="2"/>
        <v>45000</v>
      </c>
      <c r="F254" s="82">
        <v>675000</v>
      </c>
      <c r="G254" s="512" t="e">
        <f>IF(A254&lt;&gt;"", F254/ VLOOKUP(A254, 'Курс валют'!$A:$D, 4, 0), "")</f>
        <v>#DIV/0!</v>
      </c>
      <c r="H254" s="501"/>
    </row>
    <row r="255" spans="1:8" ht="20.100000000000001" customHeight="1" x14ac:dyDescent="0.45">
      <c r="A255" s="494">
        <v>46168</v>
      </c>
      <c r="B255" s="80" t="s">
        <v>77</v>
      </c>
      <c r="C255" s="81" t="s">
        <v>59</v>
      </c>
      <c r="D255" s="399">
        <v>2</v>
      </c>
      <c r="E255" s="82">
        <f t="shared" si="2"/>
        <v>22500</v>
      </c>
      <c r="F255" s="82">
        <v>45000</v>
      </c>
      <c r="G255" s="512" t="e">
        <f>IF(A255&lt;&gt;"", F255/ VLOOKUP(A255, 'Курс валют'!$A:$D, 4, 0), "")</f>
        <v>#DIV/0!</v>
      </c>
      <c r="H255" s="501"/>
    </row>
    <row r="256" spans="1:8" ht="20.100000000000001" customHeight="1" x14ac:dyDescent="0.45">
      <c r="A256" s="494">
        <v>46168</v>
      </c>
      <c r="B256" s="80" t="s">
        <v>60</v>
      </c>
      <c r="C256" s="81" t="s">
        <v>59</v>
      </c>
      <c r="D256" s="399">
        <v>30</v>
      </c>
      <c r="E256" s="82">
        <f t="shared" si="2"/>
        <v>4500</v>
      </c>
      <c r="F256" s="82">
        <v>135000</v>
      </c>
      <c r="G256" s="512" t="e">
        <f>IF(A256&lt;&gt;"", F256/ VLOOKUP(A256, 'Курс валют'!$A:$D, 4, 0), "")</f>
        <v>#DIV/0!</v>
      </c>
      <c r="H256" s="501"/>
    </row>
    <row r="257" spans="1:8" ht="20.100000000000001" customHeight="1" x14ac:dyDescent="0.45">
      <c r="A257" s="494">
        <v>46168</v>
      </c>
      <c r="B257" s="80" t="s">
        <v>90</v>
      </c>
      <c r="C257" s="81" t="s">
        <v>59</v>
      </c>
      <c r="D257" s="399">
        <v>20</v>
      </c>
      <c r="E257" s="82">
        <f t="shared" si="2"/>
        <v>16000</v>
      </c>
      <c r="F257" s="82">
        <v>320000</v>
      </c>
      <c r="G257" s="512" t="e">
        <f>IF(A257&lt;&gt;"", F257/ VLOOKUP(A257, 'Курс валют'!$A:$D, 4, 0), "")</f>
        <v>#DIV/0!</v>
      </c>
      <c r="H257" s="501"/>
    </row>
    <row r="258" spans="1:8" ht="20.100000000000001" customHeight="1" x14ac:dyDescent="0.45">
      <c r="A258" s="494">
        <v>46168</v>
      </c>
      <c r="B258" s="80" t="s">
        <v>104</v>
      </c>
      <c r="C258" s="81" t="s">
        <v>59</v>
      </c>
      <c r="D258" s="399">
        <v>10</v>
      </c>
      <c r="E258" s="82">
        <f t="shared" si="2"/>
        <v>30000</v>
      </c>
      <c r="F258" s="82">
        <v>300000</v>
      </c>
      <c r="G258" s="512" t="e">
        <f>IF(A258&lt;&gt;"", F258/ VLOOKUP(A258, 'Курс валют'!$A:$D, 4, 0), "")</f>
        <v>#DIV/0!</v>
      </c>
      <c r="H258" s="501"/>
    </row>
    <row r="259" spans="1:8" ht="20.100000000000001" customHeight="1" x14ac:dyDescent="0.45">
      <c r="A259" s="494">
        <v>46168</v>
      </c>
      <c r="B259" s="80" t="s">
        <v>87</v>
      </c>
      <c r="C259" s="81" t="s">
        <v>59</v>
      </c>
      <c r="D259" s="399">
        <v>320</v>
      </c>
      <c r="E259" s="82">
        <f t="shared" si="2"/>
        <v>12500</v>
      </c>
      <c r="F259" s="82">
        <v>4000000</v>
      </c>
      <c r="G259" s="512" t="e">
        <f>IF(A259&lt;&gt;"", F259/ VLOOKUP(A259, 'Курс валют'!$A:$D, 4, 0), "")</f>
        <v>#DIV/0!</v>
      </c>
      <c r="H259" s="501"/>
    </row>
    <row r="260" spans="1:8" ht="20.100000000000001" customHeight="1" x14ac:dyDescent="0.45">
      <c r="A260" s="494">
        <v>46176</v>
      </c>
      <c r="B260" s="80" t="s">
        <v>58</v>
      </c>
      <c r="C260" s="81" t="s">
        <v>59</v>
      </c>
      <c r="D260" s="399">
        <v>83</v>
      </c>
      <c r="E260" s="82">
        <f t="shared" si="2"/>
        <v>6746.9879518072294</v>
      </c>
      <c r="F260" s="82">
        <v>560000</v>
      </c>
      <c r="G260" s="512" t="e">
        <f>IF(A260&lt;&gt;"", F260/ VLOOKUP(A260, 'Курс валют'!$A:$D, 4, 0), "")</f>
        <v>#DIV/0!</v>
      </c>
      <c r="H260" s="501"/>
    </row>
    <row r="261" spans="1:8" ht="20.100000000000001" customHeight="1" x14ac:dyDescent="0.45">
      <c r="A261" s="494">
        <v>46176</v>
      </c>
      <c r="B261" s="80" t="s">
        <v>74</v>
      </c>
      <c r="C261" s="81" t="s">
        <v>75</v>
      </c>
      <c r="D261" s="399">
        <v>15</v>
      </c>
      <c r="E261" s="82">
        <f t="shared" si="2"/>
        <v>45000</v>
      </c>
      <c r="F261" s="82">
        <v>675000</v>
      </c>
      <c r="G261" s="512" t="e">
        <f>IF(A261&lt;&gt;"", F261/ VLOOKUP(A261, 'Курс валют'!$A:$D, 4, 0), "")</f>
        <v>#DIV/0!</v>
      </c>
      <c r="H261" s="501"/>
    </row>
    <row r="262" spans="1:8" ht="20.100000000000001" customHeight="1" x14ac:dyDescent="0.45">
      <c r="A262" s="494">
        <v>46176</v>
      </c>
      <c r="B262" s="80" t="s">
        <v>81</v>
      </c>
      <c r="C262" s="81" t="s">
        <v>62</v>
      </c>
      <c r="D262" s="399">
        <v>20</v>
      </c>
      <c r="E262" s="82">
        <f t="shared" ref="E262:E293" si="3">F262/D262</f>
        <v>26000</v>
      </c>
      <c r="F262" s="82">
        <v>520000</v>
      </c>
      <c r="G262" s="512" t="e">
        <f>IF(A262&lt;&gt;"", F262/ VLOOKUP(A262, 'Курс валют'!$A:$D, 4, 0), "")</f>
        <v>#DIV/0!</v>
      </c>
      <c r="H262" s="501"/>
    </row>
    <row r="263" spans="1:8" ht="20.100000000000001" customHeight="1" x14ac:dyDescent="0.45">
      <c r="A263" s="494">
        <v>46176</v>
      </c>
      <c r="B263" s="80" t="s">
        <v>76</v>
      </c>
      <c r="C263" s="81" t="s">
        <v>69</v>
      </c>
      <c r="D263" s="399">
        <v>7</v>
      </c>
      <c r="E263" s="82">
        <f t="shared" si="3"/>
        <v>53571.428571428572</v>
      </c>
      <c r="F263" s="82">
        <v>375000</v>
      </c>
      <c r="G263" s="512" t="e">
        <f>IF(A263&lt;&gt;"", F263/ VLOOKUP(A263, 'Курс валют'!$A:$D, 4, 0), "")</f>
        <v>#DIV/0!</v>
      </c>
      <c r="H263" s="501"/>
    </row>
    <row r="264" spans="1:8" ht="20.100000000000001" customHeight="1" x14ac:dyDescent="0.45">
      <c r="A264" s="494">
        <v>46176</v>
      </c>
      <c r="B264" s="80" t="s">
        <v>116</v>
      </c>
      <c r="C264" s="81" t="s">
        <v>59</v>
      </c>
      <c r="D264" s="399">
        <v>15</v>
      </c>
      <c r="E264" s="82">
        <f t="shared" si="3"/>
        <v>13333.333333333334</v>
      </c>
      <c r="F264" s="82">
        <v>200000</v>
      </c>
      <c r="G264" s="512" t="e">
        <f>IF(A264&lt;&gt;"", F264/ VLOOKUP(A264, 'Курс валют'!$A:$D, 4, 0), "")</f>
        <v>#DIV/0!</v>
      </c>
      <c r="H264" s="501"/>
    </row>
    <row r="265" spans="1:8" ht="20.100000000000001" customHeight="1" x14ac:dyDescent="0.45">
      <c r="A265" s="494">
        <v>46176</v>
      </c>
      <c r="B265" s="80" t="s">
        <v>117</v>
      </c>
      <c r="C265" s="81" t="s">
        <v>59</v>
      </c>
      <c r="D265" s="399">
        <v>15</v>
      </c>
      <c r="E265" s="82">
        <f t="shared" si="3"/>
        <v>9000</v>
      </c>
      <c r="F265" s="82">
        <v>135000</v>
      </c>
      <c r="G265" s="512" t="e">
        <f>IF(A265&lt;&gt;"", F265/ VLOOKUP(A265, 'Курс валют'!$A:$D, 4, 0), "")</f>
        <v>#DIV/0!</v>
      </c>
      <c r="H265" s="501"/>
    </row>
    <row r="266" spans="1:8" ht="20.100000000000001" customHeight="1" x14ac:dyDescent="0.45">
      <c r="A266" s="494">
        <v>46176</v>
      </c>
      <c r="B266" s="80" t="s">
        <v>77</v>
      </c>
      <c r="C266" s="81" t="s">
        <v>59</v>
      </c>
      <c r="D266" s="399">
        <v>2</v>
      </c>
      <c r="E266" s="82">
        <f t="shared" si="3"/>
        <v>25000</v>
      </c>
      <c r="F266" s="82">
        <v>50000</v>
      </c>
      <c r="G266" s="512" t="e">
        <f>IF(A266&lt;&gt;"", F266/ VLOOKUP(A266, 'Курс валют'!$A:$D, 4, 0), "")</f>
        <v>#DIV/0!</v>
      </c>
      <c r="H266" s="501"/>
    </row>
    <row r="267" spans="1:8" ht="20.100000000000001" customHeight="1" x14ac:dyDescent="0.45">
      <c r="A267" s="494">
        <v>46176</v>
      </c>
      <c r="B267" s="80" t="s">
        <v>113</v>
      </c>
      <c r="C267" s="81" t="s">
        <v>59</v>
      </c>
      <c r="D267" s="399">
        <v>1</v>
      </c>
      <c r="E267" s="82">
        <f t="shared" si="3"/>
        <v>55000</v>
      </c>
      <c r="F267" s="82">
        <v>55000</v>
      </c>
      <c r="G267" s="512" t="e">
        <f>IF(A267&lt;&gt;"", F267/ VLOOKUP(A267, 'Курс валют'!$A:$D, 4, 0), "")</f>
        <v>#DIV/0!</v>
      </c>
      <c r="H267" s="501"/>
    </row>
    <row r="268" spans="1:8" ht="20.100000000000001" customHeight="1" x14ac:dyDescent="0.45">
      <c r="A268" s="494">
        <v>46176</v>
      </c>
      <c r="B268" s="80" t="s">
        <v>126</v>
      </c>
      <c r="C268" s="81" t="s">
        <v>59</v>
      </c>
      <c r="D268" s="399">
        <v>2</v>
      </c>
      <c r="E268" s="82">
        <f t="shared" si="3"/>
        <v>15000</v>
      </c>
      <c r="F268" s="82">
        <v>30000</v>
      </c>
      <c r="G268" s="512" t="e">
        <f>IF(A268&lt;&gt;"", F268/ VLOOKUP(A268, 'Курс валют'!$A:$D, 4, 0), "")</f>
        <v>#DIV/0!</v>
      </c>
      <c r="H268" s="501"/>
    </row>
    <row r="269" spans="1:8" ht="20.100000000000001" customHeight="1" x14ac:dyDescent="0.45">
      <c r="A269" s="494">
        <v>46176</v>
      </c>
      <c r="B269" s="80" t="s">
        <v>71</v>
      </c>
      <c r="C269" s="81" t="s">
        <v>59</v>
      </c>
      <c r="D269" s="399">
        <v>30</v>
      </c>
      <c r="E269" s="82">
        <f t="shared" si="3"/>
        <v>8666.6666666666661</v>
      </c>
      <c r="F269" s="82">
        <v>260000</v>
      </c>
      <c r="G269" s="512" t="e">
        <f>IF(A269&lt;&gt;"", F269/ VLOOKUP(A269, 'Курс валют'!$A:$D, 4, 0), "")</f>
        <v>#DIV/0!</v>
      </c>
      <c r="H269" s="501"/>
    </row>
    <row r="270" spans="1:8" ht="20.100000000000001" customHeight="1" x14ac:dyDescent="0.45">
      <c r="A270" s="494">
        <v>46176</v>
      </c>
      <c r="B270" s="80" t="s">
        <v>68</v>
      </c>
      <c r="C270" s="81" t="s">
        <v>69</v>
      </c>
      <c r="D270" s="399">
        <v>2</v>
      </c>
      <c r="E270" s="82">
        <f t="shared" si="3"/>
        <v>35000</v>
      </c>
      <c r="F270" s="82">
        <v>70000</v>
      </c>
      <c r="G270" s="512" t="e">
        <f>IF(A270&lt;&gt;"", F270/ VLOOKUP(A270, 'Курс валют'!$A:$D, 4, 0), "")</f>
        <v>#DIV/0!</v>
      </c>
      <c r="H270" s="501"/>
    </row>
    <row r="271" spans="1:8" ht="20.100000000000001" customHeight="1" x14ac:dyDescent="0.45">
      <c r="A271" s="494">
        <v>46176</v>
      </c>
      <c r="B271" s="80" t="s">
        <v>60</v>
      </c>
      <c r="C271" s="81" t="s">
        <v>59</v>
      </c>
      <c r="D271" s="399">
        <v>23</v>
      </c>
      <c r="E271" s="82">
        <f t="shared" si="3"/>
        <v>4347.826086956522</v>
      </c>
      <c r="F271" s="82">
        <v>100000</v>
      </c>
      <c r="G271" s="512" t="e">
        <f>IF(A271&lt;&gt;"", F271/ VLOOKUP(A271, 'Курс валют'!$A:$D, 4, 0), "")</f>
        <v>#DIV/0!</v>
      </c>
      <c r="H271" s="501"/>
    </row>
    <row r="272" spans="1:8" ht="20.100000000000001" customHeight="1" x14ac:dyDescent="0.45">
      <c r="A272" s="494">
        <v>46176</v>
      </c>
      <c r="B272" s="80" t="s">
        <v>893</v>
      </c>
      <c r="C272" s="81" t="s">
        <v>85</v>
      </c>
      <c r="D272" s="399">
        <v>4</v>
      </c>
      <c r="E272" s="82">
        <f t="shared" si="3"/>
        <v>15000</v>
      </c>
      <c r="F272" s="82">
        <v>60000</v>
      </c>
      <c r="G272" s="512" t="e">
        <f>IF(A272&lt;&gt;"", F272/ VLOOKUP(A272, 'Курс валют'!$A:$D, 4, 0), "")</f>
        <v>#DIV/0!</v>
      </c>
      <c r="H272" s="501"/>
    </row>
    <row r="273" spans="1:8" ht="20.100000000000001" customHeight="1" x14ac:dyDescent="0.45">
      <c r="A273" s="494">
        <v>46176</v>
      </c>
      <c r="B273" s="80" t="s">
        <v>122</v>
      </c>
      <c r="C273" s="81" t="s">
        <v>59</v>
      </c>
      <c r="D273" s="399">
        <v>0.5</v>
      </c>
      <c r="E273" s="82">
        <f t="shared" si="3"/>
        <v>50000</v>
      </c>
      <c r="F273" s="82">
        <v>25000</v>
      </c>
      <c r="G273" s="512" t="e">
        <f>IF(A273&lt;&gt;"", F273/ VLOOKUP(A273, 'Курс валют'!$A:$D, 4, 0), "")</f>
        <v>#DIV/0!</v>
      </c>
      <c r="H273" s="501"/>
    </row>
    <row r="274" spans="1:8" ht="20.100000000000001" customHeight="1" x14ac:dyDescent="0.45">
      <c r="A274" s="494">
        <v>46176</v>
      </c>
      <c r="B274" s="80" t="s">
        <v>70</v>
      </c>
      <c r="C274" s="81" t="s">
        <v>59</v>
      </c>
      <c r="D274" s="399">
        <v>12</v>
      </c>
      <c r="E274" s="82">
        <f t="shared" si="3"/>
        <v>14166.666666666666</v>
      </c>
      <c r="F274" s="82">
        <v>170000</v>
      </c>
      <c r="G274" s="512" t="e">
        <f>IF(A274&lt;&gt;"", F274/ VLOOKUP(A274, 'Курс валют'!$A:$D, 4, 0), "")</f>
        <v>#DIV/0!</v>
      </c>
      <c r="H274" s="501"/>
    </row>
    <row r="275" spans="1:8" ht="20.100000000000001" customHeight="1" x14ac:dyDescent="0.45">
      <c r="A275" s="494"/>
      <c r="B275" s="80"/>
      <c r="C275" s="81"/>
      <c r="D275" s="399"/>
      <c r="E275" s="82" t="e">
        <f t="shared" si="3"/>
        <v>#DIV/0!</v>
      </c>
      <c r="F275" s="82"/>
      <c r="G275" s="512" t="str">
        <f>IF(A275&lt;&gt;"", F275/ VLOOKUP(A275, 'Курс валют'!$A:$D, 4, 0), "")</f>
        <v/>
      </c>
      <c r="H275" s="501"/>
    </row>
    <row r="276" spans="1:8" ht="20.100000000000001" customHeight="1" x14ac:dyDescent="0.45">
      <c r="A276" s="494"/>
      <c r="B276" s="80"/>
      <c r="C276" s="81"/>
      <c r="D276" s="399"/>
      <c r="E276" s="82" t="e">
        <f t="shared" si="3"/>
        <v>#DIV/0!</v>
      </c>
      <c r="F276" s="82"/>
      <c r="G276" s="512" t="str">
        <f>IF(A276&lt;&gt;"", F276/ VLOOKUP(A276, 'Курс валют'!$A:$D, 4, 0), "")</f>
        <v/>
      </c>
      <c r="H276" s="501"/>
    </row>
    <row r="277" spans="1:8" ht="20.100000000000001" customHeight="1" x14ac:dyDescent="0.45">
      <c r="A277" s="494"/>
      <c r="B277" s="80"/>
      <c r="C277" s="81"/>
      <c r="D277" s="399"/>
      <c r="E277" s="82" t="e">
        <f t="shared" si="3"/>
        <v>#DIV/0!</v>
      </c>
      <c r="F277" s="82"/>
      <c r="G277" s="512" t="str">
        <f>IF(A277&lt;&gt;"", F277/ VLOOKUP(A277, 'Курс валют'!$A:$D, 4, 0), "")</f>
        <v/>
      </c>
      <c r="H277" s="501"/>
    </row>
    <row r="278" spans="1:8" ht="20.100000000000001" customHeight="1" x14ac:dyDescent="0.45">
      <c r="A278" s="494"/>
      <c r="B278" s="80"/>
      <c r="C278" s="81"/>
      <c r="D278" s="399"/>
      <c r="E278" s="82" t="e">
        <f t="shared" si="3"/>
        <v>#DIV/0!</v>
      </c>
      <c r="F278" s="82"/>
      <c r="G278" s="512" t="str">
        <f>IF(A278&lt;&gt;"", F278/ VLOOKUP(A278, 'Курс валют'!$A:$D, 4, 0), "")</f>
        <v/>
      </c>
      <c r="H278" s="501"/>
    </row>
    <row r="279" spans="1:8" ht="20.100000000000001" customHeight="1" x14ac:dyDescent="0.45">
      <c r="A279" s="494"/>
      <c r="B279" s="80"/>
      <c r="C279" s="81"/>
      <c r="D279" s="399"/>
      <c r="E279" s="82" t="e">
        <f t="shared" si="3"/>
        <v>#DIV/0!</v>
      </c>
      <c r="F279" s="82"/>
      <c r="G279" s="512" t="str">
        <f>IF(A279&lt;&gt;"", F279/ VLOOKUP(A279, 'Курс валют'!$A:$D, 4, 0), "")</f>
        <v/>
      </c>
      <c r="H279" s="501"/>
    </row>
    <row r="280" spans="1:8" ht="20.100000000000001" customHeight="1" x14ac:dyDescent="0.45">
      <c r="A280" s="494"/>
      <c r="B280" s="80"/>
      <c r="C280" s="81"/>
      <c r="D280" s="399"/>
      <c r="E280" s="82" t="e">
        <f t="shared" si="3"/>
        <v>#DIV/0!</v>
      </c>
      <c r="F280" s="82"/>
      <c r="G280" s="512" t="str">
        <f>IF(A280&lt;&gt;"", F280/ VLOOKUP(A280, 'Курс валют'!$A:$D, 4, 0), "")</f>
        <v/>
      </c>
      <c r="H280" s="501"/>
    </row>
    <row r="281" spans="1:8" ht="20.100000000000001" customHeight="1" x14ac:dyDescent="0.45">
      <c r="A281" s="494"/>
      <c r="B281" s="80"/>
      <c r="C281" s="81"/>
      <c r="D281" s="399"/>
      <c r="E281" s="82" t="e">
        <f t="shared" si="3"/>
        <v>#DIV/0!</v>
      </c>
      <c r="F281" s="82"/>
      <c r="G281" s="512" t="str">
        <f>IF(A281&lt;&gt;"", F281/ VLOOKUP(A281, 'Курс валют'!$A:$D, 4, 0), "")</f>
        <v/>
      </c>
      <c r="H281" s="501"/>
    </row>
    <row r="282" spans="1:8" ht="20.100000000000001" customHeight="1" x14ac:dyDescent="0.45">
      <c r="A282" s="494"/>
      <c r="B282" s="80"/>
      <c r="C282" s="81"/>
      <c r="D282" s="399"/>
      <c r="E282" s="82" t="e">
        <f t="shared" si="3"/>
        <v>#DIV/0!</v>
      </c>
      <c r="F282" s="82"/>
      <c r="G282" s="512" t="str">
        <f>IF(A282&lt;&gt;"", F282/ VLOOKUP(A282, 'Курс валют'!$A:$D, 4, 0), "")</f>
        <v/>
      </c>
      <c r="H282" s="501"/>
    </row>
    <row r="283" spans="1:8" ht="20.100000000000001" customHeight="1" x14ac:dyDescent="0.45">
      <c r="A283" s="494"/>
      <c r="B283" s="80"/>
      <c r="C283" s="81"/>
      <c r="D283" s="399"/>
      <c r="E283" s="82" t="e">
        <f t="shared" si="3"/>
        <v>#DIV/0!</v>
      </c>
      <c r="F283" s="82"/>
      <c r="G283" s="512" t="str">
        <f>IF(A283&lt;&gt;"", F283/ VLOOKUP(A283, 'Курс валют'!$A:$D, 4, 0), "")</f>
        <v/>
      </c>
      <c r="H283" s="501"/>
    </row>
    <row r="284" spans="1:8" ht="20.100000000000001" customHeight="1" x14ac:dyDescent="0.45">
      <c r="A284" s="494"/>
      <c r="B284" s="80"/>
      <c r="C284" s="81"/>
      <c r="D284" s="399"/>
      <c r="E284" s="82" t="e">
        <f t="shared" si="3"/>
        <v>#DIV/0!</v>
      </c>
      <c r="F284" s="82"/>
      <c r="G284" s="512" t="str">
        <f>IF(A284&lt;&gt;"", F284/ VLOOKUP(A284, 'Курс валют'!$A:$D, 4, 0), "")</f>
        <v/>
      </c>
      <c r="H284" s="501"/>
    </row>
    <row r="285" spans="1:8" ht="20.100000000000001" customHeight="1" x14ac:dyDescent="0.45">
      <c r="A285" s="494"/>
      <c r="B285" s="80"/>
      <c r="C285" s="81"/>
      <c r="D285" s="399"/>
      <c r="E285" s="82" t="e">
        <f t="shared" si="3"/>
        <v>#DIV/0!</v>
      </c>
      <c r="F285" s="82"/>
      <c r="G285" s="512" t="str">
        <f>IF(A285&lt;&gt;"", F285/ VLOOKUP(A285, 'Курс валют'!$A:$D, 4, 0), "")</f>
        <v/>
      </c>
      <c r="H285" s="501"/>
    </row>
    <row r="286" spans="1:8" ht="20.100000000000001" customHeight="1" x14ac:dyDescent="0.45">
      <c r="A286" s="494"/>
      <c r="B286" s="80"/>
      <c r="C286" s="81"/>
      <c r="D286" s="399"/>
      <c r="E286" s="82" t="e">
        <f t="shared" si="3"/>
        <v>#DIV/0!</v>
      </c>
      <c r="F286" s="82"/>
      <c r="G286" s="512" t="str">
        <f>IF(A286&lt;&gt;"", F286/ VLOOKUP(A286, 'Курс валют'!$A:$D, 4, 0), "")</f>
        <v/>
      </c>
      <c r="H286" s="501"/>
    </row>
    <row r="287" spans="1:8" ht="20.100000000000001" customHeight="1" x14ac:dyDescent="0.45">
      <c r="A287" s="494"/>
      <c r="B287" s="80"/>
      <c r="C287" s="81"/>
      <c r="D287" s="399"/>
      <c r="E287" s="82" t="e">
        <f t="shared" si="3"/>
        <v>#DIV/0!</v>
      </c>
      <c r="F287" s="82"/>
      <c r="G287" s="512" t="str">
        <f>IF(A287&lt;&gt;"", F287/ VLOOKUP(A287, 'Курс валют'!$A:$D, 4, 0), "")</f>
        <v/>
      </c>
      <c r="H287" s="501"/>
    </row>
    <row r="288" spans="1:8" ht="20.100000000000001" customHeight="1" x14ac:dyDescent="0.45">
      <c r="A288" s="494"/>
      <c r="B288" s="80"/>
      <c r="C288" s="81"/>
      <c r="D288" s="399"/>
      <c r="E288" s="82" t="e">
        <f t="shared" si="3"/>
        <v>#DIV/0!</v>
      </c>
      <c r="F288" s="82"/>
      <c r="G288" s="512" t="str">
        <f>IF(A288&lt;&gt;"", F288/ VLOOKUP(A288, 'Курс валют'!$A:$D, 4, 0), "")</f>
        <v/>
      </c>
      <c r="H288" s="501"/>
    </row>
    <row r="289" spans="1:8" ht="20.100000000000001" customHeight="1" x14ac:dyDescent="0.45">
      <c r="A289" s="494"/>
      <c r="B289" s="80"/>
      <c r="C289" s="81"/>
      <c r="D289" s="399"/>
      <c r="E289" s="82" t="e">
        <f t="shared" si="3"/>
        <v>#DIV/0!</v>
      </c>
      <c r="F289" s="82"/>
      <c r="G289" s="512" t="str">
        <f>IF(A289&lt;&gt;"", F289/ VLOOKUP(A289, 'Курс валют'!$A:$D, 4, 0), "")</f>
        <v/>
      </c>
      <c r="H289" s="501"/>
    </row>
    <row r="290" spans="1:8" ht="20.100000000000001" customHeight="1" x14ac:dyDescent="0.45">
      <c r="A290" s="494"/>
      <c r="B290" s="80"/>
      <c r="C290" s="81"/>
      <c r="D290" s="399"/>
      <c r="E290" s="82" t="e">
        <f t="shared" si="3"/>
        <v>#DIV/0!</v>
      </c>
      <c r="F290" s="82"/>
      <c r="G290" s="512" t="str">
        <f>IF(A290&lt;&gt;"", F290/ VLOOKUP(A290, 'Курс валют'!$A:$D, 4, 0), "")</f>
        <v/>
      </c>
      <c r="H290" s="501"/>
    </row>
    <row r="291" spans="1:8" ht="20.100000000000001" customHeight="1" x14ac:dyDescent="0.45">
      <c r="A291" s="494"/>
      <c r="B291" s="80"/>
      <c r="C291" s="81"/>
      <c r="D291" s="399"/>
      <c r="E291" s="82" t="e">
        <f t="shared" si="3"/>
        <v>#DIV/0!</v>
      </c>
      <c r="F291" s="82"/>
      <c r="G291" s="512" t="str">
        <f>IF(A291&lt;&gt;"", F291/ VLOOKUP(A291, 'Курс валют'!$A:$D, 4, 0), "")</f>
        <v/>
      </c>
      <c r="H291" s="501"/>
    </row>
    <row r="292" spans="1:8" ht="20.100000000000001" customHeight="1" x14ac:dyDescent="0.45">
      <c r="A292" s="494"/>
      <c r="B292" s="80"/>
      <c r="C292" s="81"/>
      <c r="D292" s="399"/>
      <c r="E292" s="82" t="e">
        <f t="shared" si="3"/>
        <v>#DIV/0!</v>
      </c>
      <c r="F292" s="82"/>
      <c r="G292" s="512" t="str">
        <f>IF(A292&lt;&gt;"", F292/ VLOOKUP(A292, 'Курс валют'!$A:$D, 4, 0), "")</f>
        <v/>
      </c>
      <c r="H292" s="501"/>
    </row>
    <row r="293" spans="1:8" ht="20.100000000000001" customHeight="1" x14ac:dyDescent="0.45">
      <c r="A293" s="494"/>
      <c r="B293" s="80"/>
      <c r="C293" s="81"/>
      <c r="D293" s="399"/>
      <c r="E293" s="82" t="e">
        <f t="shared" si="3"/>
        <v>#DIV/0!</v>
      </c>
      <c r="F293" s="82"/>
      <c r="G293" s="512" t="str">
        <f>IF(A293&lt;&gt;"", F293/ VLOOKUP(A293, 'Курс валют'!$A:$D, 4, 0), "")</f>
        <v/>
      </c>
      <c r="H293" s="501"/>
    </row>
    <row r="294" spans="1:8" ht="20.100000000000001" customHeight="1" x14ac:dyDescent="0.45">
      <c r="A294" s="494"/>
      <c r="B294" s="80"/>
      <c r="C294" s="81"/>
      <c r="D294" s="399"/>
      <c r="E294" s="82" t="e">
        <f t="shared" ref="E294:E325" si="4">F294/D294</f>
        <v>#DIV/0!</v>
      </c>
      <c r="F294" s="82"/>
      <c r="G294" s="512" t="str">
        <f>IF(A294&lt;&gt;"", F294/ VLOOKUP(A294, 'Курс валют'!$A:$D, 4, 0), "")</f>
        <v/>
      </c>
      <c r="H294" s="501"/>
    </row>
    <row r="295" spans="1:8" ht="20.100000000000001" customHeight="1" x14ac:dyDescent="0.45">
      <c r="A295" s="494"/>
      <c r="B295" s="80"/>
      <c r="C295" s="81"/>
      <c r="D295" s="399"/>
      <c r="E295" s="82" t="e">
        <f t="shared" si="4"/>
        <v>#DIV/0!</v>
      </c>
      <c r="F295" s="82"/>
      <c r="G295" s="512" t="str">
        <f>IF(A295&lt;&gt;"", F295/ VLOOKUP(A295, 'Курс валют'!$A:$D, 4, 0), "")</f>
        <v/>
      </c>
      <c r="H295" s="501"/>
    </row>
    <row r="296" spans="1:8" ht="20.100000000000001" customHeight="1" x14ac:dyDescent="0.45">
      <c r="A296" s="494"/>
      <c r="B296" s="80"/>
      <c r="C296" s="81"/>
      <c r="D296" s="399"/>
      <c r="E296" s="82" t="e">
        <f t="shared" si="4"/>
        <v>#DIV/0!</v>
      </c>
      <c r="F296" s="82"/>
      <c r="G296" s="512" t="str">
        <f>IF(A296&lt;&gt;"", F296/ VLOOKUP(A296, 'Курс валют'!$A:$D, 4, 0), "")</f>
        <v/>
      </c>
      <c r="H296" s="501"/>
    </row>
    <row r="297" spans="1:8" ht="20.100000000000001" customHeight="1" x14ac:dyDescent="0.45">
      <c r="A297" s="494"/>
      <c r="B297" s="80"/>
      <c r="C297" s="81"/>
      <c r="D297" s="399"/>
      <c r="E297" s="82" t="e">
        <f t="shared" si="4"/>
        <v>#DIV/0!</v>
      </c>
      <c r="F297" s="82"/>
      <c r="G297" s="512" t="str">
        <f>IF(A297&lt;&gt;"", F297/ VLOOKUP(A297, 'Курс валют'!$A:$D, 4, 0), "")</f>
        <v/>
      </c>
      <c r="H297" s="501"/>
    </row>
    <row r="298" spans="1:8" ht="20.100000000000001" customHeight="1" x14ac:dyDescent="0.45">
      <c r="A298" s="494"/>
      <c r="B298" s="80"/>
      <c r="C298" s="81"/>
      <c r="D298" s="399"/>
      <c r="E298" s="82" t="e">
        <f t="shared" si="4"/>
        <v>#DIV/0!</v>
      </c>
      <c r="F298" s="82"/>
      <c r="G298" s="512" t="str">
        <f>IF(A298&lt;&gt;"", F298/ VLOOKUP(A298, 'Курс валют'!$A:$D, 4, 0), "")</f>
        <v/>
      </c>
      <c r="H298" s="501"/>
    </row>
    <row r="299" spans="1:8" ht="20.100000000000001" customHeight="1" x14ac:dyDescent="0.45">
      <c r="A299" s="494"/>
      <c r="B299" s="80"/>
      <c r="C299" s="81"/>
      <c r="D299" s="399"/>
      <c r="E299" s="82" t="e">
        <f t="shared" si="4"/>
        <v>#DIV/0!</v>
      </c>
      <c r="F299" s="82"/>
      <c r="G299" s="512" t="str">
        <f>IF(A299&lt;&gt;"", F299/ VLOOKUP(A299, 'Курс валют'!$A:$D, 4, 0), "")</f>
        <v/>
      </c>
      <c r="H299" s="501"/>
    </row>
    <row r="300" spans="1:8" ht="20.100000000000001" customHeight="1" x14ac:dyDescent="0.45">
      <c r="A300" s="494"/>
      <c r="B300" s="80"/>
      <c r="C300" s="81"/>
      <c r="D300" s="399"/>
      <c r="E300" s="82" t="e">
        <f t="shared" si="4"/>
        <v>#DIV/0!</v>
      </c>
      <c r="F300" s="82"/>
      <c r="G300" s="512" t="str">
        <f>IF(A300&lt;&gt;"", F300/ VLOOKUP(A300, 'Курс валют'!$A:$D, 4, 0), "")</f>
        <v/>
      </c>
      <c r="H300" s="501"/>
    </row>
    <row r="301" spans="1:8" ht="20.100000000000001" customHeight="1" x14ac:dyDescent="0.45">
      <c r="A301" s="494"/>
      <c r="B301" s="80"/>
      <c r="C301" s="81"/>
      <c r="D301" s="399"/>
      <c r="E301" s="82" t="e">
        <f t="shared" si="4"/>
        <v>#DIV/0!</v>
      </c>
      <c r="F301" s="82"/>
      <c r="G301" s="512" t="str">
        <f>IF(A301&lt;&gt;"", F301/ VLOOKUP(A301, 'Курс валют'!$A:$D, 4, 0), "")</f>
        <v/>
      </c>
      <c r="H301" s="501"/>
    </row>
    <row r="302" spans="1:8" ht="20.100000000000001" customHeight="1" x14ac:dyDescent="0.45">
      <c r="A302" s="494"/>
      <c r="B302" s="80"/>
      <c r="C302" s="81"/>
      <c r="D302" s="399"/>
      <c r="E302" s="82" t="e">
        <f t="shared" si="4"/>
        <v>#DIV/0!</v>
      </c>
      <c r="F302" s="82"/>
      <c r="G302" s="512" t="str">
        <f>IF(A302&lt;&gt;"", F302/ VLOOKUP(A302, 'Курс валют'!$A:$D, 4, 0), "")</f>
        <v/>
      </c>
      <c r="H302" s="501"/>
    </row>
    <row r="303" spans="1:8" ht="20.100000000000001" customHeight="1" x14ac:dyDescent="0.45">
      <c r="A303" s="494"/>
      <c r="B303" s="80"/>
      <c r="C303" s="81"/>
      <c r="D303" s="399"/>
      <c r="E303" s="82" t="e">
        <f t="shared" si="4"/>
        <v>#DIV/0!</v>
      </c>
      <c r="F303" s="82"/>
      <c r="G303" s="512" t="str">
        <f>IF(A303&lt;&gt;"", F303/ VLOOKUP(A303, 'Курс валют'!$A:$D, 4, 0), "")</f>
        <v/>
      </c>
      <c r="H303" s="501"/>
    </row>
    <row r="304" spans="1:8" ht="20.100000000000001" customHeight="1" x14ac:dyDescent="0.45">
      <c r="A304" s="494"/>
      <c r="B304" s="80"/>
      <c r="C304" s="81"/>
      <c r="D304" s="399"/>
      <c r="E304" s="82" t="e">
        <f t="shared" si="4"/>
        <v>#DIV/0!</v>
      </c>
      <c r="F304" s="82"/>
      <c r="G304" s="512" t="str">
        <f>IF(A304&lt;&gt;"", F304/ VLOOKUP(A304, 'Курс валют'!$A:$D, 4, 0), "")</f>
        <v/>
      </c>
      <c r="H304" s="501"/>
    </row>
    <row r="305" spans="1:8" ht="20.100000000000001" customHeight="1" x14ac:dyDescent="0.45">
      <c r="A305" s="494"/>
      <c r="B305" s="80"/>
      <c r="C305" s="81"/>
      <c r="D305" s="399"/>
      <c r="E305" s="82" t="e">
        <f t="shared" si="4"/>
        <v>#DIV/0!</v>
      </c>
      <c r="F305" s="82"/>
      <c r="G305" s="512" t="str">
        <f>IF(A305&lt;&gt;"", F305/ VLOOKUP(A305, 'Курс валют'!$A:$D, 4, 0), "")</f>
        <v/>
      </c>
      <c r="H305" s="501"/>
    </row>
    <row r="306" spans="1:8" ht="20.100000000000001" customHeight="1" x14ac:dyDescent="0.45">
      <c r="A306" s="494"/>
      <c r="B306" s="80"/>
      <c r="C306" s="81"/>
      <c r="D306" s="399"/>
      <c r="E306" s="82" t="e">
        <f t="shared" si="4"/>
        <v>#DIV/0!</v>
      </c>
      <c r="F306" s="82"/>
      <c r="G306" s="512" t="str">
        <f>IF(A306&lt;&gt;"", F306/ VLOOKUP(A306, 'Курс валют'!$A:$D, 4, 0), "")</f>
        <v/>
      </c>
      <c r="H306" s="501"/>
    </row>
    <row r="307" spans="1:8" ht="20.100000000000001" customHeight="1" x14ac:dyDescent="0.45">
      <c r="A307" s="494"/>
      <c r="B307" s="80"/>
      <c r="C307" s="81"/>
      <c r="D307" s="399"/>
      <c r="E307" s="82" t="e">
        <f t="shared" si="4"/>
        <v>#DIV/0!</v>
      </c>
      <c r="F307" s="82"/>
      <c r="G307" s="512" t="str">
        <f>IF(A307&lt;&gt;"", F307/ VLOOKUP(A307, 'Курс валют'!$A:$D, 4, 0), "")</f>
        <v/>
      </c>
      <c r="H307" s="501"/>
    </row>
    <row r="308" spans="1:8" ht="20.100000000000001" customHeight="1" x14ac:dyDescent="0.45">
      <c r="A308" s="494"/>
      <c r="B308" s="80"/>
      <c r="C308" s="81"/>
      <c r="D308" s="399"/>
      <c r="E308" s="82" t="e">
        <f t="shared" si="4"/>
        <v>#DIV/0!</v>
      </c>
      <c r="F308" s="82"/>
      <c r="G308" s="512" t="str">
        <f>IF(A308&lt;&gt;"", F308/ VLOOKUP(A308, 'Курс валют'!$A:$D, 4, 0), "")</f>
        <v/>
      </c>
      <c r="H308" s="501"/>
    </row>
    <row r="309" spans="1:8" ht="20.100000000000001" customHeight="1" x14ac:dyDescent="0.45">
      <c r="A309" s="494"/>
      <c r="B309" s="80"/>
      <c r="C309" s="81"/>
      <c r="D309" s="399"/>
      <c r="E309" s="82" t="e">
        <f t="shared" si="4"/>
        <v>#DIV/0!</v>
      </c>
      <c r="F309" s="82"/>
      <c r="G309" s="512" t="str">
        <f>IF(A309&lt;&gt;"", F309/ VLOOKUP(A309, 'Курс валют'!$A:$D, 4, 0), "")</f>
        <v/>
      </c>
      <c r="H309" s="501"/>
    </row>
    <row r="310" spans="1:8" ht="20.100000000000001" customHeight="1" x14ac:dyDescent="0.45">
      <c r="A310" s="494"/>
      <c r="B310" s="80"/>
      <c r="C310" s="81"/>
      <c r="D310" s="399"/>
      <c r="E310" s="82" t="e">
        <f t="shared" si="4"/>
        <v>#DIV/0!</v>
      </c>
      <c r="F310" s="82"/>
      <c r="G310" s="512" t="str">
        <f>IF(A310&lt;&gt;"", F310/ VLOOKUP(A310, 'Курс валют'!$A:$D, 4, 0), "")</f>
        <v/>
      </c>
      <c r="H310" s="501"/>
    </row>
    <row r="311" spans="1:8" ht="20.100000000000001" customHeight="1" x14ac:dyDescent="0.45">
      <c r="A311" s="494"/>
      <c r="B311" s="80"/>
      <c r="C311" s="81"/>
      <c r="D311" s="399"/>
      <c r="E311" s="82" t="e">
        <f t="shared" si="4"/>
        <v>#DIV/0!</v>
      </c>
      <c r="F311" s="82"/>
      <c r="G311" s="512" t="str">
        <f>IF(A311&lt;&gt;"", F311/ VLOOKUP(A311, 'Курс валют'!$A:$D, 4, 0), "")</f>
        <v/>
      </c>
      <c r="H311" s="501"/>
    </row>
    <row r="312" spans="1:8" ht="20.100000000000001" customHeight="1" x14ac:dyDescent="0.45">
      <c r="A312" s="494"/>
      <c r="B312" s="80"/>
      <c r="C312" s="81"/>
      <c r="D312" s="399"/>
      <c r="E312" s="82" t="e">
        <f t="shared" si="4"/>
        <v>#DIV/0!</v>
      </c>
      <c r="F312" s="82"/>
      <c r="G312" s="512" t="str">
        <f>IF(A312&lt;&gt;"", F312/ VLOOKUP(A312, 'Курс валют'!$A:$D, 4, 0), "")</f>
        <v/>
      </c>
      <c r="H312" s="501"/>
    </row>
    <row r="313" spans="1:8" ht="20.100000000000001" customHeight="1" x14ac:dyDescent="0.45">
      <c r="A313" s="494"/>
      <c r="B313" s="80"/>
      <c r="C313" s="81"/>
      <c r="D313" s="399"/>
      <c r="E313" s="82" t="e">
        <f t="shared" si="4"/>
        <v>#DIV/0!</v>
      </c>
      <c r="F313" s="82"/>
      <c r="G313" s="512" t="str">
        <f>IF(A313&lt;&gt;"", F313/ VLOOKUP(A313, 'Курс валют'!$A:$D, 4, 0), "")</f>
        <v/>
      </c>
      <c r="H313" s="501"/>
    </row>
    <row r="314" spans="1:8" ht="20.100000000000001" customHeight="1" x14ac:dyDescent="0.45">
      <c r="A314" s="494"/>
      <c r="B314" s="80"/>
      <c r="C314" s="81"/>
      <c r="D314" s="399"/>
      <c r="E314" s="82" t="e">
        <f t="shared" si="4"/>
        <v>#DIV/0!</v>
      </c>
      <c r="F314" s="82"/>
      <c r="G314" s="512" t="str">
        <f>IF(A314&lt;&gt;"", F314/ VLOOKUP(A314, 'Курс валют'!$A:$D, 4, 0), "")</f>
        <v/>
      </c>
      <c r="H314" s="501"/>
    </row>
    <row r="315" spans="1:8" ht="20.100000000000001" customHeight="1" x14ac:dyDescent="0.45">
      <c r="A315" s="494"/>
      <c r="B315" s="80"/>
      <c r="C315" s="81"/>
      <c r="D315" s="399"/>
      <c r="E315" s="82" t="e">
        <f t="shared" si="4"/>
        <v>#DIV/0!</v>
      </c>
      <c r="F315" s="82"/>
      <c r="G315" s="512" t="str">
        <f>IF(A315&lt;&gt;"", F315/ VLOOKUP(A315, 'Курс валют'!$A:$D, 4, 0), "")</f>
        <v/>
      </c>
      <c r="H315" s="501"/>
    </row>
    <row r="316" spans="1:8" ht="20.100000000000001" customHeight="1" x14ac:dyDescent="0.45">
      <c r="A316" s="494"/>
      <c r="B316" s="80"/>
      <c r="C316" s="81"/>
      <c r="D316" s="399"/>
      <c r="E316" s="82" t="e">
        <f t="shared" si="4"/>
        <v>#DIV/0!</v>
      </c>
      <c r="F316" s="82"/>
      <c r="G316" s="512" t="str">
        <f>IF(A316&lt;&gt;"", F316/ VLOOKUP(A316, 'Курс валют'!$A:$D, 4, 0), "")</f>
        <v/>
      </c>
      <c r="H316" s="501"/>
    </row>
    <row r="317" spans="1:8" ht="20.100000000000001" customHeight="1" x14ac:dyDescent="0.45">
      <c r="A317" s="494"/>
      <c r="B317" s="80"/>
      <c r="C317" s="81"/>
      <c r="D317" s="399"/>
      <c r="E317" s="82" t="e">
        <f t="shared" si="4"/>
        <v>#DIV/0!</v>
      </c>
      <c r="F317" s="82"/>
      <c r="G317" s="512" t="str">
        <f>IF(A317&lt;&gt;"", F317/ VLOOKUP(A317, 'Курс валют'!$A:$D, 4, 0), "")</f>
        <v/>
      </c>
      <c r="H317" s="501"/>
    </row>
    <row r="318" spans="1:8" ht="20.100000000000001" customHeight="1" x14ac:dyDescent="0.45">
      <c r="A318" s="494"/>
      <c r="B318" s="80"/>
      <c r="C318" s="81"/>
      <c r="D318" s="399"/>
      <c r="E318" s="82" t="e">
        <f t="shared" si="4"/>
        <v>#DIV/0!</v>
      </c>
      <c r="F318" s="82"/>
      <c r="G318" s="512" t="str">
        <f>IF(A318&lt;&gt;"", F318/ VLOOKUP(A318, 'Курс валют'!$A:$D, 4, 0), "")</f>
        <v/>
      </c>
      <c r="H318" s="501"/>
    </row>
    <row r="319" spans="1:8" ht="20.100000000000001" customHeight="1" x14ac:dyDescent="0.45">
      <c r="A319" s="494"/>
      <c r="B319" s="80"/>
      <c r="C319" s="81"/>
      <c r="D319" s="399"/>
      <c r="E319" s="82" t="e">
        <f t="shared" si="4"/>
        <v>#DIV/0!</v>
      </c>
      <c r="F319" s="82"/>
      <c r="G319" s="512" t="str">
        <f>IF(A319&lt;&gt;"", F319/ VLOOKUP(A319, 'Курс валют'!$A:$D, 4, 0), "")</f>
        <v/>
      </c>
      <c r="H319" s="501"/>
    </row>
    <row r="320" spans="1:8" ht="20.100000000000001" customHeight="1" x14ac:dyDescent="0.45">
      <c r="A320" s="494"/>
      <c r="B320" s="80"/>
      <c r="C320" s="81"/>
      <c r="D320" s="399"/>
      <c r="E320" s="82" t="e">
        <f t="shared" si="4"/>
        <v>#DIV/0!</v>
      </c>
      <c r="F320" s="82"/>
      <c r="G320" s="512" t="str">
        <f>IF(A320&lt;&gt;"", F320/ VLOOKUP(A320, 'Курс валют'!$A:$D, 4, 0), "")</f>
        <v/>
      </c>
      <c r="H320" s="501"/>
    </row>
    <row r="321" spans="1:8" ht="20.100000000000001" customHeight="1" x14ac:dyDescent="0.45">
      <c r="A321" s="494"/>
      <c r="B321" s="80"/>
      <c r="C321" s="81"/>
      <c r="D321" s="399"/>
      <c r="E321" s="82" t="e">
        <f t="shared" si="4"/>
        <v>#DIV/0!</v>
      </c>
      <c r="F321" s="82"/>
      <c r="G321" s="512" t="str">
        <f>IF(A321&lt;&gt;"", F321/ VLOOKUP(A321, 'Курс валют'!$A:$D, 4, 0), "")</f>
        <v/>
      </c>
      <c r="H321" s="501"/>
    </row>
    <row r="322" spans="1:8" ht="20.100000000000001" customHeight="1" x14ac:dyDescent="0.45">
      <c r="A322" s="494"/>
      <c r="B322" s="80"/>
      <c r="C322" s="81"/>
      <c r="D322" s="399"/>
      <c r="E322" s="82" t="e">
        <f t="shared" si="4"/>
        <v>#DIV/0!</v>
      </c>
      <c r="F322" s="82"/>
      <c r="G322" s="512" t="str">
        <f>IF(A322&lt;&gt;"", F322/ VLOOKUP(A322, 'Курс валют'!$A:$D, 4, 0), "")</f>
        <v/>
      </c>
      <c r="H322" s="501"/>
    </row>
    <row r="323" spans="1:8" ht="20.100000000000001" customHeight="1" x14ac:dyDescent="0.45">
      <c r="A323" s="494"/>
      <c r="B323" s="80"/>
      <c r="C323" s="81"/>
      <c r="D323" s="399"/>
      <c r="E323" s="82" t="e">
        <f t="shared" si="4"/>
        <v>#DIV/0!</v>
      </c>
      <c r="F323" s="82"/>
      <c r="G323" s="512" t="str">
        <f>IF(A323&lt;&gt;"", F323/ VLOOKUP(A323, 'Курс валют'!$A:$D, 4, 0), "")</f>
        <v/>
      </c>
      <c r="H323" s="501"/>
    </row>
    <row r="324" spans="1:8" ht="20.100000000000001" customHeight="1" x14ac:dyDescent="0.45">
      <c r="A324" s="494"/>
      <c r="B324" s="80"/>
      <c r="C324" s="81"/>
      <c r="D324" s="399"/>
      <c r="E324" s="82" t="e">
        <f t="shared" si="4"/>
        <v>#DIV/0!</v>
      </c>
      <c r="F324" s="82"/>
      <c r="G324" s="512" t="str">
        <f>IF(A324&lt;&gt;"", F324/ VLOOKUP(A324, 'Курс валют'!$A:$D, 4, 0), "")</f>
        <v/>
      </c>
      <c r="H324" s="501"/>
    </row>
    <row r="325" spans="1:8" ht="20.100000000000001" customHeight="1" x14ac:dyDescent="0.45">
      <c r="A325" s="494"/>
      <c r="B325" s="80"/>
      <c r="C325" s="81"/>
      <c r="D325" s="399"/>
      <c r="E325" s="82" t="e">
        <f t="shared" si="4"/>
        <v>#DIV/0!</v>
      </c>
      <c r="F325" s="82"/>
      <c r="G325" s="512" t="str">
        <f>IF(A325&lt;&gt;"", F325/ VLOOKUP(A325, 'Курс валют'!$A:$D, 4, 0), "")</f>
        <v/>
      </c>
      <c r="H325" s="501"/>
    </row>
    <row r="326" spans="1:8" ht="20.100000000000001" customHeight="1" x14ac:dyDescent="0.45">
      <c r="A326" s="494"/>
      <c r="B326" s="80"/>
      <c r="C326" s="81"/>
      <c r="D326" s="399"/>
      <c r="E326" s="82" t="e">
        <f t="shared" ref="E326:E357" si="5">F326/D326</f>
        <v>#DIV/0!</v>
      </c>
      <c r="F326" s="82"/>
      <c r="G326" s="512" t="str">
        <f>IF(A326&lt;&gt;"", F326/ VLOOKUP(A326, 'Курс валют'!$A:$D, 4, 0), "")</f>
        <v/>
      </c>
      <c r="H326" s="501"/>
    </row>
    <row r="327" spans="1:8" ht="20.100000000000001" customHeight="1" x14ac:dyDescent="0.45">
      <c r="A327" s="494"/>
      <c r="B327" s="80"/>
      <c r="C327" s="81"/>
      <c r="D327" s="399"/>
      <c r="E327" s="82" t="e">
        <f t="shared" si="5"/>
        <v>#DIV/0!</v>
      </c>
      <c r="F327" s="82"/>
      <c r="G327" s="512" t="str">
        <f>IF(A327&lt;&gt;"", F327/ VLOOKUP(A327, 'Курс валют'!$A:$D, 4, 0), "")</f>
        <v/>
      </c>
      <c r="H327" s="501"/>
    </row>
    <row r="328" spans="1:8" ht="20.100000000000001" customHeight="1" x14ac:dyDescent="0.45">
      <c r="A328" s="494"/>
      <c r="B328" s="80"/>
      <c r="C328" s="81"/>
      <c r="D328" s="399"/>
      <c r="E328" s="82" t="e">
        <f t="shared" si="5"/>
        <v>#DIV/0!</v>
      </c>
      <c r="F328" s="82"/>
      <c r="G328" s="512" t="str">
        <f>IF(A328&lt;&gt;"", F328/ VLOOKUP(A328, 'Курс валют'!$A:$D, 4, 0), "")</f>
        <v/>
      </c>
      <c r="H328" s="501"/>
    </row>
    <row r="329" spans="1:8" ht="20.100000000000001" customHeight="1" x14ac:dyDescent="0.45">
      <c r="A329" s="494"/>
      <c r="B329" s="80"/>
      <c r="C329" s="81"/>
      <c r="D329" s="399"/>
      <c r="E329" s="82" t="e">
        <f t="shared" si="5"/>
        <v>#DIV/0!</v>
      </c>
      <c r="F329" s="82"/>
      <c r="G329" s="512" t="str">
        <f>IF(A329&lt;&gt;"", F329/ VLOOKUP(A329, 'Курс валют'!$A:$D, 4, 0), "")</f>
        <v/>
      </c>
      <c r="H329" s="501"/>
    </row>
    <row r="330" spans="1:8" ht="20.100000000000001" customHeight="1" x14ac:dyDescent="0.45">
      <c r="A330" s="494"/>
      <c r="B330" s="80"/>
      <c r="C330" s="81"/>
      <c r="D330" s="399"/>
      <c r="E330" s="82" t="e">
        <f t="shared" si="5"/>
        <v>#DIV/0!</v>
      </c>
      <c r="F330" s="82"/>
      <c r="G330" s="512" t="str">
        <f>IF(A330&lt;&gt;"", F330/ VLOOKUP(A330, 'Курс валют'!$A:$D, 4, 0), "")</f>
        <v/>
      </c>
      <c r="H330" s="501"/>
    </row>
    <row r="331" spans="1:8" ht="20.100000000000001" customHeight="1" x14ac:dyDescent="0.45">
      <c r="A331" s="494"/>
      <c r="B331" s="80"/>
      <c r="C331" s="81"/>
      <c r="D331" s="399"/>
      <c r="E331" s="82" t="e">
        <f t="shared" si="5"/>
        <v>#DIV/0!</v>
      </c>
      <c r="F331" s="82"/>
      <c r="G331" s="512" t="str">
        <f>IF(A331&lt;&gt;"", F331/ VLOOKUP(A331, 'Курс валют'!$A:$D, 4, 0), "")</f>
        <v/>
      </c>
      <c r="H331" s="501"/>
    </row>
    <row r="332" spans="1:8" ht="20.100000000000001" customHeight="1" x14ac:dyDescent="0.45">
      <c r="A332" s="494"/>
      <c r="B332" s="80"/>
      <c r="C332" s="81"/>
      <c r="D332" s="399"/>
      <c r="E332" s="82" t="e">
        <f t="shared" si="5"/>
        <v>#DIV/0!</v>
      </c>
      <c r="F332" s="82"/>
      <c r="G332" s="512" t="str">
        <f>IF(A332&lt;&gt;"", F332/ VLOOKUP(A332, 'Курс валют'!$A:$D, 4, 0), "")</f>
        <v/>
      </c>
      <c r="H332" s="501"/>
    </row>
    <row r="333" spans="1:8" ht="20.100000000000001" customHeight="1" x14ac:dyDescent="0.45">
      <c r="A333" s="494"/>
      <c r="B333" s="80"/>
      <c r="C333" s="81"/>
      <c r="D333" s="399"/>
      <c r="E333" s="82" t="e">
        <f t="shared" si="5"/>
        <v>#DIV/0!</v>
      </c>
      <c r="F333" s="82"/>
      <c r="G333" s="512" t="str">
        <f>IF(A333&lt;&gt;"", F333/ VLOOKUP(A333, 'Курс валют'!$A:$D, 4, 0), "")</f>
        <v/>
      </c>
      <c r="H333" s="501"/>
    </row>
    <row r="334" spans="1:8" ht="20.100000000000001" customHeight="1" x14ac:dyDescent="0.45">
      <c r="A334" s="494"/>
      <c r="B334" s="80"/>
      <c r="C334" s="81"/>
      <c r="D334" s="399"/>
      <c r="E334" s="82" t="e">
        <f t="shared" si="5"/>
        <v>#DIV/0!</v>
      </c>
      <c r="F334" s="82"/>
      <c r="G334" s="512" t="str">
        <f>IF(A334&lt;&gt;"", F334/ VLOOKUP(A334, 'Курс валют'!$A:$D, 4, 0), "")</f>
        <v/>
      </c>
      <c r="H334" s="501"/>
    </row>
    <row r="335" spans="1:8" ht="20.100000000000001" customHeight="1" x14ac:dyDescent="0.45">
      <c r="A335" s="494"/>
      <c r="B335" s="80"/>
      <c r="C335" s="81"/>
      <c r="D335" s="399"/>
      <c r="E335" s="82" t="e">
        <f t="shared" si="5"/>
        <v>#DIV/0!</v>
      </c>
      <c r="F335" s="82"/>
      <c r="G335" s="512" t="str">
        <f>IF(A335&lt;&gt;"", F335/ VLOOKUP(A335, 'Курс валют'!$A:$D, 4, 0), "")</f>
        <v/>
      </c>
      <c r="H335" s="501"/>
    </row>
    <row r="336" spans="1:8" ht="20.100000000000001" customHeight="1" x14ac:dyDescent="0.45">
      <c r="A336" s="494"/>
      <c r="B336" s="80"/>
      <c r="C336" s="81"/>
      <c r="D336" s="399"/>
      <c r="E336" s="82" t="e">
        <f t="shared" si="5"/>
        <v>#DIV/0!</v>
      </c>
      <c r="F336" s="82"/>
      <c r="G336" s="512" t="str">
        <f>IF(A336&lt;&gt;"", F336/ VLOOKUP(A336, 'Курс валют'!$A:$D, 4, 0), "")</f>
        <v/>
      </c>
      <c r="H336" s="501"/>
    </row>
    <row r="337" spans="1:8" ht="20.100000000000001" customHeight="1" x14ac:dyDescent="0.45">
      <c r="A337" s="494"/>
      <c r="B337" s="80"/>
      <c r="C337" s="81"/>
      <c r="D337" s="399"/>
      <c r="E337" s="82" t="e">
        <f t="shared" si="5"/>
        <v>#DIV/0!</v>
      </c>
      <c r="F337" s="82"/>
      <c r="G337" s="512" t="str">
        <f>IF(A337&lt;&gt;"", F337/ VLOOKUP(A337, 'Курс валют'!$A:$D, 4, 0), "")</f>
        <v/>
      </c>
      <c r="H337" s="501"/>
    </row>
    <row r="338" spans="1:8" ht="20.100000000000001" customHeight="1" x14ac:dyDescent="0.45">
      <c r="A338" s="494"/>
      <c r="B338" s="80"/>
      <c r="C338" s="81"/>
      <c r="D338" s="399"/>
      <c r="E338" s="82" t="e">
        <f t="shared" si="5"/>
        <v>#DIV/0!</v>
      </c>
      <c r="F338" s="82"/>
      <c r="G338" s="512" t="str">
        <f>IF(A338&lt;&gt;"", F338/ VLOOKUP(A338, 'Курс валют'!$A:$D, 4, 0), "")</f>
        <v/>
      </c>
      <c r="H338" s="501"/>
    </row>
    <row r="339" spans="1:8" ht="20.100000000000001" customHeight="1" x14ac:dyDescent="0.45">
      <c r="A339" s="494"/>
      <c r="B339" s="80"/>
      <c r="C339" s="81"/>
      <c r="D339" s="399"/>
      <c r="E339" s="82" t="e">
        <f t="shared" si="5"/>
        <v>#DIV/0!</v>
      </c>
      <c r="F339" s="82"/>
      <c r="G339" s="512" t="str">
        <f>IF(A339&lt;&gt;"", F339/ VLOOKUP(A339, 'Курс валют'!$A:$D, 4, 0), "")</f>
        <v/>
      </c>
      <c r="H339" s="501"/>
    </row>
    <row r="340" spans="1:8" ht="20.100000000000001" customHeight="1" x14ac:dyDescent="0.45">
      <c r="A340" s="494"/>
      <c r="B340" s="80"/>
      <c r="C340" s="81"/>
      <c r="D340" s="399"/>
      <c r="E340" s="82" t="e">
        <f t="shared" si="5"/>
        <v>#DIV/0!</v>
      </c>
      <c r="F340" s="82"/>
      <c r="G340" s="512" t="str">
        <f>IF(A340&lt;&gt;"", F340/ VLOOKUP(A340, 'Курс валют'!$A:$D, 4, 0), "")</f>
        <v/>
      </c>
      <c r="H340" s="501"/>
    </row>
    <row r="341" spans="1:8" ht="20.100000000000001" customHeight="1" x14ac:dyDescent="0.45">
      <c r="A341" s="494"/>
      <c r="B341" s="80"/>
      <c r="C341" s="81"/>
      <c r="D341" s="399"/>
      <c r="E341" s="82" t="e">
        <f t="shared" si="5"/>
        <v>#DIV/0!</v>
      </c>
      <c r="F341" s="82"/>
      <c r="G341" s="512" t="str">
        <f>IF(A341&lt;&gt;"", F341/ VLOOKUP(A341, 'Курс валют'!$A:$D, 4, 0), "")</f>
        <v/>
      </c>
      <c r="H341" s="501"/>
    </row>
    <row r="342" spans="1:8" ht="20.100000000000001" customHeight="1" x14ac:dyDescent="0.45">
      <c r="A342" s="494"/>
      <c r="B342" s="80"/>
      <c r="C342" s="81"/>
      <c r="D342" s="399"/>
      <c r="E342" s="82" t="e">
        <f t="shared" si="5"/>
        <v>#DIV/0!</v>
      </c>
      <c r="F342" s="82"/>
      <c r="G342" s="512" t="str">
        <f>IF(A342&lt;&gt;"", F342/ VLOOKUP(A342, 'Курс валют'!$A:$D, 4, 0), "")</f>
        <v/>
      </c>
      <c r="H342" s="501"/>
    </row>
    <row r="343" spans="1:8" ht="20.100000000000001" customHeight="1" x14ac:dyDescent="0.45">
      <c r="A343" s="494"/>
      <c r="B343" s="80"/>
      <c r="C343" s="81"/>
      <c r="D343" s="399"/>
      <c r="E343" s="82" t="e">
        <f t="shared" si="5"/>
        <v>#DIV/0!</v>
      </c>
      <c r="F343" s="82"/>
      <c r="G343" s="512" t="str">
        <f>IF(A343&lt;&gt;"", F343/ VLOOKUP(A343, 'Курс валют'!$A:$D, 4, 0), "")</f>
        <v/>
      </c>
      <c r="H343" s="501"/>
    </row>
    <row r="344" spans="1:8" ht="20.100000000000001" customHeight="1" x14ac:dyDescent="0.45">
      <c r="A344" s="494"/>
      <c r="B344" s="80"/>
      <c r="C344" s="81"/>
      <c r="D344" s="399"/>
      <c r="E344" s="82" t="e">
        <f t="shared" si="5"/>
        <v>#DIV/0!</v>
      </c>
      <c r="F344" s="82"/>
      <c r="G344" s="512" t="str">
        <f>IF(A344&lt;&gt;"", F344/ VLOOKUP(A344, 'Курс валют'!$A:$D, 4, 0), "")</f>
        <v/>
      </c>
      <c r="H344" s="501"/>
    </row>
    <row r="345" spans="1:8" ht="20.100000000000001" customHeight="1" x14ac:dyDescent="0.45">
      <c r="A345" s="494"/>
      <c r="B345" s="80"/>
      <c r="C345" s="81"/>
      <c r="D345" s="399"/>
      <c r="E345" s="82" t="e">
        <f t="shared" si="5"/>
        <v>#DIV/0!</v>
      </c>
      <c r="F345" s="82"/>
      <c r="G345" s="512" t="str">
        <f>IF(A345&lt;&gt;"", F345/ VLOOKUP(A345, 'Курс валют'!$A:$D, 4, 0), "")</f>
        <v/>
      </c>
      <c r="H345" s="501"/>
    </row>
    <row r="346" spans="1:8" ht="20.100000000000001" customHeight="1" x14ac:dyDescent="0.45">
      <c r="A346" s="494"/>
      <c r="B346" s="80"/>
      <c r="C346" s="81"/>
      <c r="D346" s="399"/>
      <c r="E346" s="82" t="e">
        <f t="shared" si="5"/>
        <v>#DIV/0!</v>
      </c>
      <c r="F346" s="82"/>
      <c r="G346" s="512" t="str">
        <f>IF(A346&lt;&gt;"", F346/ VLOOKUP(A346, 'Курс валют'!$A:$D, 4, 0), "")</f>
        <v/>
      </c>
      <c r="H346" s="501"/>
    </row>
    <row r="347" spans="1:8" ht="20.100000000000001" customHeight="1" x14ac:dyDescent="0.45">
      <c r="A347" s="494"/>
      <c r="B347" s="80"/>
      <c r="C347" s="81"/>
      <c r="D347" s="399"/>
      <c r="E347" s="82" t="e">
        <f t="shared" si="5"/>
        <v>#DIV/0!</v>
      </c>
      <c r="F347" s="82"/>
      <c r="G347" s="512" t="str">
        <f>IF(A347&lt;&gt;"", F347/ VLOOKUP(A347, 'Курс валют'!$A:$D, 4, 0), "")</f>
        <v/>
      </c>
      <c r="H347" s="501"/>
    </row>
    <row r="348" spans="1:8" ht="20.100000000000001" customHeight="1" x14ac:dyDescent="0.45">
      <c r="A348" s="494"/>
      <c r="B348" s="80"/>
      <c r="C348" s="81"/>
      <c r="D348" s="399"/>
      <c r="E348" s="82" t="e">
        <f t="shared" si="5"/>
        <v>#DIV/0!</v>
      </c>
      <c r="F348" s="82"/>
      <c r="G348" s="512" t="str">
        <f>IF(A348&lt;&gt;"", F348/ VLOOKUP(A348, 'Курс валют'!$A:$D, 4, 0), "")</f>
        <v/>
      </c>
      <c r="H348" s="501"/>
    </row>
    <row r="349" spans="1:8" ht="20.100000000000001" customHeight="1" x14ac:dyDescent="0.45">
      <c r="A349" s="494"/>
      <c r="B349" s="80"/>
      <c r="C349" s="81"/>
      <c r="D349" s="399"/>
      <c r="E349" s="82" t="e">
        <f t="shared" si="5"/>
        <v>#DIV/0!</v>
      </c>
      <c r="F349" s="82"/>
      <c r="G349" s="512" t="str">
        <f>IF(A349&lt;&gt;"", F349/ VLOOKUP(A349, 'Курс валют'!$A:$D, 4, 0), "")</f>
        <v/>
      </c>
      <c r="H349" s="501"/>
    </row>
    <row r="350" spans="1:8" ht="20.100000000000001" customHeight="1" x14ac:dyDescent="0.45">
      <c r="A350" s="494"/>
      <c r="B350" s="80"/>
      <c r="C350" s="81"/>
      <c r="D350" s="399"/>
      <c r="E350" s="82" t="e">
        <f t="shared" si="5"/>
        <v>#DIV/0!</v>
      </c>
      <c r="F350" s="82"/>
      <c r="G350" s="512" t="str">
        <f>IF(A350&lt;&gt;"", F350/ VLOOKUP(A350, 'Курс валют'!$A:$D, 4, 0), "")</f>
        <v/>
      </c>
      <c r="H350" s="501"/>
    </row>
    <row r="351" spans="1:8" ht="20.100000000000001" customHeight="1" x14ac:dyDescent="0.45">
      <c r="A351" s="494"/>
      <c r="B351" s="80"/>
      <c r="C351" s="81"/>
      <c r="D351" s="399"/>
      <c r="E351" s="82" t="e">
        <f t="shared" si="5"/>
        <v>#DIV/0!</v>
      </c>
      <c r="F351" s="82"/>
      <c r="G351" s="512" t="str">
        <f>IF(A351&lt;&gt;"", F351/ VLOOKUP(A351, 'Курс валют'!$A:$D, 4, 0), "")</f>
        <v/>
      </c>
      <c r="H351" s="501"/>
    </row>
    <row r="352" spans="1:8" ht="20.100000000000001" customHeight="1" x14ac:dyDescent="0.45">
      <c r="A352" s="494"/>
      <c r="B352" s="80"/>
      <c r="C352" s="81"/>
      <c r="D352" s="399"/>
      <c r="E352" s="82" t="e">
        <f t="shared" si="5"/>
        <v>#DIV/0!</v>
      </c>
      <c r="F352" s="82"/>
      <c r="G352" s="512" t="str">
        <f>IF(A352&lt;&gt;"", F352/ VLOOKUP(A352, 'Курс валют'!$A:$D, 4, 0), "")</f>
        <v/>
      </c>
      <c r="H352" s="501"/>
    </row>
    <row r="353" spans="1:8" ht="20.100000000000001" customHeight="1" x14ac:dyDescent="0.45">
      <c r="A353" s="494"/>
      <c r="B353" s="80"/>
      <c r="C353" s="81"/>
      <c r="D353" s="399"/>
      <c r="E353" s="82" t="e">
        <f t="shared" si="5"/>
        <v>#DIV/0!</v>
      </c>
      <c r="F353" s="82"/>
      <c r="G353" s="512" t="str">
        <f>IF(A353&lt;&gt;"", F353/ VLOOKUP(A353, 'Курс валют'!$A:$D, 4, 0), "")</f>
        <v/>
      </c>
      <c r="H353" s="501"/>
    </row>
    <row r="354" spans="1:8" ht="20.100000000000001" customHeight="1" x14ac:dyDescent="0.45">
      <c r="A354" s="494"/>
      <c r="B354" s="80"/>
      <c r="C354" s="81"/>
      <c r="D354" s="399"/>
      <c r="E354" s="82" t="e">
        <f t="shared" si="5"/>
        <v>#DIV/0!</v>
      </c>
      <c r="F354" s="82"/>
      <c r="G354" s="512" t="str">
        <f>IF(A354&lt;&gt;"", F354/ VLOOKUP(A354, 'Курс валют'!$A:$D, 4, 0), "")</f>
        <v/>
      </c>
      <c r="H354" s="501"/>
    </row>
    <row r="355" spans="1:8" ht="20.100000000000001" customHeight="1" x14ac:dyDescent="0.45">
      <c r="A355" s="494"/>
      <c r="B355" s="80"/>
      <c r="C355" s="81"/>
      <c r="D355" s="399"/>
      <c r="E355" s="82" t="e">
        <f t="shared" si="5"/>
        <v>#DIV/0!</v>
      </c>
      <c r="F355" s="82"/>
      <c r="G355" s="512" t="str">
        <f>IF(A355&lt;&gt;"", F355/ VLOOKUP(A355, 'Курс валют'!$A:$D, 4, 0), "")</f>
        <v/>
      </c>
      <c r="H355" s="501"/>
    </row>
    <row r="356" spans="1:8" ht="20.100000000000001" customHeight="1" x14ac:dyDescent="0.45">
      <c r="A356" s="494"/>
      <c r="B356" s="80"/>
      <c r="C356" s="81"/>
      <c r="D356" s="399"/>
      <c r="E356" s="82" t="e">
        <f t="shared" si="5"/>
        <v>#DIV/0!</v>
      </c>
      <c r="F356" s="82"/>
      <c r="G356" s="512" t="str">
        <f>IF(A356&lt;&gt;"", F356/ VLOOKUP(A356, 'Курс валют'!$A:$D, 4, 0), "")</f>
        <v/>
      </c>
      <c r="H356" s="501"/>
    </row>
    <row r="357" spans="1:8" ht="20.100000000000001" customHeight="1" x14ac:dyDescent="0.45">
      <c r="A357" s="494"/>
      <c r="B357" s="80"/>
      <c r="C357" s="81"/>
      <c r="D357" s="399"/>
      <c r="E357" s="82" t="e">
        <f t="shared" si="5"/>
        <v>#DIV/0!</v>
      </c>
      <c r="F357" s="82"/>
      <c r="G357" s="512" t="str">
        <f>IF(A357&lt;&gt;"", F357/ VLOOKUP(A357, 'Курс валют'!$A:$D, 4, 0), "")</f>
        <v/>
      </c>
      <c r="H357" s="501"/>
    </row>
    <row r="358" spans="1:8" ht="20.100000000000001" customHeight="1" x14ac:dyDescent="0.45">
      <c r="A358" s="494"/>
      <c r="B358" s="80"/>
      <c r="C358" s="81"/>
      <c r="D358" s="399"/>
      <c r="E358" s="82" t="e">
        <f t="shared" ref="E358:E359" si="6">F358/D358</f>
        <v>#DIV/0!</v>
      </c>
      <c r="F358" s="82"/>
      <c r="G358" s="512" t="str">
        <f>IF(A358&lt;&gt;"", F358/ VLOOKUP(A358, 'Курс валют'!$A:$D, 4, 0), "")</f>
        <v/>
      </c>
      <c r="H358" s="501"/>
    </row>
    <row r="359" spans="1:8" ht="20.100000000000001" customHeight="1" x14ac:dyDescent="0.45">
      <c r="A359" s="507"/>
      <c r="B359" s="508"/>
      <c r="C359" s="509"/>
      <c r="D359" s="510"/>
      <c r="E359" s="511" t="e">
        <f t="shared" si="6"/>
        <v>#DIV/0!</v>
      </c>
      <c r="F359" s="511"/>
      <c r="G359" s="512" t="str">
        <f>IF(A359&lt;&gt;"", F359/ VLOOKUP(A359, 'Курс валют'!$A:$D, 4, 0), "")</f>
        <v/>
      </c>
      <c r="H359" s="513"/>
    </row>
  </sheetData>
  <conditionalFormatting sqref="A2:H359">
    <cfRule type="expression" dxfId="69" priority="3">
      <formula>ISNUMBER(SEARCH("Итог",$A2))</formula>
    </cfRule>
    <cfRule type="expression" dxfId="68" priority="4">
      <formula>AND(ISERROR(SEARCH("Итог",$A2)),MOD(ROW(),2)=0)</formula>
    </cfRule>
  </conditionalFormatting>
  <conditionalFormatting sqref="G1">
    <cfRule type="expression" dxfId="67" priority="2">
      <formula>SEARCH("Итог", $A1)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65604-B1DD-4ECA-B7A8-8B252538B5DD}">
  <sheetPr codeName="Worksheet____6"/>
  <dimension ref="A1:P1000"/>
  <sheetViews>
    <sheetView zoomScale="84" zoomScaleNormal="99" workbookViewId="0">
      <pane ySplit="2" topLeftCell="A954" activePane="bottomLeft" state="frozen"/>
      <selection pane="bottomLeft" activeCell="A958" sqref="A958"/>
    </sheetView>
  </sheetViews>
  <sheetFormatPr defaultRowHeight="20.100000000000001" customHeight="1" x14ac:dyDescent="0.45"/>
  <cols>
    <col min="1" max="1" width="15.06640625" customWidth="1"/>
    <col min="2" max="2" width="32" customWidth="1"/>
    <col min="3" max="3" width="10.73046875" customWidth="1"/>
    <col min="4" max="4" width="24.86328125" customWidth="1"/>
    <col min="5" max="6" width="13.33203125" customWidth="1"/>
    <col min="7" max="7" width="16.796875" customWidth="1"/>
    <col min="8" max="8" width="19.6640625" customWidth="1"/>
    <col min="9" max="9" width="19.6640625" hidden="1" customWidth="1"/>
    <col min="10" max="10" width="16.796875" hidden="1" customWidth="1"/>
    <col min="11" max="11" width="17.86328125" hidden="1" customWidth="1"/>
    <col min="12" max="12" width="24.86328125" customWidth="1"/>
    <col min="13" max="13" width="9.796875" customWidth="1"/>
    <col min="14" max="14" width="13.33203125" customWidth="1"/>
    <col min="15" max="15" width="28.3984375" customWidth="1"/>
    <col min="16" max="16" width="16.796875" customWidth="1"/>
  </cols>
  <sheetData>
    <row r="1" spans="1:16" ht="38.1" customHeight="1" x14ac:dyDescent="0.45">
      <c r="A1" s="622" t="s">
        <v>161</v>
      </c>
      <c r="B1" s="623"/>
      <c r="C1" s="623"/>
      <c r="D1" s="624"/>
      <c r="E1" s="625"/>
      <c r="F1" s="625"/>
      <c r="G1" s="626"/>
      <c r="H1" s="627"/>
      <c r="I1" s="626"/>
      <c r="J1" s="628"/>
      <c r="K1" s="623"/>
      <c r="L1" s="623"/>
      <c r="M1" s="624"/>
      <c r="N1" s="626"/>
      <c r="O1" s="627"/>
      <c r="P1" s="629"/>
    </row>
    <row r="2" spans="1:16" ht="36" customHeight="1" x14ac:dyDescent="0.45">
      <c r="A2" s="155" t="s">
        <v>26</v>
      </c>
      <c r="B2" s="147" t="s">
        <v>54</v>
      </c>
      <c r="C2" s="147" t="s">
        <v>162</v>
      </c>
      <c r="D2" s="158" t="s">
        <v>1</v>
      </c>
      <c r="E2" s="161" t="s">
        <v>145</v>
      </c>
      <c r="F2" s="594" t="s">
        <v>163</v>
      </c>
      <c r="G2" s="163" t="s">
        <v>164</v>
      </c>
      <c r="H2" s="167" t="s">
        <v>165</v>
      </c>
      <c r="I2" s="162" t="s">
        <v>166</v>
      </c>
      <c r="J2" s="170" t="s">
        <v>167</v>
      </c>
      <c r="K2" s="147" t="s">
        <v>168</v>
      </c>
      <c r="L2" s="147" t="s">
        <v>169</v>
      </c>
      <c r="M2" s="158" t="s">
        <v>170</v>
      </c>
      <c r="N2" s="595" t="s">
        <v>171</v>
      </c>
      <c r="O2" s="175" t="s">
        <v>172</v>
      </c>
      <c r="P2" s="178"/>
    </row>
    <row r="3" spans="1:16" ht="20.100000000000001" customHeight="1" x14ac:dyDescent="0.45">
      <c r="A3" s="156">
        <v>45962</v>
      </c>
      <c r="B3" s="148" t="s">
        <v>64</v>
      </c>
      <c r="C3" s="149" t="s">
        <v>69</v>
      </c>
      <c r="D3" s="159" t="s">
        <v>173</v>
      </c>
      <c r="E3" s="180">
        <v>4</v>
      </c>
      <c r="F3" s="458">
        <v>0</v>
      </c>
      <c r="G3" s="164">
        <v>690000</v>
      </c>
      <c r="H3" s="168">
        <f>G3*E3</f>
        <v>2760000</v>
      </c>
      <c r="I3" s="173">
        <f>H3*F3</f>
        <v>0</v>
      </c>
      <c r="J3" s="171" t="s">
        <v>174</v>
      </c>
      <c r="K3" s="149" t="s">
        <v>175</v>
      </c>
      <c r="L3" s="149"/>
      <c r="M3" s="159" t="s">
        <v>69</v>
      </c>
      <c r="N3" s="596">
        <f t="shared" ref="N3:N34" si="0">SUMIF(B:B,B3,E:E)-SUMIF(B:B,B3,F:F)</f>
        <v>4</v>
      </c>
      <c r="O3" s="176"/>
      <c r="P3" s="179">
        <f>IF(A3&lt;&gt;"", Снабжения!H3 / VLOOKUP(A3, 'Курс валют'!$A:$D, 4, 0), "")</f>
        <v>228.099173553719</v>
      </c>
    </row>
    <row r="4" spans="1:16" ht="20.100000000000001" customHeight="1" x14ac:dyDescent="0.45">
      <c r="A4" s="156">
        <v>45962</v>
      </c>
      <c r="B4" s="150" t="s">
        <v>176</v>
      </c>
      <c r="C4" s="149" t="s">
        <v>69</v>
      </c>
      <c r="D4" s="159" t="s">
        <v>177</v>
      </c>
      <c r="E4" s="180">
        <v>10</v>
      </c>
      <c r="F4" s="458">
        <v>0</v>
      </c>
      <c r="G4" s="164">
        <v>17739</v>
      </c>
      <c r="H4" s="168">
        <f t="shared" ref="H4:H10" si="1">G4*E4</f>
        <v>177390</v>
      </c>
      <c r="I4" s="173">
        <f>H4*F4</f>
        <v>0</v>
      </c>
      <c r="J4" s="171" t="s">
        <v>174</v>
      </c>
      <c r="K4" s="149" t="s">
        <v>175</v>
      </c>
      <c r="L4" s="149"/>
      <c r="M4" s="159" t="s">
        <v>69</v>
      </c>
      <c r="N4" s="596">
        <f t="shared" si="0"/>
        <v>10</v>
      </c>
      <c r="O4" s="176"/>
      <c r="P4" s="179">
        <f>IF(A4&lt;&gt;"", Снабжения!H4 / VLOOKUP(A4, 'Курс валют'!$A:$D, 4, 0), "")</f>
        <v>14.660330578512397</v>
      </c>
    </row>
    <row r="5" spans="1:16" ht="20.100000000000001" customHeight="1" x14ac:dyDescent="0.45">
      <c r="A5" s="156">
        <v>45962</v>
      </c>
      <c r="B5" s="150" t="s">
        <v>178</v>
      </c>
      <c r="C5" s="149" t="s">
        <v>69</v>
      </c>
      <c r="D5" s="159" t="s">
        <v>177</v>
      </c>
      <c r="E5" s="180">
        <v>10</v>
      </c>
      <c r="F5" s="458">
        <v>0</v>
      </c>
      <c r="G5" s="164">
        <v>17739</v>
      </c>
      <c r="H5" s="168">
        <f t="shared" si="1"/>
        <v>177390</v>
      </c>
      <c r="I5" s="173">
        <f>H5*F5</f>
        <v>0</v>
      </c>
      <c r="J5" s="171" t="s">
        <v>174</v>
      </c>
      <c r="K5" s="149" t="s">
        <v>175</v>
      </c>
      <c r="L5" s="149"/>
      <c r="M5" s="159" t="s">
        <v>69</v>
      </c>
      <c r="N5" s="596">
        <f t="shared" si="0"/>
        <v>5</v>
      </c>
      <c r="O5" s="176"/>
      <c r="P5" s="179">
        <f>IF(A5&lt;&gt;"", Снабжения!H5 / VLOOKUP(A5, 'Курс валют'!$A:$D, 4, 0), "")</f>
        <v>14.660330578512397</v>
      </c>
    </row>
    <row r="6" spans="1:16" ht="20.100000000000001" customHeight="1" x14ac:dyDescent="0.45">
      <c r="A6" s="156">
        <v>45962</v>
      </c>
      <c r="B6" s="150" t="s">
        <v>179</v>
      </c>
      <c r="C6" s="149" t="s">
        <v>69</v>
      </c>
      <c r="D6" s="159" t="s">
        <v>177</v>
      </c>
      <c r="E6" s="180">
        <v>10</v>
      </c>
      <c r="F6" s="458">
        <v>0</v>
      </c>
      <c r="G6" s="164">
        <v>32562</v>
      </c>
      <c r="H6" s="168">
        <f t="shared" si="1"/>
        <v>325620</v>
      </c>
      <c r="I6" s="173">
        <f>H6*F6</f>
        <v>0</v>
      </c>
      <c r="J6" s="171" t="s">
        <v>174</v>
      </c>
      <c r="K6" s="149" t="s">
        <v>175</v>
      </c>
      <c r="L6" s="149"/>
      <c r="M6" s="159" t="s">
        <v>69</v>
      </c>
      <c r="N6" s="596">
        <f t="shared" si="0"/>
        <v>10</v>
      </c>
      <c r="O6" s="176"/>
      <c r="P6" s="179">
        <f>IF(A6&lt;&gt;"", Снабжения!H6 / VLOOKUP(A6, 'Курс валют'!$A:$D, 4, 0), "")</f>
        <v>26.910743801652892</v>
      </c>
    </row>
    <row r="7" spans="1:16" ht="20.100000000000001" customHeight="1" x14ac:dyDescent="0.45">
      <c r="A7" s="156">
        <v>45962</v>
      </c>
      <c r="B7" s="150" t="s">
        <v>180</v>
      </c>
      <c r="C7" s="149" t="s">
        <v>69</v>
      </c>
      <c r="D7" s="159" t="s">
        <v>177</v>
      </c>
      <c r="E7" s="180">
        <v>20</v>
      </c>
      <c r="F7" s="458">
        <v>7</v>
      </c>
      <c r="G7" s="164">
        <v>8000</v>
      </c>
      <c r="H7" s="168">
        <f t="shared" si="1"/>
        <v>160000</v>
      </c>
      <c r="I7" s="173">
        <f>G7*F7</f>
        <v>56000</v>
      </c>
      <c r="J7" s="171" t="s">
        <v>174</v>
      </c>
      <c r="K7" s="149" t="s">
        <v>175</v>
      </c>
      <c r="L7" s="149"/>
      <c r="M7" s="159" t="s">
        <v>69</v>
      </c>
      <c r="N7" s="596">
        <f t="shared" si="0"/>
        <v>13</v>
      </c>
      <c r="O7" s="176">
        <v>6</v>
      </c>
      <c r="P7" s="179">
        <f>IF(A7&lt;&gt;"", Снабжения!H7 / VLOOKUP(A7, 'Курс валют'!$A:$D, 4, 0), "")</f>
        <v>13.223140495867769</v>
      </c>
    </row>
    <row r="8" spans="1:16" ht="20.100000000000001" customHeight="1" x14ac:dyDescent="0.45">
      <c r="A8" s="156">
        <v>45962</v>
      </c>
      <c r="B8" s="150" t="s">
        <v>181</v>
      </c>
      <c r="C8" s="149" t="s">
        <v>69</v>
      </c>
      <c r="D8" s="159" t="s">
        <v>177</v>
      </c>
      <c r="E8" s="180">
        <v>10</v>
      </c>
      <c r="F8" s="458">
        <v>7</v>
      </c>
      <c r="G8" s="164">
        <v>8000</v>
      </c>
      <c r="H8" s="168">
        <f t="shared" si="1"/>
        <v>80000</v>
      </c>
      <c r="I8" s="173">
        <f t="shared" ref="I8:I71" si="2">G8*F8</f>
        <v>56000</v>
      </c>
      <c r="J8" s="171" t="s">
        <v>174</v>
      </c>
      <c r="K8" s="149" t="s">
        <v>175</v>
      </c>
      <c r="L8" s="149"/>
      <c r="M8" s="159" t="s">
        <v>69</v>
      </c>
      <c r="N8" s="596">
        <f t="shared" si="0"/>
        <v>3</v>
      </c>
      <c r="O8" s="176">
        <v>0</v>
      </c>
      <c r="P8" s="179">
        <f>IF(A8&lt;&gt;"", Снабжения!H8 / VLOOKUP(A8, 'Курс валют'!$A:$D, 4, 0), "")</f>
        <v>6.6115702479338845</v>
      </c>
    </row>
    <row r="9" spans="1:16" ht="20.100000000000001" customHeight="1" x14ac:dyDescent="0.45">
      <c r="A9" s="156">
        <v>45962</v>
      </c>
      <c r="B9" s="150" t="s">
        <v>182</v>
      </c>
      <c r="C9" s="149" t="s">
        <v>69</v>
      </c>
      <c r="D9" s="159"/>
      <c r="E9" s="180">
        <v>40</v>
      </c>
      <c r="F9" s="458">
        <v>13</v>
      </c>
      <c r="G9" s="164">
        <v>3280.5</v>
      </c>
      <c r="H9" s="168">
        <f t="shared" si="1"/>
        <v>131220</v>
      </c>
      <c r="I9" s="173">
        <f t="shared" si="2"/>
        <v>42646.5</v>
      </c>
      <c r="J9" s="171" t="s">
        <v>174</v>
      </c>
      <c r="K9" s="149" t="s">
        <v>175</v>
      </c>
      <c r="L9" s="149"/>
      <c r="M9" s="159" t="s">
        <v>97</v>
      </c>
      <c r="N9" s="596">
        <f t="shared" si="0"/>
        <v>22</v>
      </c>
      <c r="O9" s="176">
        <v>5</v>
      </c>
      <c r="P9" s="179">
        <f>IF(A9&lt;&gt;"", Снабжения!H9 / VLOOKUP(A9, 'Курс валют'!$A:$D, 4, 0), "")</f>
        <v>10.844628099173553</v>
      </c>
    </row>
    <row r="10" spans="1:16" ht="20.100000000000001" customHeight="1" x14ac:dyDescent="0.45">
      <c r="A10" s="156">
        <v>45962</v>
      </c>
      <c r="B10" s="150" t="s">
        <v>183</v>
      </c>
      <c r="C10" s="149" t="s">
        <v>69</v>
      </c>
      <c r="D10" s="159" t="s">
        <v>177</v>
      </c>
      <c r="E10" s="180">
        <v>2</v>
      </c>
      <c r="F10" s="458">
        <v>0</v>
      </c>
      <c r="G10" s="164">
        <v>95700</v>
      </c>
      <c r="H10" s="168">
        <f t="shared" si="1"/>
        <v>191400</v>
      </c>
      <c r="I10" s="173">
        <f t="shared" si="2"/>
        <v>0</v>
      </c>
      <c r="J10" s="171" t="s">
        <v>174</v>
      </c>
      <c r="K10" s="149" t="s">
        <v>175</v>
      </c>
      <c r="L10" s="149"/>
      <c r="M10" s="159" t="s">
        <v>69</v>
      </c>
      <c r="N10" s="596">
        <f t="shared" si="0"/>
        <v>2</v>
      </c>
      <c r="O10" s="176"/>
      <c r="P10" s="179">
        <f>IF(A10&lt;&gt;"", Снабжения!H10 / VLOOKUP(A10, 'Курс валют'!$A:$D, 4, 0), "")</f>
        <v>15.818181818181818</v>
      </c>
    </row>
    <row r="11" spans="1:16" ht="20.100000000000001" customHeight="1" x14ac:dyDescent="0.45">
      <c r="A11" s="156">
        <v>45962</v>
      </c>
      <c r="B11" s="150" t="s">
        <v>184</v>
      </c>
      <c r="C11" s="149" t="s">
        <v>69</v>
      </c>
      <c r="D11" s="159" t="s">
        <v>177</v>
      </c>
      <c r="E11" s="180">
        <v>2</v>
      </c>
      <c r="F11" s="458">
        <v>0</v>
      </c>
      <c r="G11" s="164"/>
      <c r="H11" s="168">
        <f>73554+60021</f>
        <v>133575</v>
      </c>
      <c r="I11" s="173">
        <f t="shared" si="2"/>
        <v>0</v>
      </c>
      <c r="J11" s="171" t="s">
        <v>174</v>
      </c>
      <c r="K11" s="149" t="s">
        <v>175</v>
      </c>
      <c r="L11" s="149"/>
      <c r="M11" s="159" t="s">
        <v>69</v>
      </c>
      <c r="N11" s="596">
        <f t="shared" si="0"/>
        <v>2</v>
      </c>
      <c r="O11" s="176"/>
      <c r="P11" s="179">
        <f>IF(A11&lt;&gt;"", Снабжения!H11 / VLOOKUP(A11, 'Курс валют'!$A:$D, 4, 0), "")</f>
        <v>11.039256198347108</v>
      </c>
    </row>
    <row r="12" spans="1:16" ht="20.100000000000001" customHeight="1" x14ac:dyDescent="0.45">
      <c r="A12" s="156">
        <v>45962</v>
      </c>
      <c r="B12" s="150" t="s">
        <v>185</v>
      </c>
      <c r="C12" s="149" t="s">
        <v>69</v>
      </c>
      <c r="D12" s="159" t="s">
        <v>177</v>
      </c>
      <c r="E12" s="180">
        <v>2</v>
      </c>
      <c r="F12" s="458">
        <v>0</v>
      </c>
      <c r="G12" s="164"/>
      <c r="H12" s="168">
        <f>29281.5+26851.5</f>
        <v>56133</v>
      </c>
      <c r="I12" s="173">
        <f t="shared" si="2"/>
        <v>0</v>
      </c>
      <c r="J12" s="171" t="s">
        <v>174</v>
      </c>
      <c r="K12" s="149" t="s">
        <v>175</v>
      </c>
      <c r="L12" s="149"/>
      <c r="M12" s="159" t="s">
        <v>69</v>
      </c>
      <c r="N12" s="596">
        <f t="shared" si="0"/>
        <v>10</v>
      </c>
      <c r="O12" s="176"/>
      <c r="P12" s="179">
        <f>IF(A12&lt;&gt;"", Снабжения!H12 / VLOOKUP(A12, 'Курс валют'!$A:$D, 4, 0), "")</f>
        <v>4.6390909090909087</v>
      </c>
    </row>
    <row r="13" spans="1:16" ht="20.100000000000001" customHeight="1" x14ac:dyDescent="0.45">
      <c r="A13" s="156">
        <v>45962</v>
      </c>
      <c r="B13" s="150" t="s">
        <v>186</v>
      </c>
      <c r="C13" s="149" t="s">
        <v>59</v>
      </c>
      <c r="D13" s="159" t="s">
        <v>187</v>
      </c>
      <c r="E13" s="180">
        <v>20</v>
      </c>
      <c r="F13" s="458"/>
      <c r="G13" s="164">
        <v>11421</v>
      </c>
      <c r="H13" s="168">
        <f>G13*E13</f>
        <v>228420</v>
      </c>
      <c r="I13" s="173">
        <f t="shared" si="2"/>
        <v>0</v>
      </c>
      <c r="J13" s="171" t="s">
        <v>174</v>
      </c>
      <c r="K13" s="149" t="s">
        <v>175</v>
      </c>
      <c r="L13" s="149"/>
      <c r="M13" s="159" t="s">
        <v>69</v>
      </c>
      <c r="N13" s="596">
        <f t="shared" si="0"/>
        <v>40</v>
      </c>
      <c r="O13" s="176">
        <v>98</v>
      </c>
      <c r="P13" s="179">
        <f>IF(A13&lt;&gt;"", Снабжения!H13 / VLOOKUP(A13, 'Курс валют'!$A:$D, 4, 0), "")</f>
        <v>18.877685950413223</v>
      </c>
    </row>
    <row r="14" spans="1:16" ht="20.100000000000001" customHeight="1" x14ac:dyDescent="0.45">
      <c r="A14" s="156">
        <v>45962</v>
      </c>
      <c r="B14" s="150" t="s">
        <v>188</v>
      </c>
      <c r="C14" s="149" t="s">
        <v>59</v>
      </c>
      <c r="D14" s="159" t="s">
        <v>187</v>
      </c>
      <c r="E14" s="180">
        <v>20</v>
      </c>
      <c r="F14" s="458"/>
      <c r="G14" s="164">
        <v>11421</v>
      </c>
      <c r="H14" s="168">
        <f>G14*E14</f>
        <v>228420</v>
      </c>
      <c r="I14" s="173">
        <f t="shared" si="2"/>
        <v>0</v>
      </c>
      <c r="J14" s="171" t="s">
        <v>174</v>
      </c>
      <c r="K14" s="149" t="s">
        <v>175</v>
      </c>
      <c r="L14" s="149"/>
      <c r="M14" s="159" t="s">
        <v>69</v>
      </c>
      <c r="N14" s="596">
        <f t="shared" si="0"/>
        <v>20</v>
      </c>
      <c r="O14" s="176">
        <v>80</v>
      </c>
      <c r="P14" s="179">
        <f>IF(A14&lt;&gt;"", Снабжения!H14 / VLOOKUP(A14, 'Курс валют'!$A:$D, 4, 0), "")</f>
        <v>18.877685950413223</v>
      </c>
    </row>
    <row r="15" spans="1:16" ht="20.100000000000001" customHeight="1" x14ac:dyDescent="0.45">
      <c r="A15" s="156">
        <v>45962</v>
      </c>
      <c r="B15" s="151" t="s">
        <v>189</v>
      </c>
      <c r="C15" s="149" t="s">
        <v>69</v>
      </c>
      <c r="D15" s="159"/>
      <c r="E15" s="180">
        <v>100</v>
      </c>
      <c r="F15" s="458">
        <v>30</v>
      </c>
      <c r="G15" s="164">
        <v>1400</v>
      </c>
      <c r="H15" s="168">
        <f>G15*E15</f>
        <v>140000</v>
      </c>
      <c r="I15" s="173">
        <f t="shared" si="2"/>
        <v>42000</v>
      </c>
      <c r="J15" s="171" t="s">
        <v>174</v>
      </c>
      <c r="K15" s="149" t="s">
        <v>175</v>
      </c>
      <c r="L15" s="149"/>
      <c r="M15" s="159" t="s">
        <v>69</v>
      </c>
      <c r="N15" s="596">
        <f t="shared" si="0"/>
        <v>309</v>
      </c>
      <c r="O15" s="176">
        <v>162</v>
      </c>
      <c r="P15" s="179">
        <f>IF(A15&lt;&gt;"", Снабжения!H15 / VLOOKUP(A15, 'Курс валют'!$A:$D, 4, 0), "")</f>
        <v>11.570247933884298</v>
      </c>
    </row>
    <row r="16" spans="1:16" ht="20.100000000000001" customHeight="1" x14ac:dyDescent="0.45">
      <c r="A16" s="156">
        <v>45962</v>
      </c>
      <c r="B16" s="150" t="s">
        <v>190</v>
      </c>
      <c r="C16" s="149" t="s">
        <v>59</v>
      </c>
      <c r="D16" s="159" t="s">
        <v>187</v>
      </c>
      <c r="E16" s="180">
        <v>20</v>
      </c>
      <c r="F16" s="458"/>
      <c r="G16" s="164">
        <v>28066.5</v>
      </c>
      <c r="H16" s="168">
        <f>G16*E16</f>
        <v>561330</v>
      </c>
      <c r="I16" s="173">
        <f t="shared" si="2"/>
        <v>0</v>
      </c>
      <c r="J16" s="171" t="s">
        <v>174</v>
      </c>
      <c r="K16" s="149" t="s">
        <v>175</v>
      </c>
      <c r="L16" s="149"/>
      <c r="M16" s="159" t="s">
        <v>69</v>
      </c>
      <c r="N16" s="596">
        <f t="shared" si="0"/>
        <v>80</v>
      </c>
      <c r="O16" s="176"/>
      <c r="P16" s="179">
        <f>IF(A16&lt;&gt;"", Снабжения!H16 / VLOOKUP(A16, 'Курс валют'!$A:$D, 4, 0), "")</f>
        <v>46.390909090909091</v>
      </c>
    </row>
    <row r="17" spans="1:16" ht="20.100000000000001" customHeight="1" x14ac:dyDescent="0.45">
      <c r="A17" s="156">
        <v>45962</v>
      </c>
      <c r="B17" s="151" t="s">
        <v>191</v>
      </c>
      <c r="C17" s="149" t="s">
        <v>69</v>
      </c>
      <c r="D17" s="159"/>
      <c r="E17" s="180">
        <v>4</v>
      </c>
      <c r="F17" s="458">
        <v>4</v>
      </c>
      <c r="G17" s="164">
        <v>10935</v>
      </c>
      <c r="H17" s="168">
        <f>G17*E17</f>
        <v>43740</v>
      </c>
      <c r="I17" s="173">
        <f t="shared" si="2"/>
        <v>43740</v>
      </c>
      <c r="J17" s="171" t="s">
        <v>174</v>
      </c>
      <c r="K17" s="149" t="s">
        <v>175</v>
      </c>
      <c r="L17" s="149"/>
      <c r="M17" s="159" t="s">
        <v>69</v>
      </c>
      <c r="N17" s="596">
        <f t="shared" si="0"/>
        <v>2</v>
      </c>
      <c r="O17" s="176"/>
      <c r="P17" s="179">
        <f>IF(A17&lt;&gt;"", Снабжения!H17 / VLOOKUP(A17, 'Курс валют'!$A:$D, 4, 0), "")</f>
        <v>3.6148760330578513</v>
      </c>
    </row>
    <row r="18" spans="1:16" ht="20.100000000000001" customHeight="1" x14ac:dyDescent="0.45">
      <c r="A18" s="156">
        <v>45964</v>
      </c>
      <c r="B18" s="150" t="s">
        <v>192</v>
      </c>
      <c r="C18" s="149" t="s">
        <v>69</v>
      </c>
      <c r="D18" s="159" t="s">
        <v>193</v>
      </c>
      <c r="E18" s="180">
        <v>1</v>
      </c>
      <c r="F18" s="458">
        <v>0</v>
      </c>
      <c r="G18" s="165">
        <v>748305</v>
      </c>
      <c r="H18" s="168">
        <f>E18*G18</f>
        <v>748305</v>
      </c>
      <c r="I18" s="173">
        <f t="shared" si="2"/>
        <v>0</v>
      </c>
      <c r="J18" s="171" t="s">
        <v>174</v>
      </c>
      <c r="K18" s="149" t="s">
        <v>175</v>
      </c>
      <c r="L18" s="149"/>
      <c r="M18" s="159" t="s">
        <v>69</v>
      </c>
      <c r="N18" s="596">
        <f t="shared" si="0"/>
        <v>1</v>
      </c>
      <c r="O18" s="176"/>
      <c r="P18" s="179">
        <f>IF(A18&lt;&gt;"", Снабжения!H18 / VLOOKUP(A18, 'Курс валют'!$A:$D, 4, 0), "")</f>
        <v>62.515037593984964</v>
      </c>
    </row>
    <row r="19" spans="1:16" ht="20.100000000000001" customHeight="1" x14ac:dyDescent="0.45">
      <c r="A19" s="156">
        <v>45964</v>
      </c>
      <c r="B19" s="150" t="s">
        <v>194</v>
      </c>
      <c r="C19" s="149" t="s">
        <v>69</v>
      </c>
      <c r="D19" s="159" t="s">
        <v>193</v>
      </c>
      <c r="E19" s="180">
        <v>1</v>
      </c>
      <c r="F19" s="458">
        <v>0</v>
      </c>
      <c r="G19" s="165">
        <v>526585</v>
      </c>
      <c r="H19" s="168">
        <f>E19*G19</f>
        <v>526585</v>
      </c>
      <c r="I19" s="173">
        <f t="shared" si="2"/>
        <v>0</v>
      </c>
      <c r="J19" s="171" t="s">
        <v>174</v>
      </c>
      <c r="K19" s="149" t="s">
        <v>175</v>
      </c>
      <c r="L19" s="149"/>
      <c r="M19" s="159" t="s">
        <v>69</v>
      </c>
      <c r="N19" s="596">
        <f t="shared" si="0"/>
        <v>1</v>
      </c>
      <c r="O19" s="176"/>
      <c r="P19" s="179">
        <f>IF(A19&lt;&gt;"", Снабжения!H19 / VLOOKUP(A19, 'Курс валют'!$A:$D, 4, 0), "")</f>
        <v>43.992063492063494</v>
      </c>
    </row>
    <row r="20" spans="1:16" ht="20.100000000000001" customHeight="1" x14ac:dyDescent="0.45">
      <c r="A20" s="156">
        <v>45964</v>
      </c>
      <c r="B20" s="150" t="s">
        <v>195</v>
      </c>
      <c r="C20" s="149" t="s">
        <v>69</v>
      </c>
      <c r="D20" s="159" t="s">
        <v>193</v>
      </c>
      <c r="E20" s="180">
        <v>2</v>
      </c>
      <c r="F20" s="458">
        <v>0</v>
      </c>
      <c r="G20" s="164">
        <v>554300</v>
      </c>
      <c r="H20" s="168">
        <f>E20*G20</f>
        <v>1108600</v>
      </c>
      <c r="I20" s="173">
        <f t="shared" si="2"/>
        <v>0</v>
      </c>
      <c r="J20" s="171" t="s">
        <v>174</v>
      </c>
      <c r="K20" s="149" t="s">
        <v>175</v>
      </c>
      <c r="L20" s="149"/>
      <c r="M20" s="159" t="s">
        <v>69</v>
      </c>
      <c r="N20" s="596">
        <f t="shared" si="0"/>
        <v>3</v>
      </c>
      <c r="O20" s="176"/>
      <c r="P20" s="179">
        <f>IF(A20&lt;&gt;"", Снабжения!H20 / VLOOKUP(A20, 'Курс валют'!$A:$D, 4, 0), "")</f>
        <v>92.614870509607357</v>
      </c>
    </row>
    <row r="21" spans="1:16" ht="20.100000000000001" customHeight="1" x14ac:dyDescent="0.45">
      <c r="A21" s="156">
        <v>45964</v>
      </c>
      <c r="B21" s="150" t="s">
        <v>196</v>
      </c>
      <c r="C21" s="149" t="s">
        <v>69</v>
      </c>
      <c r="D21" s="159" t="s">
        <v>193</v>
      </c>
      <c r="E21" s="180">
        <v>2</v>
      </c>
      <c r="F21" s="458">
        <v>0</v>
      </c>
      <c r="G21" s="165">
        <f>970025+1121132</f>
        <v>2091157</v>
      </c>
      <c r="H21" s="168">
        <f>970025+1121132</f>
        <v>2091157</v>
      </c>
      <c r="I21" s="173">
        <f t="shared" si="2"/>
        <v>0</v>
      </c>
      <c r="J21" s="171" t="s">
        <v>174</v>
      </c>
      <c r="K21" s="149" t="s">
        <v>175</v>
      </c>
      <c r="L21" s="149"/>
      <c r="M21" s="159" t="s">
        <v>69</v>
      </c>
      <c r="N21" s="596">
        <f t="shared" si="0"/>
        <v>1</v>
      </c>
      <c r="O21" s="176"/>
      <c r="P21" s="179">
        <f>IF(A21&lt;&gt;"", Снабжения!H21 / VLOOKUP(A21, 'Курс валют'!$A:$D, 4, 0), "")</f>
        <v>174.69983291562238</v>
      </c>
    </row>
    <row r="22" spans="1:16" ht="20.100000000000001" customHeight="1" x14ac:dyDescent="0.45">
      <c r="A22" s="156">
        <v>45964</v>
      </c>
      <c r="B22" s="150" t="s">
        <v>197</v>
      </c>
      <c r="C22" s="149" t="s">
        <v>69</v>
      </c>
      <c r="D22" s="159" t="s">
        <v>173</v>
      </c>
      <c r="E22" s="180">
        <v>2</v>
      </c>
      <c r="F22" s="458">
        <v>0</v>
      </c>
      <c r="G22" s="164">
        <v>60250</v>
      </c>
      <c r="H22" s="168">
        <f t="shared" ref="H22:H28" si="3">E22*G22</f>
        <v>120500</v>
      </c>
      <c r="I22" s="173">
        <f t="shared" si="2"/>
        <v>0</v>
      </c>
      <c r="J22" s="171" t="s">
        <v>174</v>
      </c>
      <c r="K22" s="149" t="s">
        <v>175</v>
      </c>
      <c r="L22" s="149"/>
      <c r="M22" s="159" t="s">
        <v>69</v>
      </c>
      <c r="N22" s="596">
        <f t="shared" si="0"/>
        <v>2</v>
      </c>
      <c r="O22" s="176"/>
      <c r="P22" s="179">
        <f>IF(A22&lt;&gt;"", Снабжения!H22 / VLOOKUP(A22, 'Курс валют'!$A:$D, 4, 0), "")</f>
        <v>10.066833751044278</v>
      </c>
    </row>
    <row r="23" spans="1:16" ht="20.100000000000001" customHeight="1" x14ac:dyDescent="0.45">
      <c r="A23" s="156">
        <v>45964</v>
      </c>
      <c r="B23" s="150" t="s">
        <v>198</v>
      </c>
      <c r="C23" s="149" t="s">
        <v>69</v>
      </c>
      <c r="D23" s="159" t="s">
        <v>173</v>
      </c>
      <c r="E23" s="180">
        <v>2</v>
      </c>
      <c r="F23" s="458">
        <v>0</v>
      </c>
      <c r="G23" s="164">
        <v>51212.5</v>
      </c>
      <c r="H23" s="168">
        <f t="shared" si="3"/>
        <v>102425</v>
      </c>
      <c r="I23" s="173">
        <f t="shared" si="2"/>
        <v>0</v>
      </c>
      <c r="J23" s="171" t="s">
        <v>174</v>
      </c>
      <c r="K23" s="149" t="s">
        <v>175</v>
      </c>
      <c r="L23" s="149"/>
      <c r="M23" s="159" t="s">
        <v>69</v>
      </c>
      <c r="N23" s="596">
        <f t="shared" si="0"/>
        <v>3</v>
      </c>
      <c r="O23" s="176"/>
      <c r="P23" s="179">
        <f>IF(A23&lt;&gt;"", Снабжения!H23 / VLOOKUP(A23, 'Курс валют'!$A:$D, 4, 0), "")</f>
        <v>8.5568086883876351</v>
      </c>
    </row>
    <row r="24" spans="1:16" ht="20.100000000000001" customHeight="1" x14ac:dyDescent="0.45">
      <c r="A24" s="156">
        <v>45964</v>
      </c>
      <c r="B24" s="150" t="s">
        <v>199</v>
      </c>
      <c r="C24" s="149" t="s">
        <v>59</v>
      </c>
      <c r="D24" s="159" t="s">
        <v>173</v>
      </c>
      <c r="E24" s="180">
        <v>1</v>
      </c>
      <c r="F24" s="458">
        <v>0</v>
      </c>
      <c r="G24" s="164">
        <v>9881</v>
      </c>
      <c r="H24" s="168">
        <f t="shared" si="3"/>
        <v>9881</v>
      </c>
      <c r="I24" s="173">
        <f t="shared" si="2"/>
        <v>0</v>
      </c>
      <c r="J24" s="171" t="s">
        <v>174</v>
      </c>
      <c r="K24" s="149" t="s">
        <v>175</v>
      </c>
      <c r="L24" s="149"/>
      <c r="M24" s="159" t="s">
        <v>69</v>
      </c>
      <c r="N24" s="596">
        <f t="shared" si="0"/>
        <v>1</v>
      </c>
      <c r="O24" s="176"/>
      <c r="P24" s="179">
        <f>IF(A24&lt;&gt;"", Снабжения!H24 / VLOOKUP(A24, 'Курс валют'!$A:$D, 4, 0), "")</f>
        <v>0.8254803675856307</v>
      </c>
    </row>
    <row r="25" spans="1:16" ht="20.100000000000001" customHeight="1" x14ac:dyDescent="0.45">
      <c r="A25" s="156">
        <v>45964</v>
      </c>
      <c r="B25" s="150" t="s">
        <v>200</v>
      </c>
      <c r="C25" s="149" t="s">
        <v>69</v>
      </c>
      <c r="D25" s="159" t="s">
        <v>193</v>
      </c>
      <c r="E25" s="180">
        <v>2</v>
      </c>
      <c r="F25" s="458">
        <v>0</v>
      </c>
      <c r="G25" s="164">
        <v>1108600</v>
      </c>
      <c r="H25" s="168">
        <f t="shared" si="3"/>
        <v>2217200</v>
      </c>
      <c r="I25" s="173">
        <f t="shared" si="2"/>
        <v>0</v>
      </c>
      <c r="J25" s="171" t="s">
        <v>174</v>
      </c>
      <c r="K25" s="149" t="s">
        <v>175</v>
      </c>
      <c r="L25" s="149"/>
      <c r="M25" s="159" t="s">
        <v>59</v>
      </c>
      <c r="N25" s="596">
        <f t="shared" si="0"/>
        <v>2</v>
      </c>
      <c r="O25" s="176"/>
      <c r="P25" s="179">
        <f>IF(A25&lt;&gt;"", Снабжения!H25 / VLOOKUP(A25, 'Курс валют'!$A:$D, 4, 0), "")</f>
        <v>185.22974101921471</v>
      </c>
    </row>
    <row r="26" spans="1:16" ht="20.100000000000001" customHeight="1" x14ac:dyDescent="0.45">
      <c r="A26" s="156">
        <v>45964</v>
      </c>
      <c r="B26" s="151" t="s">
        <v>201</v>
      </c>
      <c r="C26" s="149" t="s">
        <v>69</v>
      </c>
      <c r="D26" s="159" t="s">
        <v>193</v>
      </c>
      <c r="E26" s="180">
        <v>2</v>
      </c>
      <c r="F26" s="458">
        <v>0</v>
      </c>
      <c r="G26" s="164">
        <v>831450</v>
      </c>
      <c r="H26" s="168">
        <f t="shared" si="3"/>
        <v>1662900</v>
      </c>
      <c r="I26" s="173">
        <f t="shared" si="2"/>
        <v>0</v>
      </c>
      <c r="J26" s="171" t="s">
        <v>174</v>
      </c>
      <c r="K26" s="149" t="s">
        <v>175</v>
      </c>
      <c r="L26" s="149"/>
      <c r="M26" s="159" t="s">
        <v>202</v>
      </c>
      <c r="N26" s="596">
        <f t="shared" si="0"/>
        <v>2</v>
      </c>
      <c r="O26" s="176"/>
      <c r="P26" s="179">
        <f>IF(A26&lt;&gt;"", Снабжения!H26 / VLOOKUP(A26, 'Курс валют'!$A:$D, 4, 0), "")</f>
        <v>138.92230576441102</v>
      </c>
    </row>
    <row r="27" spans="1:16" ht="20.100000000000001" customHeight="1" x14ac:dyDescent="0.45">
      <c r="A27" s="156">
        <v>45964</v>
      </c>
      <c r="B27" s="150" t="s">
        <v>203</v>
      </c>
      <c r="C27" s="149" t="s">
        <v>69</v>
      </c>
      <c r="D27" s="159" t="s">
        <v>204</v>
      </c>
      <c r="E27" s="180">
        <v>10</v>
      </c>
      <c r="F27" s="458">
        <v>8</v>
      </c>
      <c r="G27" s="164">
        <v>10604</v>
      </c>
      <c r="H27" s="168">
        <f t="shared" si="3"/>
        <v>106040</v>
      </c>
      <c r="I27" s="173">
        <f t="shared" si="2"/>
        <v>84832</v>
      </c>
      <c r="J27" s="171" t="s">
        <v>174</v>
      </c>
      <c r="K27" s="149" t="s">
        <v>175</v>
      </c>
      <c r="L27" s="149"/>
      <c r="M27" s="159" t="s">
        <v>202</v>
      </c>
      <c r="N27" s="596">
        <f t="shared" si="0"/>
        <v>11</v>
      </c>
      <c r="O27" s="176">
        <v>12</v>
      </c>
      <c r="P27" s="179">
        <f>IF(A27&lt;&gt;"", Снабжения!H27 / VLOOKUP(A27, 'Курс валют'!$A:$D, 4, 0), "")</f>
        <v>8.8588137009189634</v>
      </c>
    </row>
    <row r="28" spans="1:16" ht="20.100000000000001" customHeight="1" x14ac:dyDescent="0.45">
      <c r="A28" s="156">
        <v>45964</v>
      </c>
      <c r="B28" s="150" t="s">
        <v>205</v>
      </c>
      <c r="C28" s="149" t="s">
        <v>69</v>
      </c>
      <c r="D28" s="159" t="s">
        <v>204</v>
      </c>
      <c r="E28" s="180">
        <v>10</v>
      </c>
      <c r="F28" s="458">
        <v>0</v>
      </c>
      <c r="G28" s="164">
        <v>3374</v>
      </c>
      <c r="H28" s="168">
        <f t="shared" si="3"/>
        <v>33740</v>
      </c>
      <c r="I28" s="173">
        <f t="shared" si="2"/>
        <v>0</v>
      </c>
      <c r="J28" s="171" t="s">
        <v>174</v>
      </c>
      <c r="K28" s="149" t="s">
        <v>175</v>
      </c>
      <c r="L28" s="149"/>
      <c r="M28" s="159" t="s">
        <v>69</v>
      </c>
      <c r="N28" s="596">
        <f t="shared" si="0"/>
        <v>8</v>
      </c>
      <c r="O28" s="176">
        <v>6</v>
      </c>
      <c r="P28" s="179">
        <f>IF(A28&lt;&gt;"", Снабжения!H28 / VLOOKUP(A28, 'Курс валют'!$A:$D, 4, 0), "")</f>
        <v>2.8187134502923978</v>
      </c>
    </row>
    <row r="29" spans="1:16" ht="20.100000000000001" customHeight="1" x14ac:dyDescent="0.45">
      <c r="A29" s="156">
        <v>45968</v>
      </c>
      <c r="B29" s="150" t="s">
        <v>206</v>
      </c>
      <c r="C29" s="149" t="s">
        <v>69</v>
      </c>
      <c r="D29" s="159" t="s">
        <v>173</v>
      </c>
      <c r="E29" s="180">
        <v>20</v>
      </c>
      <c r="F29" s="458">
        <v>1</v>
      </c>
      <c r="G29" s="164">
        <v>55000</v>
      </c>
      <c r="H29" s="168">
        <f>20*55000</f>
        <v>1100000</v>
      </c>
      <c r="I29" s="173">
        <f t="shared" si="2"/>
        <v>55000</v>
      </c>
      <c r="J29" s="171" t="s">
        <v>174</v>
      </c>
      <c r="K29" s="149" t="s">
        <v>175</v>
      </c>
      <c r="L29" s="149"/>
      <c r="M29" s="159" t="s">
        <v>69</v>
      </c>
      <c r="N29" s="596">
        <f t="shared" si="0"/>
        <v>19</v>
      </c>
      <c r="O29" s="176"/>
      <c r="P29" s="179">
        <f>IF(A29&lt;&gt;"", Снабжения!H29 / VLOOKUP(A29, 'Курс валют'!$A:$D, 4, 0), "")</f>
        <v>91.514143094841927</v>
      </c>
    </row>
    <row r="30" spans="1:16" ht="20.100000000000001" customHeight="1" x14ac:dyDescent="0.45">
      <c r="A30" s="156">
        <v>45968</v>
      </c>
      <c r="B30" s="150" t="s">
        <v>207</v>
      </c>
      <c r="C30" s="149" t="s">
        <v>69</v>
      </c>
      <c r="D30" s="159" t="s">
        <v>173</v>
      </c>
      <c r="E30" s="180">
        <v>5</v>
      </c>
      <c r="F30" s="458">
        <v>5</v>
      </c>
      <c r="G30" s="164">
        <v>31691</v>
      </c>
      <c r="H30" s="168">
        <f>5*31691</f>
        <v>158455</v>
      </c>
      <c r="I30" s="173">
        <f t="shared" si="2"/>
        <v>158455</v>
      </c>
      <c r="J30" s="171" t="s">
        <v>174</v>
      </c>
      <c r="K30" s="149" t="s">
        <v>175</v>
      </c>
      <c r="L30" s="149"/>
      <c r="M30" s="159" t="s">
        <v>69</v>
      </c>
      <c r="N30" s="596">
        <f t="shared" si="0"/>
        <v>9</v>
      </c>
      <c r="O30" s="176"/>
      <c r="P30" s="179">
        <f>IF(A30&lt;&gt;"", Снабжения!H30 / VLOOKUP(A30, 'Курс валют'!$A:$D, 4, 0), "")</f>
        <v>13.18261231281198</v>
      </c>
    </row>
    <row r="31" spans="1:16" ht="20.100000000000001" customHeight="1" x14ac:dyDescent="0.45">
      <c r="A31" s="156">
        <v>45968</v>
      </c>
      <c r="B31" s="150" t="s">
        <v>208</v>
      </c>
      <c r="C31" s="149" t="s">
        <v>69</v>
      </c>
      <c r="D31" s="159" t="s">
        <v>173</v>
      </c>
      <c r="E31" s="180">
        <v>10</v>
      </c>
      <c r="F31" s="458">
        <v>10</v>
      </c>
      <c r="G31" s="164">
        <v>15062</v>
      </c>
      <c r="H31" s="168">
        <f>10*15062</f>
        <v>150620</v>
      </c>
      <c r="I31" s="173">
        <f t="shared" si="2"/>
        <v>150620</v>
      </c>
      <c r="J31" s="171" t="s">
        <v>174</v>
      </c>
      <c r="K31" s="149" t="s">
        <v>175</v>
      </c>
      <c r="L31" s="149"/>
      <c r="M31" s="159" t="s">
        <v>69</v>
      </c>
      <c r="N31" s="596">
        <f t="shared" si="0"/>
        <v>10</v>
      </c>
      <c r="O31" s="176">
        <v>0</v>
      </c>
      <c r="P31" s="179">
        <f>IF(A31&lt;&gt;"", Снабжения!H31 / VLOOKUP(A31, 'Курс валют'!$A:$D, 4, 0), "")</f>
        <v>12.530782029950084</v>
      </c>
    </row>
    <row r="32" spans="1:16" ht="20.100000000000001" customHeight="1" x14ac:dyDescent="0.45">
      <c r="A32" s="156">
        <v>45968</v>
      </c>
      <c r="B32" s="151" t="s">
        <v>209</v>
      </c>
      <c r="C32" s="149" t="s">
        <v>69</v>
      </c>
      <c r="D32" s="159" t="s">
        <v>173</v>
      </c>
      <c r="E32" s="180">
        <v>20</v>
      </c>
      <c r="F32" s="458">
        <v>2</v>
      </c>
      <c r="G32" s="164">
        <v>1205</v>
      </c>
      <c r="H32" s="168">
        <f>20*1205</f>
        <v>24100</v>
      </c>
      <c r="I32" s="173">
        <f t="shared" si="2"/>
        <v>2410</v>
      </c>
      <c r="J32" s="171" t="s">
        <v>174</v>
      </c>
      <c r="K32" s="149" t="s">
        <v>175</v>
      </c>
      <c r="L32" s="149"/>
      <c r="M32" s="159" t="s">
        <v>69</v>
      </c>
      <c r="N32" s="596">
        <f t="shared" si="0"/>
        <v>128</v>
      </c>
      <c r="O32" s="176">
        <v>30</v>
      </c>
      <c r="P32" s="179">
        <f>IF(A32&lt;&gt;"", Снабжения!H32 / VLOOKUP(A32, 'Курс валют'!$A:$D, 4, 0), "")</f>
        <v>2.0049916805324459</v>
      </c>
    </row>
    <row r="33" spans="1:16" ht="20.100000000000001" customHeight="1" x14ac:dyDescent="0.45">
      <c r="A33" s="156">
        <v>45968</v>
      </c>
      <c r="B33" s="150" t="s">
        <v>210</v>
      </c>
      <c r="C33" s="149" t="s">
        <v>69</v>
      </c>
      <c r="D33" s="159" t="s">
        <v>173</v>
      </c>
      <c r="E33" s="180">
        <v>200</v>
      </c>
      <c r="F33" s="458">
        <v>2</v>
      </c>
      <c r="G33" s="164"/>
      <c r="H33" s="168"/>
      <c r="I33" s="173">
        <f t="shared" si="2"/>
        <v>0</v>
      </c>
      <c r="J33" s="171" t="s">
        <v>174</v>
      </c>
      <c r="K33" s="149" t="s">
        <v>175</v>
      </c>
      <c r="L33" s="149"/>
      <c r="M33" s="159" t="s">
        <v>211</v>
      </c>
      <c r="N33" s="596">
        <f t="shared" si="0"/>
        <v>405</v>
      </c>
      <c r="O33" s="176">
        <v>525</v>
      </c>
      <c r="P33" s="179">
        <f>IF(A33&lt;&gt;"", Снабжения!H33 / VLOOKUP(A33, 'Курс валют'!$A:$D, 4, 0), "")</f>
        <v>0</v>
      </c>
    </row>
    <row r="34" spans="1:16" ht="20.100000000000001" customHeight="1" x14ac:dyDescent="0.45">
      <c r="A34" s="156">
        <v>45968</v>
      </c>
      <c r="B34" s="150" t="s">
        <v>212</v>
      </c>
      <c r="C34" s="149" t="s">
        <v>202</v>
      </c>
      <c r="D34" s="159" t="s">
        <v>204</v>
      </c>
      <c r="E34" s="180">
        <v>200</v>
      </c>
      <c r="F34" s="458">
        <v>190</v>
      </c>
      <c r="G34" s="164">
        <v>12652.64</v>
      </c>
      <c r="H34" s="168">
        <f>200*12652.64</f>
        <v>2530528</v>
      </c>
      <c r="I34" s="173">
        <f t="shared" si="2"/>
        <v>2404001.6</v>
      </c>
      <c r="J34" s="171" t="s">
        <v>174</v>
      </c>
      <c r="K34" s="149" t="s">
        <v>175</v>
      </c>
      <c r="L34" s="149"/>
      <c r="M34" s="159" t="s">
        <v>211</v>
      </c>
      <c r="N34" s="596">
        <f t="shared" si="0"/>
        <v>74.5</v>
      </c>
      <c r="O34" s="176"/>
      <c r="P34" s="179">
        <f>IF(A34&lt;&gt;"", Снабжения!H34 / VLOOKUP(A34, 'Курс валют'!$A:$D, 4, 0), "")</f>
        <v>210.52645590682195</v>
      </c>
    </row>
    <row r="35" spans="1:16" ht="20.100000000000001" customHeight="1" x14ac:dyDescent="0.45">
      <c r="A35" s="156">
        <v>45968</v>
      </c>
      <c r="B35" s="150" t="s">
        <v>213</v>
      </c>
      <c r="C35" s="149" t="s">
        <v>202</v>
      </c>
      <c r="D35" s="159" t="s">
        <v>204</v>
      </c>
      <c r="E35" s="180">
        <v>40</v>
      </c>
      <c r="F35" s="458">
        <v>40</v>
      </c>
      <c r="G35" s="164">
        <v>10163</v>
      </c>
      <c r="H35" s="168">
        <f>40*10163</f>
        <v>406520</v>
      </c>
      <c r="I35" s="173">
        <f t="shared" si="2"/>
        <v>406520</v>
      </c>
      <c r="J35" s="171" t="s">
        <v>174</v>
      </c>
      <c r="K35" s="149" t="s">
        <v>175</v>
      </c>
      <c r="L35" s="149"/>
      <c r="M35" s="159" t="s">
        <v>69</v>
      </c>
      <c r="N35" s="596">
        <f t="shared" ref="N35:N66" si="4">SUMIF(B:B,B35,E:E)-SUMIF(B:B,B35,F:F)</f>
        <v>0</v>
      </c>
      <c r="O35" s="176"/>
      <c r="P35" s="179">
        <f>IF(A35&lt;&gt;"", Снабжения!H35 / VLOOKUP(A35, 'Курс валют'!$A:$D, 4, 0), "")</f>
        <v>33.820299500831943</v>
      </c>
    </row>
    <row r="36" spans="1:16" ht="20.100000000000001" customHeight="1" x14ac:dyDescent="0.45">
      <c r="A36" s="156">
        <v>45968</v>
      </c>
      <c r="B36" s="150" t="s">
        <v>214</v>
      </c>
      <c r="C36" s="149" t="s">
        <v>69</v>
      </c>
      <c r="D36" s="159" t="s">
        <v>204</v>
      </c>
      <c r="E36" s="180">
        <v>4</v>
      </c>
      <c r="F36" s="458">
        <v>3</v>
      </c>
      <c r="G36" s="164">
        <v>14580.5</v>
      </c>
      <c r="H36" s="168">
        <f>4*14580.5</f>
        <v>58322</v>
      </c>
      <c r="I36" s="173">
        <f t="shared" si="2"/>
        <v>43741.5</v>
      </c>
      <c r="J36" s="171" t="s">
        <v>174</v>
      </c>
      <c r="K36" s="149" t="s">
        <v>175</v>
      </c>
      <c r="L36" s="149"/>
      <c r="M36" s="159" t="s">
        <v>69</v>
      </c>
      <c r="N36" s="596">
        <f t="shared" si="4"/>
        <v>1</v>
      </c>
      <c r="O36" s="176"/>
      <c r="P36" s="179">
        <f>IF(A36&lt;&gt;"", Снабжения!H36 / VLOOKUP(A36, 'Курс валют'!$A:$D, 4, 0), "")</f>
        <v>4.852079866888519</v>
      </c>
    </row>
    <row r="37" spans="1:16" ht="20.100000000000001" customHeight="1" x14ac:dyDescent="0.45">
      <c r="A37" s="156">
        <v>45968</v>
      </c>
      <c r="B37" s="150" t="s">
        <v>215</v>
      </c>
      <c r="C37" s="149" t="s">
        <v>69</v>
      </c>
      <c r="D37" s="159" t="s">
        <v>204</v>
      </c>
      <c r="E37" s="180">
        <v>1</v>
      </c>
      <c r="F37" s="458">
        <v>0</v>
      </c>
      <c r="G37" s="165">
        <f>17232</f>
        <v>17232</v>
      </c>
      <c r="H37" s="168">
        <f>17232</f>
        <v>17232</v>
      </c>
      <c r="I37" s="173">
        <f t="shared" si="2"/>
        <v>0</v>
      </c>
      <c r="J37" s="171" t="s">
        <v>174</v>
      </c>
      <c r="K37" s="149" t="s">
        <v>175</v>
      </c>
      <c r="L37" s="149"/>
      <c r="M37" s="159" t="s">
        <v>59</v>
      </c>
      <c r="N37" s="596">
        <f t="shared" si="4"/>
        <v>1</v>
      </c>
      <c r="O37" s="176"/>
      <c r="P37" s="179">
        <f>IF(A37&lt;&gt;"", Снабжения!H37 / VLOOKUP(A37, 'Курс валют'!$A:$D, 4, 0), "")</f>
        <v>1.4336106489184692</v>
      </c>
    </row>
    <row r="38" spans="1:16" ht="20.100000000000001" customHeight="1" x14ac:dyDescent="0.45">
      <c r="A38" s="156">
        <v>45968</v>
      </c>
      <c r="B38" s="151" t="s">
        <v>203</v>
      </c>
      <c r="C38" s="149" t="s">
        <v>69</v>
      </c>
      <c r="D38" s="159" t="s">
        <v>204</v>
      </c>
      <c r="E38" s="180">
        <v>3</v>
      </c>
      <c r="F38" s="458">
        <v>3</v>
      </c>
      <c r="G38" s="164">
        <v>45488</v>
      </c>
      <c r="H38" s="168">
        <f>3*45488</f>
        <v>136464</v>
      </c>
      <c r="I38" s="173">
        <f t="shared" si="2"/>
        <v>136464</v>
      </c>
      <c r="J38" s="171" t="s">
        <v>174</v>
      </c>
      <c r="K38" s="149" t="s">
        <v>175</v>
      </c>
      <c r="L38" s="149"/>
      <c r="M38" s="159" t="s">
        <v>59</v>
      </c>
      <c r="N38" s="596">
        <f t="shared" si="4"/>
        <v>11</v>
      </c>
      <c r="O38" s="176"/>
      <c r="P38" s="179">
        <f>IF(A38&lt;&gt;"", Снабжения!H38 / VLOOKUP(A38, 'Курс валют'!$A:$D, 4, 0), "")</f>
        <v>11.353078202995007</v>
      </c>
    </row>
    <row r="39" spans="1:16" ht="20.100000000000001" customHeight="1" x14ac:dyDescent="0.45">
      <c r="A39" s="156">
        <v>45968</v>
      </c>
      <c r="B39" s="150" t="s">
        <v>216</v>
      </c>
      <c r="C39" s="149" t="s">
        <v>69</v>
      </c>
      <c r="D39" s="159" t="s">
        <v>204</v>
      </c>
      <c r="E39" s="180">
        <v>5</v>
      </c>
      <c r="F39" s="458">
        <v>5</v>
      </c>
      <c r="G39" s="164">
        <v>33000</v>
      </c>
      <c r="H39" s="168">
        <f>33000*5</f>
        <v>165000</v>
      </c>
      <c r="I39" s="173">
        <f t="shared" si="2"/>
        <v>165000</v>
      </c>
      <c r="J39" s="171" t="s">
        <v>174</v>
      </c>
      <c r="K39" s="149" t="s">
        <v>175</v>
      </c>
      <c r="L39" s="149"/>
      <c r="M39" s="159" t="s">
        <v>59</v>
      </c>
      <c r="N39" s="596">
        <f t="shared" si="4"/>
        <v>0</v>
      </c>
      <c r="O39" s="176"/>
      <c r="P39" s="179">
        <f>IF(A39&lt;&gt;"", Снабжения!H39 / VLOOKUP(A39, 'Курс валют'!$A:$D, 4, 0), "")</f>
        <v>13.72712146422629</v>
      </c>
    </row>
    <row r="40" spans="1:16" ht="20.100000000000001" customHeight="1" x14ac:dyDescent="0.45">
      <c r="A40" s="156">
        <v>45968</v>
      </c>
      <c r="B40" s="151" t="s">
        <v>205</v>
      </c>
      <c r="C40" s="149" t="s">
        <v>69</v>
      </c>
      <c r="D40" s="159" t="s">
        <v>204</v>
      </c>
      <c r="E40" s="180">
        <v>3</v>
      </c>
      <c r="F40" s="458">
        <v>3</v>
      </c>
      <c r="G40" s="164">
        <v>13616</v>
      </c>
      <c r="H40" s="168">
        <f>3*13616</f>
        <v>40848</v>
      </c>
      <c r="I40" s="173">
        <f t="shared" si="2"/>
        <v>40848</v>
      </c>
      <c r="J40" s="171" t="s">
        <v>174</v>
      </c>
      <c r="K40" s="149" t="s">
        <v>175</v>
      </c>
      <c r="L40" s="149"/>
      <c r="M40" s="159" t="s">
        <v>217</v>
      </c>
      <c r="N40" s="596">
        <f t="shared" si="4"/>
        <v>8</v>
      </c>
      <c r="O40" s="176"/>
      <c r="P40" s="179">
        <f>IF(A40&lt;&gt;"", Снабжения!H40 / VLOOKUP(A40, 'Курс валют'!$A:$D, 4, 0), "")</f>
        <v>3.3983361064891846</v>
      </c>
    </row>
    <row r="41" spans="1:16" ht="20.100000000000001" customHeight="1" x14ac:dyDescent="0.45">
      <c r="A41" s="156">
        <v>45968</v>
      </c>
      <c r="B41" s="150" t="s">
        <v>218</v>
      </c>
      <c r="C41" s="149"/>
      <c r="D41" s="159"/>
      <c r="E41" s="180"/>
      <c r="F41" s="458"/>
      <c r="G41" s="164"/>
      <c r="H41" s="168">
        <f>520000+100000</f>
        <v>620000</v>
      </c>
      <c r="I41" s="173">
        <f t="shared" si="2"/>
        <v>0</v>
      </c>
      <c r="J41" s="171" t="s">
        <v>174</v>
      </c>
      <c r="K41" s="149" t="s">
        <v>175</v>
      </c>
      <c r="L41" s="149"/>
      <c r="M41" s="159" t="s">
        <v>69</v>
      </c>
      <c r="N41" s="596">
        <f t="shared" si="4"/>
        <v>0</v>
      </c>
      <c r="O41" s="176"/>
      <c r="P41" s="179">
        <f>IF(A41&lt;&gt;"", Снабжения!H41 / VLOOKUP(A41, 'Курс валют'!$A:$D, 4, 0), "")</f>
        <v>51.580698835274539</v>
      </c>
    </row>
    <row r="42" spans="1:16" ht="20.100000000000001" customHeight="1" x14ac:dyDescent="0.45">
      <c r="A42" s="156">
        <v>45973</v>
      </c>
      <c r="B42" s="150" t="s">
        <v>219</v>
      </c>
      <c r="C42" s="149" t="s">
        <v>59</v>
      </c>
      <c r="D42" s="159" t="s">
        <v>220</v>
      </c>
      <c r="E42" s="180">
        <v>20</v>
      </c>
      <c r="F42" s="458">
        <v>10</v>
      </c>
      <c r="G42" s="164">
        <v>42421.5</v>
      </c>
      <c r="H42" s="168">
        <f>G42*E42</f>
        <v>848430</v>
      </c>
      <c r="I42" s="173">
        <f t="shared" si="2"/>
        <v>424215</v>
      </c>
      <c r="J42" s="171" t="s">
        <v>174</v>
      </c>
      <c r="K42" s="149" t="s">
        <v>175</v>
      </c>
      <c r="L42" s="149"/>
      <c r="M42" s="159" t="s">
        <v>69</v>
      </c>
      <c r="N42" s="596">
        <f t="shared" si="4"/>
        <v>41.5</v>
      </c>
      <c r="O42" s="176">
        <v>10</v>
      </c>
      <c r="P42" s="179">
        <f>IF(A42&lt;&gt;"", Снабжения!H42 / VLOOKUP(A42, 'Курс валют'!$A:$D, 4, 0), "")</f>
        <v>70.702500000000001</v>
      </c>
    </row>
    <row r="43" spans="1:16" ht="20.100000000000001" customHeight="1" x14ac:dyDescent="0.45">
      <c r="A43" s="156">
        <v>45973</v>
      </c>
      <c r="B43" s="151" t="s">
        <v>221</v>
      </c>
      <c r="C43" s="149" t="s">
        <v>69</v>
      </c>
      <c r="D43" s="159" t="s">
        <v>220</v>
      </c>
      <c r="E43" s="180">
        <v>25</v>
      </c>
      <c r="F43" s="458">
        <v>14</v>
      </c>
      <c r="G43" s="164">
        <v>11929.5</v>
      </c>
      <c r="H43" s="168">
        <f t="shared" ref="H43:H54" si="5">G43*E43</f>
        <v>298237.5</v>
      </c>
      <c r="I43" s="173">
        <f t="shared" si="2"/>
        <v>167013</v>
      </c>
      <c r="J43" s="171" t="s">
        <v>174</v>
      </c>
      <c r="K43" s="149" t="s">
        <v>175</v>
      </c>
      <c r="L43" s="149"/>
      <c r="M43" s="159" t="s">
        <v>69</v>
      </c>
      <c r="N43" s="596">
        <f t="shared" si="4"/>
        <v>87</v>
      </c>
      <c r="O43" s="176"/>
      <c r="P43" s="179">
        <f>IF(A43&lt;&gt;"", Снабжения!H43 / VLOOKUP(A43, 'Курс валют'!$A:$D, 4, 0), "")</f>
        <v>24.853124999999999</v>
      </c>
    </row>
    <row r="44" spans="1:16" ht="20.100000000000001" customHeight="1" x14ac:dyDescent="0.45">
      <c r="A44" s="156">
        <v>45973</v>
      </c>
      <c r="B44" s="151" t="s">
        <v>222</v>
      </c>
      <c r="C44" s="149" t="s">
        <v>69</v>
      </c>
      <c r="D44" s="159" t="s">
        <v>220</v>
      </c>
      <c r="E44" s="180">
        <v>25</v>
      </c>
      <c r="F44" s="458">
        <v>10</v>
      </c>
      <c r="G44" s="164">
        <v>9037.5</v>
      </c>
      <c r="H44" s="168">
        <f t="shared" si="5"/>
        <v>225937.5</v>
      </c>
      <c r="I44" s="173">
        <f t="shared" si="2"/>
        <v>90375</v>
      </c>
      <c r="J44" s="171" t="s">
        <v>174</v>
      </c>
      <c r="K44" s="149" t="s">
        <v>175</v>
      </c>
      <c r="L44" s="149"/>
      <c r="M44" s="159" t="s">
        <v>69</v>
      </c>
      <c r="N44" s="596">
        <f t="shared" si="4"/>
        <v>42</v>
      </c>
      <c r="O44" s="176">
        <v>0</v>
      </c>
      <c r="P44" s="179">
        <f>IF(A44&lt;&gt;"", Снабжения!H44 / VLOOKUP(A44, 'Курс валют'!$A:$D, 4, 0), "")</f>
        <v>18.828125</v>
      </c>
    </row>
    <row r="45" spans="1:16" ht="20.100000000000001" customHeight="1" x14ac:dyDescent="0.45">
      <c r="A45" s="156">
        <v>45973</v>
      </c>
      <c r="B45" s="151" t="s">
        <v>223</v>
      </c>
      <c r="C45" s="149" t="s">
        <v>69</v>
      </c>
      <c r="D45" s="159" t="s">
        <v>220</v>
      </c>
      <c r="E45" s="180">
        <v>10</v>
      </c>
      <c r="F45" s="458">
        <v>0</v>
      </c>
      <c r="G45" s="164">
        <v>66275</v>
      </c>
      <c r="H45" s="168">
        <f t="shared" si="5"/>
        <v>662750</v>
      </c>
      <c r="I45" s="173">
        <f t="shared" si="2"/>
        <v>0</v>
      </c>
      <c r="J45" s="171" t="s">
        <v>174</v>
      </c>
      <c r="K45" s="149" t="s">
        <v>175</v>
      </c>
      <c r="L45" s="149"/>
      <c r="M45" s="159" t="s">
        <v>69</v>
      </c>
      <c r="N45" s="596">
        <f t="shared" si="4"/>
        <v>8</v>
      </c>
      <c r="O45" s="176"/>
      <c r="P45" s="179">
        <f>IF(A45&lt;&gt;"", Снабжения!H45 / VLOOKUP(A45, 'Курс валют'!$A:$D, 4, 0), "")</f>
        <v>55.229166666666664</v>
      </c>
    </row>
    <row r="46" spans="1:16" ht="20.100000000000001" customHeight="1" x14ac:dyDescent="0.45">
      <c r="A46" s="156">
        <v>45973</v>
      </c>
      <c r="B46" s="151" t="s">
        <v>224</v>
      </c>
      <c r="C46" s="149" t="s">
        <v>69</v>
      </c>
      <c r="D46" s="159" t="s">
        <v>220</v>
      </c>
      <c r="E46" s="180">
        <v>10</v>
      </c>
      <c r="F46" s="458">
        <v>0</v>
      </c>
      <c r="G46" s="164">
        <v>9037.5</v>
      </c>
      <c r="H46" s="168">
        <f t="shared" si="5"/>
        <v>90375</v>
      </c>
      <c r="I46" s="173">
        <f t="shared" si="2"/>
        <v>0</v>
      </c>
      <c r="J46" s="171" t="s">
        <v>174</v>
      </c>
      <c r="K46" s="149" t="s">
        <v>175</v>
      </c>
      <c r="L46" s="149"/>
      <c r="M46" s="159" t="s">
        <v>69</v>
      </c>
      <c r="N46" s="596">
        <f t="shared" si="4"/>
        <v>8</v>
      </c>
      <c r="O46" s="176"/>
      <c r="P46" s="179">
        <f>IF(A46&lt;&gt;"", Снабжения!H46 / VLOOKUP(A46, 'Курс валют'!$A:$D, 4, 0), "")</f>
        <v>7.53125</v>
      </c>
    </row>
    <row r="47" spans="1:16" ht="20.100000000000001" customHeight="1" x14ac:dyDescent="0.45">
      <c r="A47" s="156">
        <v>45973</v>
      </c>
      <c r="B47" s="151" t="s">
        <v>225</v>
      </c>
      <c r="C47" s="149" t="s">
        <v>69</v>
      </c>
      <c r="D47" s="159" t="s">
        <v>220</v>
      </c>
      <c r="E47" s="180">
        <v>20</v>
      </c>
      <c r="F47" s="458">
        <v>20</v>
      </c>
      <c r="G47" s="164">
        <v>10122</v>
      </c>
      <c r="H47" s="168">
        <f t="shared" si="5"/>
        <v>202440</v>
      </c>
      <c r="I47" s="173">
        <f t="shared" si="2"/>
        <v>202440</v>
      </c>
      <c r="J47" s="171" t="s">
        <v>174</v>
      </c>
      <c r="K47" s="149" t="s">
        <v>175</v>
      </c>
      <c r="L47" s="149"/>
      <c r="M47" s="159" t="s">
        <v>69</v>
      </c>
      <c r="N47" s="596">
        <f t="shared" si="4"/>
        <v>20</v>
      </c>
      <c r="O47" s="176"/>
      <c r="P47" s="179">
        <f>IF(A47&lt;&gt;"", Снабжения!H47 / VLOOKUP(A47, 'Курс валют'!$A:$D, 4, 0), "")</f>
        <v>16.87</v>
      </c>
    </row>
    <row r="48" spans="1:16" ht="20.100000000000001" customHeight="1" x14ac:dyDescent="0.45">
      <c r="A48" s="156">
        <v>45973</v>
      </c>
      <c r="B48" s="151" t="s">
        <v>226</v>
      </c>
      <c r="C48" s="149" t="s">
        <v>69</v>
      </c>
      <c r="D48" s="159" t="s">
        <v>220</v>
      </c>
      <c r="E48" s="180">
        <v>50</v>
      </c>
      <c r="F48" s="458">
        <v>0</v>
      </c>
      <c r="G48" s="164">
        <v>4338</v>
      </c>
      <c r="H48" s="168">
        <f t="shared" si="5"/>
        <v>216900</v>
      </c>
      <c r="I48" s="173">
        <f t="shared" si="2"/>
        <v>0</v>
      </c>
      <c r="J48" s="171" t="s">
        <v>174</v>
      </c>
      <c r="K48" s="149" t="s">
        <v>175</v>
      </c>
      <c r="L48" s="149"/>
      <c r="M48" s="159" t="s">
        <v>69</v>
      </c>
      <c r="N48" s="596">
        <f t="shared" si="4"/>
        <v>43</v>
      </c>
      <c r="O48" s="176">
        <v>20</v>
      </c>
      <c r="P48" s="179">
        <f>IF(A48&lt;&gt;"", Снабжения!H48 / VLOOKUP(A48, 'Курс валют'!$A:$D, 4, 0), "")</f>
        <v>18.074999999999999</v>
      </c>
    </row>
    <row r="49" spans="1:16" ht="20.100000000000001" customHeight="1" x14ac:dyDescent="0.45">
      <c r="A49" s="156">
        <v>45973</v>
      </c>
      <c r="B49" s="151" t="s">
        <v>189</v>
      </c>
      <c r="C49" s="149" t="s">
        <v>69</v>
      </c>
      <c r="D49" s="159" t="s">
        <v>220</v>
      </c>
      <c r="E49" s="180">
        <v>100</v>
      </c>
      <c r="F49" s="458">
        <v>70</v>
      </c>
      <c r="G49" s="164">
        <v>4699.5</v>
      </c>
      <c r="H49" s="168">
        <f t="shared" si="5"/>
        <v>469950</v>
      </c>
      <c r="I49" s="173">
        <f t="shared" si="2"/>
        <v>328965</v>
      </c>
      <c r="J49" s="171" t="s">
        <v>174</v>
      </c>
      <c r="K49" s="149" t="s">
        <v>175</v>
      </c>
      <c r="L49" s="149"/>
      <c r="M49" s="159" t="s">
        <v>69</v>
      </c>
      <c r="N49" s="596">
        <f t="shared" si="4"/>
        <v>309</v>
      </c>
      <c r="O49" s="176"/>
      <c r="P49" s="179">
        <f>IF(A49&lt;&gt;"", Снабжения!H49 / VLOOKUP(A49, 'Курс валют'!$A:$D, 4, 0), "")</f>
        <v>39.162500000000001</v>
      </c>
    </row>
    <row r="50" spans="1:16" ht="20.100000000000001" customHeight="1" x14ac:dyDescent="0.45">
      <c r="A50" s="156">
        <v>45973</v>
      </c>
      <c r="B50" s="151" t="s">
        <v>227</v>
      </c>
      <c r="C50" s="149" t="s">
        <v>69</v>
      </c>
      <c r="D50" s="159" t="s">
        <v>177</v>
      </c>
      <c r="E50" s="180">
        <v>1</v>
      </c>
      <c r="F50" s="458">
        <v>1</v>
      </c>
      <c r="G50" s="165">
        <v>249796.5</v>
      </c>
      <c r="H50" s="168">
        <f t="shared" si="5"/>
        <v>249796.5</v>
      </c>
      <c r="I50" s="173">
        <f t="shared" si="2"/>
        <v>249796.5</v>
      </c>
      <c r="J50" s="171" t="s">
        <v>174</v>
      </c>
      <c r="K50" s="149" t="s">
        <v>175</v>
      </c>
      <c r="L50" s="149"/>
      <c r="M50" s="159" t="s">
        <v>69</v>
      </c>
      <c r="N50" s="596">
        <f t="shared" si="4"/>
        <v>1</v>
      </c>
      <c r="O50" s="176"/>
      <c r="P50" s="179">
        <f>IF(A50&lt;&gt;"", Снабжения!H50 / VLOOKUP(A50, 'Курс валют'!$A:$D, 4, 0), "")</f>
        <v>20.816375000000001</v>
      </c>
    </row>
    <row r="51" spans="1:16" ht="20.100000000000001" customHeight="1" x14ac:dyDescent="0.45">
      <c r="A51" s="156">
        <v>45973</v>
      </c>
      <c r="B51" s="151" t="s">
        <v>228</v>
      </c>
      <c r="C51" s="149" t="s">
        <v>59</v>
      </c>
      <c r="D51" s="159" t="s">
        <v>187</v>
      </c>
      <c r="E51" s="180">
        <v>1000</v>
      </c>
      <c r="F51" s="458"/>
      <c r="G51" s="164">
        <v>10242.5</v>
      </c>
      <c r="H51" s="168">
        <f t="shared" si="5"/>
        <v>10242500</v>
      </c>
      <c r="I51" s="173">
        <f t="shared" si="2"/>
        <v>0</v>
      </c>
      <c r="J51" s="171" t="s">
        <v>174</v>
      </c>
      <c r="K51" s="149" t="s">
        <v>175</v>
      </c>
      <c r="L51" s="149"/>
      <c r="M51" s="159" t="s">
        <v>69</v>
      </c>
      <c r="N51" s="596">
        <f t="shared" si="4"/>
        <v>125</v>
      </c>
      <c r="O51" s="176">
        <v>825</v>
      </c>
      <c r="P51" s="179">
        <f>IF(A51&lt;&gt;"", Снабжения!H51 / VLOOKUP(A51, 'Курс валют'!$A:$D, 4, 0), "")</f>
        <v>853.54166666666663</v>
      </c>
    </row>
    <row r="52" spans="1:16" ht="20.100000000000001" customHeight="1" x14ac:dyDescent="0.45">
      <c r="A52" s="156">
        <v>45973</v>
      </c>
      <c r="B52" s="151" t="s">
        <v>229</v>
      </c>
      <c r="C52" s="149" t="s">
        <v>59</v>
      </c>
      <c r="D52" s="159" t="s">
        <v>187</v>
      </c>
      <c r="E52" s="180">
        <v>100</v>
      </c>
      <c r="F52" s="458"/>
      <c r="G52" s="164">
        <v>9760.5</v>
      </c>
      <c r="H52" s="168">
        <f t="shared" si="5"/>
        <v>976050</v>
      </c>
      <c r="I52" s="173">
        <f t="shared" si="2"/>
        <v>0</v>
      </c>
      <c r="J52" s="171" t="s">
        <v>174</v>
      </c>
      <c r="K52" s="149" t="s">
        <v>175</v>
      </c>
      <c r="L52" s="149"/>
      <c r="M52" s="159" t="s">
        <v>69</v>
      </c>
      <c r="N52" s="596">
        <f t="shared" si="4"/>
        <v>100</v>
      </c>
      <c r="O52" s="176"/>
      <c r="P52" s="179">
        <f>IF(A52&lt;&gt;"", Снабжения!H52 / VLOOKUP(A52, 'Курс валют'!$A:$D, 4, 0), "")</f>
        <v>81.337500000000006</v>
      </c>
    </row>
    <row r="53" spans="1:16" ht="20.100000000000001" customHeight="1" x14ac:dyDescent="0.45">
      <c r="A53" s="156">
        <v>45973</v>
      </c>
      <c r="B53" s="151" t="s">
        <v>230</v>
      </c>
      <c r="C53" s="149" t="s">
        <v>85</v>
      </c>
      <c r="D53" s="159" t="s">
        <v>220</v>
      </c>
      <c r="E53" s="180">
        <v>100</v>
      </c>
      <c r="F53" s="458"/>
      <c r="G53" s="164">
        <v>2688</v>
      </c>
      <c r="H53" s="168">
        <f t="shared" si="5"/>
        <v>268800</v>
      </c>
      <c r="I53" s="173">
        <f t="shared" si="2"/>
        <v>0</v>
      </c>
      <c r="J53" s="171" t="s">
        <v>174</v>
      </c>
      <c r="K53" s="149" t="s">
        <v>175</v>
      </c>
      <c r="L53" s="149"/>
      <c r="M53" s="159" t="s">
        <v>59</v>
      </c>
      <c r="N53" s="596">
        <f t="shared" si="4"/>
        <v>400</v>
      </c>
      <c r="O53" s="176"/>
      <c r="P53" s="179">
        <f>IF(A53&lt;&gt;"", Снабжения!H53 / VLOOKUP(A53, 'Курс валют'!$A:$D, 4, 0), "")</f>
        <v>22.4</v>
      </c>
    </row>
    <row r="54" spans="1:16" ht="20.100000000000001" customHeight="1" x14ac:dyDescent="0.45">
      <c r="A54" s="156">
        <v>45973</v>
      </c>
      <c r="B54" s="151" t="s">
        <v>191</v>
      </c>
      <c r="C54" s="149" t="s">
        <v>69</v>
      </c>
      <c r="D54" s="159"/>
      <c r="E54" s="180">
        <v>1</v>
      </c>
      <c r="F54" s="458">
        <v>1</v>
      </c>
      <c r="G54" s="165">
        <v>11809</v>
      </c>
      <c r="H54" s="168">
        <f t="shared" si="5"/>
        <v>11809</v>
      </c>
      <c r="I54" s="173">
        <f t="shared" si="2"/>
        <v>11809</v>
      </c>
      <c r="J54" s="171" t="s">
        <v>174</v>
      </c>
      <c r="K54" s="149" t="s">
        <v>175</v>
      </c>
      <c r="L54" s="149"/>
      <c r="M54" s="159" t="s">
        <v>59</v>
      </c>
      <c r="N54" s="596">
        <f t="shared" si="4"/>
        <v>2</v>
      </c>
      <c r="O54" s="176"/>
      <c r="P54" s="179">
        <f>IF(A54&lt;&gt;"", Снабжения!H54 / VLOOKUP(A54, 'Курс валют'!$A:$D, 4, 0), "")</f>
        <v>0.98408333333333331</v>
      </c>
    </row>
    <row r="55" spans="1:16" ht="20.100000000000001" customHeight="1" x14ac:dyDescent="0.45">
      <c r="A55" s="156">
        <v>45973</v>
      </c>
      <c r="B55" s="151" t="s">
        <v>91</v>
      </c>
      <c r="C55" s="149"/>
      <c r="D55" s="159"/>
      <c r="E55" s="180"/>
      <c r="F55" s="458"/>
      <c r="G55" s="164"/>
      <c r="H55" s="168">
        <v>200000</v>
      </c>
      <c r="I55" s="173">
        <f t="shared" si="2"/>
        <v>0</v>
      </c>
      <c r="J55" s="171" t="s">
        <v>174</v>
      </c>
      <c r="K55" s="149" t="s">
        <v>175</v>
      </c>
      <c r="L55" s="149"/>
      <c r="M55" s="159" t="s">
        <v>231</v>
      </c>
      <c r="N55" s="596">
        <f t="shared" si="4"/>
        <v>8</v>
      </c>
      <c r="O55" s="176"/>
      <c r="P55" s="179">
        <f>IF(A55&lt;&gt;"", Снабжения!H55 / VLOOKUP(A55, 'Курс валют'!$A:$D, 4, 0), "")</f>
        <v>16.666666666666668</v>
      </c>
    </row>
    <row r="56" spans="1:16" ht="20.100000000000001" customHeight="1" x14ac:dyDescent="0.45">
      <c r="A56" s="156">
        <v>45973</v>
      </c>
      <c r="B56" s="151" t="s">
        <v>232</v>
      </c>
      <c r="C56" s="149" t="s">
        <v>59</v>
      </c>
      <c r="D56" s="159" t="s">
        <v>187</v>
      </c>
      <c r="E56" s="180">
        <v>2000</v>
      </c>
      <c r="F56" s="458"/>
      <c r="G56" s="164" t="s">
        <v>233</v>
      </c>
      <c r="H56" s="169" t="s">
        <v>233</v>
      </c>
      <c r="I56" s="173" t="s">
        <v>233</v>
      </c>
      <c r="J56" s="171" t="s">
        <v>174</v>
      </c>
      <c r="K56" s="149" t="s">
        <v>175</v>
      </c>
      <c r="L56" s="149"/>
      <c r="M56" s="159" t="s">
        <v>69</v>
      </c>
      <c r="N56" s="596">
        <f t="shared" si="4"/>
        <v>2000</v>
      </c>
      <c r="O56" s="176"/>
      <c r="P56" s="179" t="e">
        <f>IF(A56&lt;&gt;"", Снабжения!H56 / VLOOKUP(A56, 'Курс валют'!$A:$D, 4, 0), "")</f>
        <v>#VALUE!</v>
      </c>
    </row>
    <row r="57" spans="1:16" ht="20.100000000000001" customHeight="1" x14ac:dyDescent="0.45">
      <c r="A57" s="156">
        <v>45973</v>
      </c>
      <c r="B57" s="150" t="s">
        <v>234</v>
      </c>
      <c r="C57" s="149" t="s">
        <v>217</v>
      </c>
      <c r="D57" s="159" t="s">
        <v>235</v>
      </c>
      <c r="E57" s="180">
        <v>200</v>
      </c>
      <c r="F57" s="458">
        <v>200</v>
      </c>
      <c r="G57" s="164" t="s">
        <v>233</v>
      </c>
      <c r="H57" s="169" t="s">
        <v>233</v>
      </c>
      <c r="I57" s="173" t="s">
        <v>233</v>
      </c>
      <c r="J57" s="171" t="s">
        <v>174</v>
      </c>
      <c r="K57" s="149" t="s">
        <v>175</v>
      </c>
      <c r="L57" s="149"/>
      <c r="M57" s="159" t="s">
        <v>85</v>
      </c>
      <c r="N57" s="596">
        <f t="shared" si="4"/>
        <v>0</v>
      </c>
      <c r="O57" s="176"/>
      <c r="P57" s="179" t="e">
        <f>IF(A57&lt;&gt;"", Снабжения!H57 / VLOOKUP(A57, 'Курс валют'!$A:$D, 4, 0), "")</f>
        <v>#VALUE!</v>
      </c>
    </row>
    <row r="58" spans="1:16" ht="20.100000000000001" customHeight="1" x14ac:dyDescent="0.45">
      <c r="A58" s="156">
        <v>46058</v>
      </c>
      <c r="B58" s="151" t="s">
        <v>236</v>
      </c>
      <c r="C58" s="149" t="s">
        <v>69</v>
      </c>
      <c r="D58" s="159" t="s">
        <v>220</v>
      </c>
      <c r="E58" s="180">
        <v>1</v>
      </c>
      <c r="F58" s="458"/>
      <c r="G58" s="164">
        <v>5370000</v>
      </c>
      <c r="H58" s="169">
        <f>G58*E58</f>
        <v>5370000</v>
      </c>
      <c r="I58" s="173"/>
      <c r="J58" s="171"/>
      <c r="K58" s="149"/>
      <c r="L58" s="149"/>
      <c r="M58" s="159"/>
      <c r="N58" s="596">
        <f t="shared" si="4"/>
        <v>1</v>
      </c>
      <c r="O58" s="176"/>
      <c r="P58" s="179">
        <f>IF(A58&lt;&gt;"", Снабжения!H58 / VLOOKUP(A58, 'Курс валют'!$A:$D, 4, 0), "")</f>
        <v>440.1639344262295</v>
      </c>
    </row>
    <row r="59" spans="1:16" ht="20.100000000000001" customHeight="1" x14ac:dyDescent="0.45">
      <c r="A59" s="156">
        <v>46060</v>
      </c>
      <c r="B59" s="150" t="s">
        <v>237</v>
      </c>
      <c r="C59" s="149" t="s">
        <v>217</v>
      </c>
      <c r="D59" s="159" t="s">
        <v>235</v>
      </c>
      <c r="E59" s="180">
        <v>35</v>
      </c>
      <c r="F59" s="458">
        <v>35</v>
      </c>
      <c r="G59" s="164" t="s">
        <v>233</v>
      </c>
      <c r="H59" s="169" t="s">
        <v>233</v>
      </c>
      <c r="I59" s="173" t="s">
        <v>233</v>
      </c>
      <c r="J59" s="171" t="s">
        <v>174</v>
      </c>
      <c r="K59" s="149" t="s">
        <v>175</v>
      </c>
      <c r="L59" s="149"/>
      <c r="M59" s="159" t="s">
        <v>202</v>
      </c>
      <c r="N59" s="596">
        <f t="shared" si="4"/>
        <v>0</v>
      </c>
      <c r="O59" s="176"/>
      <c r="P59" s="179" t="e">
        <f>IF(A59&lt;&gt;"", Снабжения!H59 / VLOOKUP(A59, 'Курс валют'!$A:$D, 4, 0), "")</f>
        <v>#VALUE!</v>
      </c>
    </row>
    <row r="60" spans="1:16" ht="20.100000000000001" customHeight="1" x14ac:dyDescent="0.45">
      <c r="A60" s="156">
        <v>46060</v>
      </c>
      <c r="B60" s="150" t="s">
        <v>238</v>
      </c>
      <c r="C60" s="149" t="s">
        <v>69</v>
      </c>
      <c r="D60" s="159" t="s">
        <v>235</v>
      </c>
      <c r="E60" s="180">
        <v>20</v>
      </c>
      <c r="F60" s="458">
        <v>20</v>
      </c>
      <c r="G60" s="164" t="s">
        <v>233</v>
      </c>
      <c r="H60" s="169" t="s">
        <v>233</v>
      </c>
      <c r="I60" s="173" t="s">
        <v>233</v>
      </c>
      <c r="J60" s="171" t="s">
        <v>174</v>
      </c>
      <c r="K60" s="149" t="s">
        <v>175</v>
      </c>
      <c r="L60" s="149"/>
      <c r="M60" s="159" t="s">
        <v>69</v>
      </c>
      <c r="N60" s="596">
        <f t="shared" si="4"/>
        <v>0</v>
      </c>
      <c r="O60" s="176"/>
      <c r="P60" s="179" t="e">
        <f>IF(A60&lt;&gt;"", Снабжения!H60 / VLOOKUP(A60, 'Курс валют'!$A:$D, 4, 0), "")</f>
        <v>#VALUE!</v>
      </c>
    </row>
    <row r="61" spans="1:16" ht="20.100000000000001" customHeight="1" x14ac:dyDescent="0.45">
      <c r="A61" s="156">
        <v>46060</v>
      </c>
      <c r="B61" s="150" t="s">
        <v>239</v>
      </c>
      <c r="C61" s="149" t="s">
        <v>97</v>
      </c>
      <c r="D61" s="159" t="s">
        <v>235</v>
      </c>
      <c r="E61" s="180">
        <v>60</v>
      </c>
      <c r="F61" s="458">
        <v>60</v>
      </c>
      <c r="G61" s="164" t="s">
        <v>233</v>
      </c>
      <c r="H61" s="169" t="s">
        <v>233</v>
      </c>
      <c r="I61" s="173" t="s">
        <v>233</v>
      </c>
      <c r="J61" s="171" t="s">
        <v>174</v>
      </c>
      <c r="K61" s="149" t="s">
        <v>175</v>
      </c>
      <c r="L61" s="149"/>
      <c r="M61" s="159" t="s">
        <v>69</v>
      </c>
      <c r="N61" s="596">
        <f t="shared" si="4"/>
        <v>0</v>
      </c>
      <c r="O61" s="176"/>
      <c r="P61" s="179" t="e">
        <f>IF(A61&lt;&gt;"", Снабжения!H61 / VLOOKUP(A61, 'Курс валют'!$A:$D, 4, 0), "")</f>
        <v>#VALUE!</v>
      </c>
    </row>
    <row r="62" spans="1:16" ht="20.100000000000001" customHeight="1" x14ac:dyDescent="0.45">
      <c r="A62" s="156">
        <v>46060</v>
      </c>
      <c r="B62" s="150" t="s">
        <v>240</v>
      </c>
      <c r="C62" s="149" t="s">
        <v>69</v>
      </c>
      <c r="D62" s="159" t="s">
        <v>220</v>
      </c>
      <c r="E62" s="180">
        <v>4</v>
      </c>
      <c r="F62" s="458">
        <v>4</v>
      </c>
      <c r="G62" s="164" t="s">
        <v>233</v>
      </c>
      <c r="H62" s="169" t="s">
        <v>233</v>
      </c>
      <c r="I62" s="173" t="s">
        <v>233</v>
      </c>
      <c r="J62" s="171" t="s">
        <v>174</v>
      </c>
      <c r="K62" s="149" t="s">
        <v>175</v>
      </c>
      <c r="L62" s="149"/>
      <c r="M62" s="159" t="s">
        <v>217</v>
      </c>
      <c r="N62" s="596">
        <f t="shared" si="4"/>
        <v>9</v>
      </c>
      <c r="O62" s="176"/>
      <c r="P62" s="179" t="e">
        <f>IF(A62&lt;&gt;"", Снабжения!H62 / VLOOKUP(A62, 'Курс валют'!$A:$D, 4, 0), "")</f>
        <v>#VALUE!</v>
      </c>
    </row>
    <row r="63" spans="1:16" ht="20.100000000000001" customHeight="1" x14ac:dyDescent="0.45">
      <c r="A63" s="156">
        <v>46060</v>
      </c>
      <c r="B63" s="151" t="s">
        <v>241</v>
      </c>
      <c r="C63" s="149" t="s">
        <v>69</v>
      </c>
      <c r="D63" s="159" t="s">
        <v>204</v>
      </c>
      <c r="E63" s="180">
        <v>10</v>
      </c>
      <c r="F63" s="458"/>
      <c r="G63" s="164">
        <v>3198</v>
      </c>
      <c r="H63" s="169">
        <f>G63*E63</f>
        <v>31980</v>
      </c>
      <c r="I63" s="173">
        <f>G63*F63</f>
        <v>0</v>
      </c>
      <c r="J63" s="171" t="s">
        <v>174</v>
      </c>
      <c r="K63" s="149" t="s">
        <v>175</v>
      </c>
      <c r="L63" s="149"/>
      <c r="M63" s="159" t="s">
        <v>69</v>
      </c>
      <c r="N63" s="596">
        <f t="shared" si="4"/>
        <v>1</v>
      </c>
      <c r="O63" s="176">
        <v>2</v>
      </c>
      <c r="P63" s="179">
        <f>IF(A63&lt;&gt;"", Снабжения!H63 / VLOOKUP(A63, 'Курс валют'!$A:$D, 4, 0), "")</f>
        <v>2.6213114754098359</v>
      </c>
    </row>
    <row r="64" spans="1:16" ht="20.100000000000001" customHeight="1" x14ac:dyDescent="0.45">
      <c r="A64" s="156">
        <v>46061</v>
      </c>
      <c r="B64" s="151" t="s">
        <v>203</v>
      </c>
      <c r="C64" s="149" t="s">
        <v>69</v>
      </c>
      <c r="D64" s="159" t="s">
        <v>204</v>
      </c>
      <c r="E64" s="180">
        <v>10</v>
      </c>
      <c r="F64" s="458"/>
      <c r="G64" s="164">
        <v>10332</v>
      </c>
      <c r="H64" s="169">
        <f t="shared" ref="H64:H79" si="6">G64*E64</f>
        <v>103320</v>
      </c>
      <c r="I64" s="173">
        <f t="shared" si="2"/>
        <v>0</v>
      </c>
      <c r="J64" s="171" t="s">
        <v>174</v>
      </c>
      <c r="K64" s="149" t="s">
        <v>175</v>
      </c>
      <c r="L64" s="149"/>
      <c r="M64" s="159" t="s">
        <v>69</v>
      </c>
      <c r="N64" s="596">
        <f t="shared" si="4"/>
        <v>11</v>
      </c>
      <c r="O64" s="176"/>
      <c r="P64" s="179">
        <f>IF(A64&lt;&gt;"", Снабжения!H64 / VLOOKUP(A64, 'Курс валют'!$A:$D, 4, 0), "")</f>
        <v>8.4688524590163929</v>
      </c>
    </row>
    <row r="65" spans="1:16" ht="20.100000000000001" customHeight="1" x14ac:dyDescent="0.45">
      <c r="A65" s="156">
        <v>46061</v>
      </c>
      <c r="B65" s="151" t="s">
        <v>188</v>
      </c>
      <c r="C65" s="149" t="s">
        <v>59</v>
      </c>
      <c r="D65" s="159" t="s">
        <v>187</v>
      </c>
      <c r="E65" s="180">
        <f>5*20</f>
        <v>100</v>
      </c>
      <c r="F65" s="458"/>
      <c r="G65" s="164">
        <v>10209</v>
      </c>
      <c r="H65" s="169">
        <f t="shared" si="6"/>
        <v>1020900</v>
      </c>
      <c r="I65" s="173">
        <f t="shared" si="2"/>
        <v>0</v>
      </c>
      <c r="J65" s="171" t="s">
        <v>174</v>
      </c>
      <c r="K65" s="149" t="s">
        <v>175</v>
      </c>
      <c r="L65" s="149"/>
      <c r="M65" s="159" t="s">
        <v>69</v>
      </c>
      <c r="N65" s="596">
        <f t="shared" si="4"/>
        <v>20</v>
      </c>
      <c r="O65" s="176"/>
      <c r="P65" s="179">
        <f>IF(A65&lt;&gt;"", Снабжения!H65 / VLOOKUP(A65, 'Курс валют'!$A:$D, 4, 0), "")</f>
        <v>83.680327868852459</v>
      </c>
    </row>
    <row r="66" spans="1:16" ht="20.100000000000001" customHeight="1" x14ac:dyDescent="0.45">
      <c r="A66" s="156">
        <v>46061</v>
      </c>
      <c r="B66" s="151" t="s">
        <v>186</v>
      </c>
      <c r="C66" s="149" t="s">
        <v>59</v>
      </c>
      <c r="D66" s="159" t="s">
        <v>187</v>
      </c>
      <c r="E66" s="180">
        <f>10*20</f>
        <v>200</v>
      </c>
      <c r="F66" s="458"/>
      <c r="G66" s="164">
        <v>10209</v>
      </c>
      <c r="H66" s="169">
        <f t="shared" si="6"/>
        <v>2041800</v>
      </c>
      <c r="I66" s="173">
        <f t="shared" si="2"/>
        <v>0</v>
      </c>
      <c r="J66" s="171" t="s">
        <v>174</v>
      </c>
      <c r="K66" s="149" t="s">
        <v>175</v>
      </c>
      <c r="L66" s="149"/>
      <c r="M66" s="159" t="s">
        <v>59</v>
      </c>
      <c r="N66" s="596">
        <f t="shared" si="4"/>
        <v>40</v>
      </c>
      <c r="O66" s="176"/>
      <c r="P66" s="179">
        <f>IF(A66&lt;&gt;"", Снабжения!H66 / VLOOKUP(A66, 'Курс валют'!$A:$D, 4, 0), "")</f>
        <v>167.36065573770492</v>
      </c>
    </row>
    <row r="67" spans="1:16" ht="20.100000000000001" customHeight="1" x14ac:dyDescent="0.45">
      <c r="A67" s="156">
        <v>46061</v>
      </c>
      <c r="B67" s="151" t="s">
        <v>190</v>
      </c>
      <c r="C67" s="149" t="s">
        <v>59</v>
      </c>
      <c r="D67" s="159" t="s">
        <v>187</v>
      </c>
      <c r="E67" s="180">
        <f>3*20</f>
        <v>60</v>
      </c>
      <c r="F67" s="458"/>
      <c r="G67" s="164">
        <v>29274</v>
      </c>
      <c r="H67" s="169">
        <f t="shared" si="6"/>
        <v>1756440</v>
      </c>
      <c r="I67" s="173">
        <f t="shared" si="2"/>
        <v>0</v>
      </c>
      <c r="J67" s="171" t="s">
        <v>174</v>
      </c>
      <c r="K67" s="149" t="s">
        <v>175</v>
      </c>
      <c r="L67" s="149"/>
      <c r="M67" s="159" t="s">
        <v>69</v>
      </c>
      <c r="N67" s="596">
        <f t="shared" ref="N67:N84" si="7">SUMIF(B:B,B67,E:E)-SUMIF(B:B,B67,F:F)</f>
        <v>80</v>
      </c>
      <c r="O67" s="176"/>
      <c r="P67" s="179">
        <f>IF(A67&lt;&gt;"", Снабжения!H67 / VLOOKUP(A67, 'Курс валют'!$A:$D, 4, 0), "")</f>
        <v>143.97049180327869</v>
      </c>
    </row>
    <row r="68" spans="1:16" ht="20.100000000000001" customHeight="1" x14ac:dyDescent="0.45">
      <c r="A68" s="156">
        <v>46061</v>
      </c>
      <c r="B68" s="151" t="s">
        <v>221</v>
      </c>
      <c r="C68" s="149" t="s">
        <v>69</v>
      </c>
      <c r="D68" s="159"/>
      <c r="E68" s="180">
        <f>2*25</f>
        <v>50</v>
      </c>
      <c r="F68" s="458"/>
      <c r="G68" s="164">
        <v>12177</v>
      </c>
      <c r="H68" s="169">
        <f t="shared" si="6"/>
        <v>608850</v>
      </c>
      <c r="I68" s="173">
        <f t="shared" si="2"/>
        <v>0</v>
      </c>
      <c r="J68" s="171" t="s">
        <v>174</v>
      </c>
      <c r="K68" s="149" t="s">
        <v>175</v>
      </c>
      <c r="L68" s="149"/>
      <c r="M68" s="159" t="s">
        <v>69</v>
      </c>
      <c r="N68" s="596">
        <f t="shared" si="7"/>
        <v>87</v>
      </c>
      <c r="O68" s="176"/>
      <c r="P68" s="179">
        <f>IF(A68&lt;&gt;"", Снабжения!H68 / VLOOKUP(A68, 'Курс валют'!$A:$D, 4, 0), "")</f>
        <v>49.905737704918032</v>
      </c>
    </row>
    <row r="69" spans="1:16" ht="20.100000000000001" customHeight="1" x14ac:dyDescent="0.45">
      <c r="A69" s="156">
        <v>46061</v>
      </c>
      <c r="B69" s="151" t="s">
        <v>222</v>
      </c>
      <c r="C69" s="149" t="s">
        <v>69</v>
      </c>
      <c r="D69" s="159"/>
      <c r="E69" s="180">
        <f>2*25</f>
        <v>50</v>
      </c>
      <c r="F69" s="458"/>
      <c r="G69" s="164">
        <v>9225</v>
      </c>
      <c r="H69" s="169">
        <f t="shared" si="6"/>
        <v>461250</v>
      </c>
      <c r="I69" s="173">
        <f t="shared" si="2"/>
        <v>0</v>
      </c>
      <c r="J69" s="171" t="s">
        <v>174</v>
      </c>
      <c r="K69" s="149" t="s">
        <v>175</v>
      </c>
      <c r="L69" s="149"/>
      <c r="M69" s="159" t="s">
        <v>69</v>
      </c>
      <c r="N69" s="596">
        <f t="shared" si="7"/>
        <v>42</v>
      </c>
      <c r="O69" s="176"/>
      <c r="P69" s="179">
        <f>IF(A69&lt;&gt;"", Снабжения!H69 / VLOOKUP(A69, 'Курс валют'!$A:$D, 4, 0), "")</f>
        <v>37.807377049180324</v>
      </c>
    </row>
    <row r="70" spans="1:16" ht="20.100000000000001" customHeight="1" x14ac:dyDescent="0.45">
      <c r="A70" s="156">
        <v>46061</v>
      </c>
      <c r="B70" s="151" t="s">
        <v>210</v>
      </c>
      <c r="C70" s="149" t="s">
        <v>69</v>
      </c>
      <c r="D70" s="159"/>
      <c r="E70" s="180">
        <v>1000</v>
      </c>
      <c r="F70" s="458"/>
      <c r="G70" s="164">
        <v>15000</v>
      </c>
      <c r="H70" s="169">
        <f t="shared" si="6"/>
        <v>15000000</v>
      </c>
      <c r="I70" s="173">
        <f t="shared" si="2"/>
        <v>0</v>
      </c>
      <c r="J70" s="171" t="s">
        <v>174</v>
      </c>
      <c r="K70" s="149" t="s">
        <v>175</v>
      </c>
      <c r="L70" s="149"/>
      <c r="M70" s="159" t="s">
        <v>211</v>
      </c>
      <c r="N70" s="596">
        <f t="shared" si="7"/>
        <v>405</v>
      </c>
      <c r="O70" s="176"/>
      <c r="P70" s="179">
        <f>IF(A70&lt;&gt;"", Снабжения!H70 / VLOOKUP(A70, 'Курс валют'!$A:$D, 4, 0), "")</f>
        <v>1229.5081967213114</v>
      </c>
    </row>
    <row r="71" spans="1:16" ht="20.100000000000001" customHeight="1" x14ac:dyDescent="0.45">
      <c r="A71" s="156">
        <v>46061</v>
      </c>
      <c r="B71" s="151" t="s">
        <v>209</v>
      </c>
      <c r="C71" s="149" t="s">
        <v>69</v>
      </c>
      <c r="D71" s="159"/>
      <c r="E71" s="180">
        <v>100</v>
      </c>
      <c r="F71" s="458"/>
      <c r="G71" s="164">
        <v>1230</v>
      </c>
      <c r="H71" s="169">
        <f t="shared" si="6"/>
        <v>123000</v>
      </c>
      <c r="I71" s="173">
        <f t="shared" si="2"/>
        <v>0</v>
      </c>
      <c r="J71" s="171" t="s">
        <v>174</v>
      </c>
      <c r="K71" s="149" t="s">
        <v>175</v>
      </c>
      <c r="L71" s="149"/>
      <c r="M71" s="159" t="s">
        <v>211</v>
      </c>
      <c r="N71" s="596">
        <f t="shared" si="7"/>
        <v>128</v>
      </c>
      <c r="O71" s="176"/>
      <c r="P71" s="179">
        <f>IF(A71&lt;&gt;"", Снабжения!H71 / VLOOKUP(A71, 'Курс валют'!$A:$D, 4, 0), "")</f>
        <v>10.081967213114755</v>
      </c>
    </row>
    <row r="72" spans="1:16" ht="20.100000000000001" customHeight="1" x14ac:dyDescent="0.45">
      <c r="A72" s="156">
        <v>46061</v>
      </c>
      <c r="B72" s="151" t="s">
        <v>189</v>
      </c>
      <c r="C72" s="149" t="s">
        <v>69</v>
      </c>
      <c r="D72" s="159"/>
      <c r="E72" s="180">
        <v>500</v>
      </c>
      <c r="F72" s="458"/>
      <c r="G72" s="164">
        <v>4428</v>
      </c>
      <c r="H72" s="169">
        <f t="shared" si="6"/>
        <v>2214000</v>
      </c>
      <c r="I72" s="173">
        <f t="shared" ref="I72:I81" si="8">G72*F72</f>
        <v>0</v>
      </c>
      <c r="J72" s="171" t="s">
        <v>174</v>
      </c>
      <c r="K72" s="149" t="s">
        <v>175</v>
      </c>
      <c r="L72" s="149"/>
      <c r="M72" s="159" t="s">
        <v>69</v>
      </c>
      <c r="N72" s="596">
        <f t="shared" si="7"/>
        <v>309</v>
      </c>
      <c r="O72" s="176"/>
      <c r="P72" s="179">
        <f>IF(A72&lt;&gt;"", Снабжения!H72 / VLOOKUP(A72, 'Курс валют'!$A:$D, 4, 0), "")</f>
        <v>181.47540983606558</v>
      </c>
    </row>
    <row r="73" spans="1:16" ht="20.100000000000001" customHeight="1" x14ac:dyDescent="0.45">
      <c r="A73" s="156">
        <v>46061</v>
      </c>
      <c r="B73" s="151" t="s">
        <v>225</v>
      </c>
      <c r="C73" s="149" t="s">
        <v>69</v>
      </c>
      <c r="D73" s="159"/>
      <c r="E73" s="180">
        <v>20</v>
      </c>
      <c r="F73" s="458"/>
      <c r="G73" s="164">
        <v>19803</v>
      </c>
      <c r="H73" s="169">
        <f t="shared" si="6"/>
        <v>396060</v>
      </c>
      <c r="I73" s="173">
        <f t="shared" si="8"/>
        <v>0</v>
      </c>
      <c r="J73" s="171" t="s">
        <v>174</v>
      </c>
      <c r="K73" s="149" t="s">
        <v>175</v>
      </c>
      <c r="L73" s="149"/>
      <c r="M73" s="159" t="s">
        <v>69</v>
      </c>
      <c r="N73" s="596">
        <f t="shared" si="7"/>
        <v>20</v>
      </c>
      <c r="O73" s="176"/>
      <c r="P73" s="179">
        <f>IF(A73&lt;&gt;"", Снабжения!H73 / VLOOKUP(A73, 'Курс валют'!$A:$D, 4, 0), "")</f>
        <v>32.463934426229507</v>
      </c>
    </row>
    <row r="74" spans="1:16" ht="20.100000000000001" customHeight="1" x14ac:dyDescent="0.45">
      <c r="A74" s="156">
        <v>46061</v>
      </c>
      <c r="B74" s="150" t="s">
        <v>242</v>
      </c>
      <c r="C74" s="149" t="s">
        <v>69</v>
      </c>
      <c r="D74" s="159"/>
      <c r="E74" s="180">
        <v>1</v>
      </c>
      <c r="F74" s="458"/>
      <c r="G74" s="164">
        <v>135300</v>
      </c>
      <c r="H74" s="169">
        <f t="shared" si="6"/>
        <v>135300</v>
      </c>
      <c r="I74" s="173">
        <f t="shared" si="8"/>
        <v>0</v>
      </c>
      <c r="J74" s="171" t="s">
        <v>174</v>
      </c>
      <c r="K74" s="149" t="s">
        <v>175</v>
      </c>
      <c r="L74" s="149"/>
      <c r="M74" s="159" t="s">
        <v>69</v>
      </c>
      <c r="N74" s="596">
        <f t="shared" si="7"/>
        <v>2</v>
      </c>
      <c r="O74" s="176"/>
      <c r="P74" s="179">
        <f>IF(A74&lt;&gt;"", Снабжения!H74 / VLOOKUP(A74, 'Курс валют'!$A:$D, 4, 0), "")</f>
        <v>11.090163934426229</v>
      </c>
    </row>
    <row r="75" spans="1:16" ht="20.100000000000001" customHeight="1" x14ac:dyDescent="0.45">
      <c r="A75" s="156">
        <v>46061</v>
      </c>
      <c r="B75" s="151" t="s">
        <v>243</v>
      </c>
      <c r="C75" s="149" t="s">
        <v>69</v>
      </c>
      <c r="D75" s="159"/>
      <c r="E75" s="180">
        <v>1</v>
      </c>
      <c r="F75" s="458"/>
      <c r="G75" s="164">
        <v>250920</v>
      </c>
      <c r="H75" s="169">
        <f t="shared" si="6"/>
        <v>250920</v>
      </c>
      <c r="I75" s="173">
        <f t="shared" si="8"/>
        <v>0</v>
      </c>
      <c r="J75" s="171" t="s">
        <v>174</v>
      </c>
      <c r="K75" s="149" t="s">
        <v>175</v>
      </c>
      <c r="L75" s="149"/>
      <c r="M75" s="159" t="s">
        <v>69</v>
      </c>
      <c r="N75" s="596">
        <f t="shared" si="7"/>
        <v>2</v>
      </c>
      <c r="O75" s="176"/>
      <c r="P75" s="179">
        <f>IF(A75&lt;&gt;"", Снабжения!H75 / VLOOKUP(A75, 'Курс валют'!$A:$D, 4, 0), "")</f>
        <v>20.567213114754097</v>
      </c>
    </row>
    <row r="76" spans="1:16" ht="20.100000000000001" customHeight="1" x14ac:dyDescent="0.45">
      <c r="A76" s="156">
        <v>46061</v>
      </c>
      <c r="B76" s="151" t="s">
        <v>191</v>
      </c>
      <c r="C76" s="149" t="s">
        <v>69</v>
      </c>
      <c r="D76" s="159"/>
      <c r="E76" s="180">
        <v>10</v>
      </c>
      <c r="F76" s="458"/>
      <c r="G76" s="164">
        <v>11070</v>
      </c>
      <c r="H76" s="169">
        <f t="shared" si="6"/>
        <v>110700</v>
      </c>
      <c r="I76" s="173">
        <f t="shared" si="8"/>
        <v>0</v>
      </c>
      <c r="J76" s="171" t="s">
        <v>174</v>
      </c>
      <c r="K76" s="149" t="s">
        <v>175</v>
      </c>
      <c r="L76" s="149"/>
      <c r="M76" s="159" t="s">
        <v>69</v>
      </c>
      <c r="N76" s="596">
        <f t="shared" si="7"/>
        <v>2</v>
      </c>
      <c r="O76" s="176"/>
      <c r="P76" s="179">
        <f>IF(A76&lt;&gt;"", Снабжения!H76 / VLOOKUP(A76, 'Курс валют'!$A:$D, 4, 0), "")</f>
        <v>9.0737704918032787</v>
      </c>
    </row>
    <row r="77" spans="1:16" ht="20.100000000000001" customHeight="1" x14ac:dyDescent="0.45">
      <c r="A77" s="156">
        <v>46061</v>
      </c>
      <c r="B77" s="151" t="s">
        <v>230</v>
      </c>
      <c r="C77" s="149" t="s">
        <v>85</v>
      </c>
      <c r="D77" s="159" t="s">
        <v>220</v>
      </c>
      <c r="E77" s="180">
        <v>300</v>
      </c>
      <c r="F77" s="458"/>
      <c r="G77" s="164">
        <v>3500</v>
      </c>
      <c r="H77" s="169">
        <f t="shared" si="6"/>
        <v>1050000</v>
      </c>
      <c r="I77" s="173">
        <f t="shared" si="8"/>
        <v>0</v>
      </c>
      <c r="J77" s="171" t="s">
        <v>174</v>
      </c>
      <c r="K77" s="149" t="s">
        <v>175</v>
      </c>
      <c r="L77" s="149"/>
      <c r="M77" s="159" t="s">
        <v>202</v>
      </c>
      <c r="N77" s="596">
        <f t="shared" si="7"/>
        <v>400</v>
      </c>
      <c r="O77" s="176">
        <v>200</v>
      </c>
      <c r="P77" s="179">
        <f>IF(A77&lt;&gt;"", Снабжения!H77 / VLOOKUP(A77, 'Курс валют'!$A:$D, 4, 0), "")</f>
        <v>86.06557377049181</v>
      </c>
    </row>
    <row r="78" spans="1:16" ht="20.100000000000001" customHeight="1" x14ac:dyDescent="0.45">
      <c r="A78" s="156">
        <v>46061</v>
      </c>
      <c r="B78" s="151" t="s">
        <v>244</v>
      </c>
      <c r="C78" s="149" t="s">
        <v>69</v>
      </c>
      <c r="D78" s="159"/>
      <c r="E78" s="180">
        <v>1</v>
      </c>
      <c r="F78" s="458"/>
      <c r="G78" s="164">
        <v>1961850</v>
      </c>
      <c r="H78" s="169">
        <f t="shared" si="6"/>
        <v>1961850</v>
      </c>
      <c r="I78" s="173">
        <f t="shared" si="8"/>
        <v>0</v>
      </c>
      <c r="J78" s="171" t="s">
        <v>174</v>
      </c>
      <c r="K78" s="149" t="s">
        <v>175</v>
      </c>
      <c r="L78" s="149"/>
      <c r="M78" s="159" t="s">
        <v>69</v>
      </c>
      <c r="N78" s="596">
        <f t="shared" si="7"/>
        <v>1</v>
      </c>
      <c r="O78" s="176"/>
      <c r="P78" s="179">
        <f>IF(A78&lt;&gt;"", Снабжения!H78 / VLOOKUP(A78, 'Курс валют'!$A:$D, 4, 0), "")</f>
        <v>160.80737704918033</v>
      </c>
    </row>
    <row r="79" spans="1:16" ht="20.100000000000001" customHeight="1" x14ac:dyDescent="0.45">
      <c r="A79" s="156">
        <v>46061</v>
      </c>
      <c r="B79" s="151" t="s">
        <v>245</v>
      </c>
      <c r="C79" s="149" t="s">
        <v>69</v>
      </c>
      <c r="D79" s="159"/>
      <c r="E79" s="180">
        <v>2</v>
      </c>
      <c r="F79" s="458"/>
      <c r="G79" s="164">
        <v>265000</v>
      </c>
      <c r="H79" s="169">
        <f t="shared" si="6"/>
        <v>530000</v>
      </c>
      <c r="I79" s="173">
        <f t="shared" si="8"/>
        <v>0</v>
      </c>
      <c r="J79" s="171" t="s">
        <v>174</v>
      </c>
      <c r="K79" s="149" t="s">
        <v>175</v>
      </c>
      <c r="L79" s="149"/>
      <c r="M79" s="159" t="s">
        <v>69</v>
      </c>
      <c r="N79" s="596">
        <f t="shared" si="7"/>
        <v>2</v>
      </c>
      <c r="O79" s="176"/>
      <c r="P79" s="179">
        <f>IF(A79&lt;&gt;"", Снабжения!H79 / VLOOKUP(A79, 'Курс валют'!$A:$D, 4, 0), "")</f>
        <v>43.442622950819676</v>
      </c>
    </row>
    <row r="80" spans="1:16" ht="20.100000000000001" customHeight="1" x14ac:dyDescent="0.45">
      <c r="A80" s="156">
        <v>46061</v>
      </c>
      <c r="B80" s="151" t="s">
        <v>91</v>
      </c>
      <c r="C80" s="149" t="s">
        <v>65</v>
      </c>
      <c r="D80" s="159"/>
      <c r="E80" s="180"/>
      <c r="F80" s="458"/>
      <c r="G80" s="164"/>
      <c r="H80" s="169">
        <v>200000</v>
      </c>
      <c r="I80" s="173">
        <f t="shared" si="8"/>
        <v>0</v>
      </c>
      <c r="J80" s="171" t="s">
        <v>174</v>
      </c>
      <c r="K80" s="149" t="s">
        <v>175</v>
      </c>
      <c r="L80" s="149"/>
      <c r="M80" s="159" t="s">
        <v>65</v>
      </c>
      <c r="N80" s="596">
        <f t="shared" si="7"/>
        <v>8</v>
      </c>
      <c r="O80" s="176"/>
      <c r="P80" s="179">
        <f>IF(A80&lt;&gt;"", Снабжения!H80 / VLOOKUP(A80, 'Курс валют'!$A:$D, 4, 0), "")</f>
        <v>16.393442622950818</v>
      </c>
    </row>
    <row r="81" spans="1:16" ht="20.100000000000001" customHeight="1" x14ac:dyDescent="0.45">
      <c r="A81" s="156">
        <v>46061</v>
      </c>
      <c r="B81" s="151" t="s">
        <v>203</v>
      </c>
      <c r="C81" s="149" t="s">
        <v>69</v>
      </c>
      <c r="D81" s="159" t="s">
        <v>204</v>
      </c>
      <c r="E81" s="180"/>
      <c r="F81" s="458">
        <v>3</v>
      </c>
      <c r="G81" s="164">
        <v>10332</v>
      </c>
      <c r="H81" s="169"/>
      <c r="I81" s="173">
        <f t="shared" si="8"/>
        <v>30996</v>
      </c>
      <c r="J81" s="171"/>
      <c r="K81" s="149"/>
      <c r="L81" s="149"/>
      <c r="M81" s="159" t="s">
        <v>69</v>
      </c>
      <c r="N81" s="596">
        <f t="shared" si="7"/>
        <v>11</v>
      </c>
      <c r="O81" s="176"/>
      <c r="P81" s="179">
        <f>IF(A81&lt;&gt;"", Снабжения!H81 / VLOOKUP(A81, 'Курс валют'!$A:$D, 4, 0), "")</f>
        <v>0</v>
      </c>
    </row>
    <row r="82" spans="1:16" ht="20.100000000000001" customHeight="1" x14ac:dyDescent="0.45">
      <c r="A82" s="156">
        <v>46063</v>
      </c>
      <c r="B82" s="151" t="s">
        <v>221</v>
      </c>
      <c r="C82" s="149" t="s">
        <v>69</v>
      </c>
      <c r="D82" s="159" t="s">
        <v>220</v>
      </c>
      <c r="E82" s="180"/>
      <c r="F82" s="458">
        <v>5</v>
      </c>
      <c r="G82" s="164"/>
      <c r="H82" s="169"/>
      <c r="I82" s="173"/>
      <c r="J82" s="171"/>
      <c r="K82" s="149"/>
      <c r="L82" s="149"/>
      <c r="M82" s="159" t="s">
        <v>69</v>
      </c>
      <c r="N82" s="596">
        <f t="shared" si="7"/>
        <v>87</v>
      </c>
      <c r="O82" s="176"/>
      <c r="P82" s="179">
        <f>IF(A82&lt;&gt;"", Снабжения!H82 / VLOOKUP(A82, 'Курс валют'!$A:$D, 4, 0), "")</f>
        <v>0</v>
      </c>
    </row>
    <row r="83" spans="1:16" ht="20.100000000000001" customHeight="1" x14ac:dyDescent="0.45">
      <c r="A83" s="156">
        <v>46063</v>
      </c>
      <c r="B83" s="151" t="s">
        <v>189</v>
      </c>
      <c r="C83" s="149" t="s">
        <v>69</v>
      </c>
      <c r="D83" s="159" t="s">
        <v>220</v>
      </c>
      <c r="E83" s="180"/>
      <c r="F83" s="458">
        <v>20</v>
      </c>
      <c r="G83" s="164"/>
      <c r="H83" s="169"/>
      <c r="I83" s="173"/>
      <c r="J83" s="171"/>
      <c r="K83" s="149"/>
      <c r="L83" s="149"/>
      <c r="M83" s="159" t="s">
        <v>69</v>
      </c>
      <c r="N83" s="596">
        <f t="shared" si="7"/>
        <v>309</v>
      </c>
      <c r="O83" s="176"/>
      <c r="P83" s="179">
        <f>IF(A83&lt;&gt;"", Снабжения!H83 / VLOOKUP(A83, 'Курс валют'!$A:$D, 4, 0), "")</f>
        <v>0</v>
      </c>
    </row>
    <row r="84" spans="1:16" ht="20.100000000000001" customHeight="1" x14ac:dyDescent="0.45">
      <c r="A84" s="156">
        <v>46063</v>
      </c>
      <c r="B84" s="150" t="s">
        <v>219</v>
      </c>
      <c r="C84" s="149" t="s">
        <v>59</v>
      </c>
      <c r="D84" s="159"/>
      <c r="E84" s="180"/>
      <c r="F84" s="458">
        <v>2.5</v>
      </c>
      <c r="G84" s="164"/>
      <c r="H84" s="169"/>
      <c r="I84" s="173"/>
      <c r="J84" s="171"/>
      <c r="K84" s="149"/>
      <c r="L84" s="149"/>
      <c r="M84" s="159" t="s">
        <v>59</v>
      </c>
      <c r="N84" s="596">
        <f t="shared" si="7"/>
        <v>41.5</v>
      </c>
      <c r="O84" s="176"/>
      <c r="P84" s="179">
        <f>IF(A84&lt;&gt;"", Снабжения!H84 / VLOOKUP(A84, 'Курс валют'!$A:$D, 4, 0), "")</f>
        <v>0</v>
      </c>
    </row>
    <row r="85" spans="1:16" ht="20.100000000000001" customHeight="1" x14ac:dyDescent="0.45">
      <c r="A85" s="156">
        <v>46063</v>
      </c>
      <c r="B85" s="151" t="s">
        <v>189</v>
      </c>
      <c r="C85" s="149" t="s">
        <v>69</v>
      </c>
      <c r="D85" s="159"/>
      <c r="E85" s="180"/>
      <c r="F85" s="458">
        <v>20</v>
      </c>
      <c r="G85" s="164"/>
      <c r="H85" s="169"/>
      <c r="I85" s="173"/>
      <c r="J85" s="171"/>
      <c r="K85" s="149"/>
      <c r="L85" s="149"/>
      <c r="M85" s="159"/>
      <c r="N85" s="596">
        <f>SUMIF(B:B,#REF!,E:E)-SUMIF(B:B,#REF!,F:F)</f>
        <v>0</v>
      </c>
      <c r="O85" s="176"/>
      <c r="P85" s="179">
        <f>IF(A85&lt;&gt;"", Снабжения!H85 / VLOOKUP(A85, 'Курс валют'!$A:$D, 4, 0), "")</f>
        <v>0</v>
      </c>
    </row>
    <row r="86" spans="1:16" ht="20.100000000000001" customHeight="1" x14ac:dyDescent="0.45">
      <c r="A86" s="156">
        <v>46065</v>
      </c>
      <c r="B86" s="151" t="s">
        <v>219</v>
      </c>
      <c r="C86" s="149" t="s">
        <v>59</v>
      </c>
      <c r="D86" s="159"/>
      <c r="E86" s="180"/>
      <c r="F86" s="458">
        <v>1</v>
      </c>
      <c r="G86" s="164"/>
      <c r="H86" s="169"/>
      <c r="I86" s="173"/>
      <c r="J86" s="171"/>
      <c r="K86" s="149"/>
      <c r="L86" s="149"/>
      <c r="M86" s="159"/>
      <c r="N86" s="596">
        <f>SUMIF(B:B,B85,E:E)-SUMIF(B:B,B85,F:F)</f>
        <v>309</v>
      </c>
      <c r="O86" s="176"/>
      <c r="P86" s="179">
        <f>IF(A86&lt;&gt;"", Снабжения!H86 / VLOOKUP(A86, 'Курс валют'!$A:$D, 4, 0), "")</f>
        <v>0</v>
      </c>
    </row>
    <row r="87" spans="1:16" ht="20.100000000000001" customHeight="1" x14ac:dyDescent="0.45">
      <c r="A87" s="156">
        <v>46065</v>
      </c>
      <c r="B87" s="151" t="s">
        <v>246</v>
      </c>
      <c r="C87" s="149" t="s">
        <v>202</v>
      </c>
      <c r="D87" s="159" t="s">
        <v>204</v>
      </c>
      <c r="E87" s="180">
        <v>200</v>
      </c>
      <c r="F87" s="458"/>
      <c r="G87" s="164">
        <f>13440</f>
        <v>13440</v>
      </c>
      <c r="H87" s="169">
        <f>G87*E87</f>
        <v>2688000</v>
      </c>
      <c r="I87" s="173"/>
      <c r="J87" s="171"/>
      <c r="K87" s="149"/>
      <c r="L87" s="149"/>
      <c r="M87" s="159" t="s">
        <v>202</v>
      </c>
      <c r="N87" s="596">
        <f t="shared" ref="N87:N118" si="9">SUMIF(B:B,B87,E:E)-SUMIF(B:B,B87,F:F)</f>
        <v>200</v>
      </c>
      <c r="O87" s="176"/>
      <c r="P87" s="179">
        <f>IF(A87&lt;&gt;"", Снабжения!H87 / VLOOKUP(A87, 'Курс валют'!$A:$D, 4, 0), "")</f>
        <v>219.7874080130826</v>
      </c>
    </row>
    <row r="88" spans="1:16" ht="20.100000000000001" customHeight="1" x14ac:dyDescent="0.45">
      <c r="A88" s="156">
        <v>46066</v>
      </c>
      <c r="B88" s="152" t="s">
        <v>241</v>
      </c>
      <c r="C88" s="149" t="s">
        <v>69</v>
      </c>
      <c r="D88" s="159" t="s">
        <v>204</v>
      </c>
      <c r="E88" s="180">
        <v>10</v>
      </c>
      <c r="F88" s="458"/>
      <c r="G88" s="164">
        <v>30627</v>
      </c>
      <c r="H88" s="169">
        <f>G88*E88</f>
        <v>306270</v>
      </c>
      <c r="I88" s="173"/>
      <c r="J88" s="171"/>
      <c r="K88" s="149"/>
      <c r="L88" s="149"/>
      <c r="M88" s="159" t="s">
        <v>69</v>
      </c>
      <c r="N88" s="596">
        <f t="shared" si="9"/>
        <v>1</v>
      </c>
      <c r="O88" s="176"/>
      <c r="P88" s="179">
        <f>IF(A88&lt;&gt;"", Снабжения!H88 / VLOOKUP(A88, 'Курс валют'!$A:$D, 4, 0), "")</f>
        <v>25.104098360655737</v>
      </c>
    </row>
    <row r="89" spans="1:16" ht="20.100000000000001" customHeight="1" x14ac:dyDescent="0.45">
      <c r="A89" s="156">
        <v>46066</v>
      </c>
      <c r="B89" s="152" t="s">
        <v>247</v>
      </c>
      <c r="C89" s="149" t="s">
        <v>69</v>
      </c>
      <c r="D89" s="159" t="s">
        <v>204</v>
      </c>
      <c r="E89" s="180">
        <v>10</v>
      </c>
      <c r="F89" s="458">
        <v>7</v>
      </c>
      <c r="G89" s="164">
        <v>2460</v>
      </c>
      <c r="H89" s="169">
        <f>G89*E89</f>
        <v>24600</v>
      </c>
      <c r="I89" s="173"/>
      <c r="J89" s="171"/>
      <c r="K89" s="149"/>
      <c r="L89" s="149"/>
      <c r="M89" s="159" t="s">
        <v>69</v>
      </c>
      <c r="N89" s="596">
        <f t="shared" si="9"/>
        <v>2</v>
      </c>
      <c r="O89" s="176"/>
      <c r="P89" s="179">
        <f>IF(A89&lt;&gt;"", Снабжения!H89 / VLOOKUP(A89, 'Курс валют'!$A:$D, 4, 0), "")</f>
        <v>2.0163934426229506</v>
      </c>
    </row>
    <row r="90" spans="1:16" ht="20.100000000000001" customHeight="1" x14ac:dyDescent="0.45">
      <c r="A90" s="156">
        <v>46066</v>
      </c>
      <c r="B90" s="152" t="s">
        <v>248</v>
      </c>
      <c r="C90" s="149" t="s">
        <v>69</v>
      </c>
      <c r="D90" s="159" t="s">
        <v>204</v>
      </c>
      <c r="E90" s="180">
        <v>10</v>
      </c>
      <c r="F90" s="458">
        <v>7</v>
      </c>
      <c r="G90" s="164">
        <v>52398</v>
      </c>
      <c r="H90" s="169">
        <f>G90*E90</f>
        <v>523980</v>
      </c>
      <c r="I90" s="173"/>
      <c r="J90" s="171"/>
      <c r="K90" s="149"/>
      <c r="L90" s="149"/>
      <c r="M90" s="159" t="s">
        <v>69</v>
      </c>
      <c r="N90" s="596">
        <f t="shared" si="9"/>
        <v>1</v>
      </c>
      <c r="O90" s="176"/>
      <c r="P90" s="179">
        <f>IF(A90&lt;&gt;"", Снабжения!H90 / VLOOKUP(A90, 'Курс валют'!$A:$D, 4, 0), "")</f>
        <v>42.949180327868852</v>
      </c>
    </row>
    <row r="91" spans="1:16" ht="20.100000000000001" customHeight="1" x14ac:dyDescent="0.45">
      <c r="A91" s="156">
        <v>46066</v>
      </c>
      <c r="B91" s="152" t="s">
        <v>205</v>
      </c>
      <c r="C91" s="149" t="s">
        <v>69</v>
      </c>
      <c r="D91" s="159" t="s">
        <v>204</v>
      </c>
      <c r="E91" s="180">
        <v>10</v>
      </c>
      <c r="F91" s="458"/>
      <c r="G91" s="164">
        <v>3567</v>
      </c>
      <c r="H91" s="169">
        <f>G91*E91</f>
        <v>35670</v>
      </c>
      <c r="I91" s="173"/>
      <c r="J91" s="171"/>
      <c r="K91" s="149"/>
      <c r="L91" s="149"/>
      <c r="M91" s="159" t="s">
        <v>69</v>
      </c>
      <c r="N91" s="596">
        <f t="shared" si="9"/>
        <v>8</v>
      </c>
      <c r="O91" s="176"/>
      <c r="P91" s="179">
        <f>IF(A91&lt;&gt;"", Снабжения!H91 / VLOOKUP(A91, 'Курс валют'!$A:$D, 4, 0), "")</f>
        <v>2.9237704918032787</v>
      </c>
    </row>
    <row r="92" spans="1:16" ht="20.100000000000001" customHeight="1" x14ac:dyDescent="0.45">
      <c r="A92" s="156">
        <v>46066</v>
      </c>
      <c r="B92" s="152" t="s">
        <v>249</v>
      </c>
      <c r="C92" s="149" t="s">
        <v>69</v>
      </c>
      <c r="D92" s="159" t="s">
        <v>204</v>
      </c>
      <c r="E92" s="180">
        <v>10</v>
      </c>
      <c r="F92" s="458">
        <v>2</v>
      </c>
      <c r="G92" s="164">
        <v>16000</v>
      </c>
      <c r="H92" s="169">
        <f t="shared" ref="H92:H160" si="10">G92*E92</f>
        <v>160000</v>
      </c>
      <c r="I92" s="173"/>
      <c r="J92" s="171"/>
      <c r="K92" s="149"/>
      <c r="L92" s="149"/>
      <c r="M92" s="159" t="s">
        <v>69</v>
      </c>
      <c r="N92" s="596">
        <f t="shared" si="9"/>
        <v>6</v>
      </c>
      <c r="O92" s="176"/>
      <c r="P92" s="179">
        <f>IF(A92&lt;&gt;"", Снабжения!H92 / VLOOKUP(A92, 'Курс валют'!$A:$D, 4, 0), "")</f>
        <v>13.114754098360656</v>
      </c>
    </row>
    <row r="93" spans="1:16" ht="20.100000000000001" customHeight="1" x14ac:dyDescent="0.45">
      <c r="A93" s="156">
        <v>46066</v>
      </c>
      <c r="B93" s="152" t="s">
        <v>250</v>
      </c>
      <c r="C93" s="149" t="s">
        <v>202</v>
      </c>
      <c r="D93" s="159" t="s">
        <v>204</v>
      </c>
      <c r="E93" s="180">
        <v>50</v>
      </c>
      <c r="F93" s="458"/>
      <c r="G93" s="164">
        <v>23072</v>
      </c>
      <c r="H93" s="169">
        <f t="shared" si="10"/>
        <v>1153600</v>
      </c>
      <c r="I93" s="173"/>
      <c r="J93" s="171"/>
      <c r="K93" s="149"/>
      <c r="L93" s="149"/>
      <c r="M93" s="159" t="s">
        <v>202</v>
      </c>
      <c r="N93" s="596">
        <f t="shared" si="9"/>
        <v>0</v>
      </c>
      <c r="O93" s="176"/>
      <c r="P93" s="179">
        <f>IF(A93&lt;&gt;"", Снабжения!H93 / VLOOKUP(A93, 'Курс валют'!$A:$D, 4, 0), "")</f>
        <v>94.557377049180332</v>
      </c>
    </row>
    <row r="94" spans="1:16" ht="20.100000000000001" customHeight="1" x14ac:dyDescent="0.45">
      <c r="A94" s="156">
        <v>46066</v>
      </c>
      <c r="B94" s="152" t="s">
        <v>241</v>
      </c>
      <c r="C94" s="149" t="s">
        <v>69</v>
      </c>
      <c r="D94" s="159" t="s">
        <v>204</v>
      </c>
      <c r="E94" s="180">
        <v>1</v>
      </c>
      <c r="F94" s="458"/>
      <c r="G94" s="164">
        <v>91512</v>
      </c>
      <c r="H94" s="169">
        <f t="shared" si="10"/>
        <v>91512</v>
      </c>
      <c r="I94" s="173"/>
      <c r="J94" s="171"/>
      <c r="K94" s="149"/>
      <c r="L94" s="149"/>
      <c r="M94" s="159" t="s">
        <v>69</v>
      </c>
      <c r="N94" s="596">
        <f t="shared" si="9"/>
        <v>1</v>
      </c>
      <c r="O94" s="176"/>
      <c r="P94" s="179">
        <f>IF(A94&lt;&gt;"", Снабжения!H94 / VLOOKUP(A94, 'Курс валют'!$A:$D, 4, 0), "")</f>
        <v>7.5009836065573774</v>
      </c>
    </row>
    <row r="95" spans="1:16" ht="20.100000000000001" customHeight="1" x14ac:dyDescent="0.45">
      <c r="A95" s="156">
        <v>46066</v>
      </c>
      <c r="B95" s="152" t="s">
        <v>251</v>
      </c>
      <c r="C95" s="149" t="s">
        <v>202</v>
      </c>
      <c r="D95" s="159" t="s">
        <v>204</v>
      </c>
      <c r="E95" s="180">
        <v>150</v>
      </c>
      <c r="F95" s="458"/>
      <c r="G95" s="164">
        <v>25522</v>
      </c>
      <c r="H95" s="169">
        <f t="shared" si="10"/>
        <v>3828300</v>
      </c>
      <c r="I95" s="173"/>
      <c r="J95" s="171"/>
      <c r="K95" s="149"/>
      <c r="L95" s="149"/>
      <c r="M95" s="159" t="s">
        <v>202</v>
      </c>
      <c r="N95" s="596">
        <f t="shared" si="9"/>
        <v>150</v>
      </c>
      <c r="O95" s="176"/>
      <c r="P95" s="179">
        <f>IF(A95&lt;&gt;"", Снабжения!H95 / VLOOKUP(A95, 'Курс валют'!$A:$D, 4, 0), "")</f>
        <v>313.79508196721309</v>
      </c>
    </row>
    <row r="96" spans="1:16" ht="20.100000000000001" customHeight="1" x14ac:dyDescent="0.45">
      <c r="A96" s="156">
        <v>46066</v>
      </c>
      <c r="B96" s="152" t="s">
        <v>252</v>
      </c>
      <c r="C96" s="149" t="s">
        <v>69</v>
      </c>
      <c r="D96" s="159" t="s">
        <v>204</v>
      </c>
      <c r="E96" s="180">
        <v>3</v>
      </c>
      <c r="F96" s="458">
        <v>3</v>
      </c>
      <c r="G96" s="164">
        <v>129150</v>
      </c>
      <c r="H96" s="169">
        <f>E96*G96</f>
        <v>387450</v>
      </c>
      <c r="I96" s="173"/>
      <c r="J96" s="171"/>
      <c r="K96" s="149"/>
      <c r="L96" s="149"/>
      <c r="M96" s="159" t="s">
        <v>69</v>
      </c>
      <c r="N96" s="596">
        <f t="shared" si="9"/>
        <v>0</v>
      </c>
      <c r="O96" s="176"/>
      <c r="P96" s="179">
        <f>IF(A96&lt;&gt;"", Снабжения!H96 / VLOOKUP(A96, 'Курс валют'!$A:$D, 4, 0), "")</f>
        <v>31.758196721311474</v>
      </c>
    </row>
    <row r="97" spans="1:16" ht="20.100000000000001" customHeight="1" x14ac:dyDescent="0.45">
      <c r="A97" s="156">
        <v>46066</v>
      </c>
      <c r="B97" s="151" t="s">
        <v>253</v>
      </c>
      <c r="C97" s="149" t="s">
        <v>69</v>
      </c>
      <c r="D97" s="159" t="s">
        <v>173</v>
      </c>
      <c r="E97" s="180">
        <v>30</v>
      </c>
      <c r="F97" s="458">
        <v>19</v>
      </c>
      <c r="G97" s="164">
        <v>3936</v>
      </c>
      <c r="H97" s="169">
        <f t="shared" si="10"/>
        <v>118080</v>
      </c>
      <c r="I97" s="173"/>
      <c r="J97" s="171"/>
      <c r="K97" s="149"/>
      <c r="L97" s="149"/>
      <c r="M97" s="159" t="s">
        <v>69</v>
      </c>
      <c r="N97" s="596">
        <f t="shared" si="9"/>
        <v>8</v>
      </c>
      <c r="O97" s="176"/>
      <c r="P97" s="179">
        <f>IF(A97&lt;&gt;"", Снабжения!H97 / VLOOKUP(A97, 'Курс валют'!$A:$D, 4, 0), "")</f>
        <v>9.6786885245901644</v>
      </c>
    </row>
    <row r="98" spans="1:16" ht="20.100000000000001" customHeight="1" x14ac:dyDescent="0.45">
      <c r="A98" s="156">
        <v>46066</v>
      </c>
      <c r="B98" s="152" t="s">
        <v>254</v>
      </c>
      <c r="C98" s="149" t="s">
        <v>69</v>
      </c>
      <c r="D98" s="159" t="s">
        <v>255</v>
      </c>
      <c r="E98" s="180">
        <v>36</v>
      </c>
      <c r="F98" s="458"/>
      <c r="G98" s="164">
        <v>54120</v>
      </c>
      <c r="H98" s="169">
        <f t="shared" si="10"/>
        <v>1948320</v>
      </c>
      <c r="I98" s="173"/>
      <c r="J98" s="171"/>
      <c r="K98" s="149"/>
      <c r="L98" s="149"/>
      <c r="M98" s="159" t="s">
        <v>69</v>
      </c>
      <c r="N98" s="596">
        <f t="shared" si="9"/>
        <v>33</v>
      </c>
      <c r="O98" s="176">
        <v>47</v>
      </c>
      <c r="P98" s="179">
        <f>IF(A98&lt;&gt;"", Снабжения!H98 / VLOOKUP(A98, 'Курс валют'!$A:$D, 4, 0), "")</f>
        <v>159.6983606557377</v>
      </c>
    </row>
    <row r="99" spans="1:16" ht="20.100000000000001" customHeight="1" x14ac:dyDescent="0.45">
      <c r="A99" s="156">
        <v>46066</v>
      </c>
      <c r="B99" s="152" t="s">
        <v>242</v>
      </c>
      <c r="C99" s="149" t="s">
        <v>69</v>
      </c>
      <c r="D99" s="159" t="s">
        <v>177</v>
      </c>
      <c r="E99" s="180">
        <v>1</v>
      </c>
      <c r="F99" s="458"/>
      <c r="G99" s="164">
        <v>135300</v>
      </c>
      <c r="H99" s="169">
        <f t="shared" si="10"/>
        <v>135300</v>
      </c>
      <c r="I99" s="173"/>
      <c r="J99" s="171"/>
      <c r="K99" s="149"/>
      <c r="L99" s="149"/>
      <c r="M99" s="159" t="s">
        <v>69</v>
      </c>
      <c r="N99" s="596">
        <f t="shared" si="9"/>
        <v>2</v>
      </c>
      <c r="O99" s="176"/>
      <c r="P99" s="179">
        <f>IF(A99&lt;&gt;"", Снабжения!H99 / VLOOKUP(A99, 'Курс валют'!$A:$D, 4, 0), "")</f>
        <v>11.090163934426229</v>
      </c>
    </row>
    <row r="100" spans="1:16" ht="20.100000000000001" customHeight="1" x14ac:dyDescent="0.45">
      <c r="A100" s="156">
        <v>46066</v>
      </c>
      <c r="B100" s="152" t="s">
        <v>243</v>
      </c>
      <c r="C100" s="149" t="s">
        <v>69</v>
      </c>
      <c r="D100" s="159" t="s">
        <v>177</v>
      </c>
      <c r="E100" s="180">
        <v>1</v>
      </c>
      <c r="F100" s="458"/>
      <c r="G100" s="164">
        <v>250920</v>
      </c>
      <c r="H100" s="169">
        <f t="shared" si="10"/>
        <v>250920</v>
      </c>
      <c r="I100" s="173"/>
      <c r="J100" s="171"/>
      <c r="K100" s="149"/>
      <c r="L100" s="149"/>
      <c r="M100" s="159" t="s">
        <v>69</v>
      </c>
      <c r="N100" s="596">
        <f t="shared" si="9"/>
        <v>2</v>
      </c>
      <c r="O100" s="176"/>
      <c r="P100" s="179">
        <f>IF(A100&lt;&gt;"", Снабжения!H100 / VLOOKUP(A100, 'Курс валют'!$A:$D, 4, 0), "")</f>
        <v>20.567213114754097</v>
      </c>
    </row>
    <row r="101" spans="1:16" ht="20.100000000000001" customHeight="1" x14ac:dyDescent="0.45">
      <c r="A101" s="156">
        <v>46066</v>
      </c>
      <c r="B101" s="152" t="s">
        <v>228</v>
      </c>
      <c r="C101" s="149" t="s">
        <v>59</v>
      </c>
      <c r="D101" s="159" t="s">
        <v>187</v>
      </c>
      <c r="E101" s="180"/>
      <c r="F101" s="458"/>
      <c r="G101" s="164"/>
      <c r="H101" s="169">
        <f t="shared" si="10"/>
        <v>0</v>
      </c>
      <c r="I101" s="173"/>
      <c r="J101" s="171"/>
      <c r="K101" s="149"/>
      <c r="L101" s="149"/>
      <c r="M101" s="159"/>
      <c r="N101" s="596">
        <f t="shared" si="9"/>
        <v>125</v>
      </c>
      <c r="O101" s="176"/>
      <c r="P101" s="179">
        <f>IF(A101&lt;&gt;"", Снабжения!H101 / VLOOKUP(A101, 'Курс валют'!$A:$D, 4, 0), "")</f>
        <v>0</v>
      </c>
    </row>
    <row r="102" spans="1:16" ht="20.100000000000001" customHeight="1" x14ac:dyDescent="0.45">
      <c r="A102" s="156">
        <v>46066</v>
      </c>
      <c r="B102" s="152" t="s">
        <v>189</v>
      </c>
      <c r="C102" s="149" t="s">
        <v>69</v>
      </c>
      <c r="D102" s="159" t="s">
        <v>220</v>
      </c>
      <c r="E102" s="180"/>
      <c r="F102" s="458">
        <v>4</v>
      </c>
      <c r="G102" s="164"/>
      <c r="H102" s="169">
        <f t="shared" si="10"/>
        <v>0</v>
      </c>
      <c r="I102" s="173"/>
      <c r="J102" s="171"/>
      <c r="K102" s="149"/>
      <c r="L102" s="149"/>
      <c r="M102" s="159"/>
      <c r="N102" s="596">
        <f t="shared" si="9"/>
        <v>309</v>
      </c>
      <c r="O102" s="176"/>
      <c r="P102" s="179">
        <f>IF(A102&lt;&gt;"", Снабжения!H102 / VLOOKUP(A102, 'Курс валют'!$A:$D, 4, 0), "")</f>
        <v>0</v>
      </c>
    </row>
    <row r="103" spans="1:16" ht="20.100000000000001" customHeight="1" x14ac:dyDescent="0.45">
      <c r="A103" s="156">
        <v>46066</v>
      </c>
      <c r="B103" s="152" t="s">
        <v>219</v>
      </c>
      <c r="C103" s="149" t="s">
        <v>59</v>
      </c>
      <c r="D103" s="159" t="s">
        <v>220</v>
      </c>
      <c r="E103" s="180"/>
      <c r="F103" s="458">
        <f>5+2.5</f>
        <v>7.5</v>
      </c>
      <c r="G103" s="164"/>
      <c r="H103" s="169">
        <f t="shared" si="10"/>
        <v>0</v>
      </c>
      <c r="I103" s="173"/>
      <c r="J103" s="171"/>
      <c r="K103" s="149"/>
      <c r="L103" s="149"/>
      <c r="M103" s="159"/>
      <c r="N103" s="596">
        <f t="shared" si="9"/>
        <v>41.5</v>
      </c>
      <c r="O103" s="176"/>
      <c r="P103" s="179">
        <f>IF(A103&lt;&gt;"", Снабжения!H103 / VLOOKUP(A103, 'Курс валют'!$A:$D, 4, 0), "")</f>
        <v>0</v>
      </c>
    </row>
    <row r="104" spans="1:16" ht="20.100000000000001" customHeight="1" x14ac:dyDescent="0.45">
      <c r="A104" s="156">
        <v>46066</v>
      </c>
      <c r="B104" s="152" t="s">
        <v>190</v>
      </c>
      <c r="C104" s="149" t="s">
        <v>59</v>
      </c>
      <c r="D104" s="159" t="s">
        <v>187</v>
      </c>
      <c r="E104" s="180"/>
      <c r="F104" s="458">
        <v>0.5</v>
      </c>
      <c r="G104" s="164"/>
      <c r="H104" s="169">
        <f t="shared" si="10"/>
        <v>0</v>
      </c>
      <c r="I104" s="173"/>
      <c r="J104" s="171"/>
      <c r="K104" s="149"/>
      <c r="L104" s="149"/>
      <c r="M104" s="159"/>
      <c r="N104" s="596">
        <f t="shared" si="9"/>
        <v>80</v>
      </c>
      <c r="O104" s="176"/>
      <c r="P104" s="179">
        <f>IF(A104&lt;&gt;"", Снабжения!H104 / VLOOKUP(A104, 'Курс валют'!$A:$D, 4, 0), "")</f>
        <v>0</v>
      </c>
    </row>
    <row r="105" spans="1:16" ht="20.100000000000001" customHeight="1" x14ac:dyDescent="0.45">
      <c r="A105" s="156">
        <v>46066</v>
      </c>
      <c r="B105" s="152" t="s">
        <v>224</v>
      </c>
      <c r="C105" s="149" t="s">
        <v>69</v>
      </c>
      <c r="D105" s="159" t="s">
        <v>220</v>
      </c>
      <c r="E105" s="180"/>
      <c r="F105" s="458">
        <v>3</v>
      </c>
      <c r="G105" s="164"/>
      <c r="H105" s="169">
        <f t="shared" si="10"/>
        <v>0</v>
      </c>
      <c r="I105" s="173"/>
      <c r="J105" s="171"/>
      <c r="K105" s="149"/>
      <c r="L105" s="149"/>
      <c r="M105" s="159"/>
      <c r="N105" s="596">
        <f t="shared" si="9"/>
        <v>8</v>
      </c>
      <c r="O105" s="176"/>
      <c r="P105" s="179">
        <f>IF(A105&lt;&gt;"", Снабжения!H105 / VLOOKUP(A105, 'Курс валют'!$A:$D, 4, 0), "")</f>
        <v>0</v>
      </c>
    </row>
    <row r="106" spans="1:16" ht="20.100000000000001" customHeight="1" x14ac:dyDescent="0.45">
      <c r="A106" s="156">
        <v>46067</v>
      </c>
      <c r="B106" s="152" t="s">
        <v>256</v>
      </c>
      <c r="C106" s="149" t="s">
        <v>69</v>
      </c>
      <c r="D106" s="159" t="s">
        <v>173</v>
      </c>
      <c r="E106" s="180">
        <v>4</v>
      </c>
      <c r="F106" s="458">
        <v>3</v>
      </c>
      <c r="G106" s="164">
        <v>32500</v>
      </c>
      <c r="H106" s="169">
        <f t="shared" si="10"/>
        <v>130000</v>
      </c>
      <c r="I106" s="173"/>
      <c r="J106" s="171"/>
      <c r="K106" s="149"/>
      <c r="L106" s="149"/>
      <c r="M106" s="159"/>
      <c r="N106" s="596">
        <f t="shared" si="9"/>
        <v>1</v>
      </c>
      <c r="O106" s="176"/>
      <c r="P106" s="179">
        <f>IF(A106&lt;&gt;"", Снабжения!H106 / VLOOKUP(A106, 'Курс валют'!$A:$D, 4, 0), "")</f>
        <v>10.673234811165846</v>
      </c>
    </row>
    <row r="107" spans="1:16" ht="20.100000000000001" customHeight="1" x14ac:dyDescent="0.45">
      <c r="A107" s="156">
        <v>46067</v>
      </c>
      <c r="B107" s="151" t="s">
        <v>257</v>
      </c>
      <c r="C107" s="149" t="s">
        <v>69</v>
      </c>
      <c r="D107" s="159" t="s">
        <v>173</v>
      </c>
      <c r="E107" s="180">
        <v>4</v>
      </c>
      <c r="F107" s="458">
        <v>1</v>
      </c>
      <c r="G107" s="164">
        <v>32500</v>
      </c>
      <c r="H107" s="169">
        <f t="shared" si="10"/>
        <v>130000</v>
      </c>
      <c r="I107" s="173"/>
      <c r="J107" s="171"/>
      <c r="K107" s="149"/>
      <c r="L107" s="149"/>
      <c r="M107" s="159"/>
      <c r="N107" s="596">
        <f t="shared" si="9"/>
        <v>0</v>
      </c>
      <c r="O107" s="176"/>
      <c r="P107" s="179">
        <f>IF(A107&lt;&gt;"", Снабжения!H107 / VLOOKUP(A107, 'Курс валют'!$A:$D, 4, 0), "")</f>
        <v>10.673234811165846</v>
      </c>
    </row>
    <row r="108" spans="1:16" ht="20.100000000000001" customHeight="1" x14ac:dyDescent="0.45">
      <c r="A108" s="156">
        <v>46067</v>
      </c>
      <c r="B108" s="152" t="s">
        <v>189</v>
      </c>
      <c r="C108" s="149" t="s">
        <v>69</v>
      </c>
      <c r="D108" s="159" t="s">
        <v>220</v>
      </c>
      <c r="E108" s="180"/>
      <c r="F108" s="458">
        <v>21</v>
      </c>
      <c r="G108" s="164"/>
      <c r="H108" s="169"/>
      <c r="I108" s="173"/>
      <c r="J108" s="171"/>
      <c r="K108" s="149"/>
      <c r="L108" s="149"/>
      <c r="M108" s="159"/>
      <c r="N108" s="596">
        <f t="shared" si="9"/>
        <v>309</v>
      </c>
      <c r="O108" s="176"/>
      <c r="P108" s="179">
        <f>IF(A108&lt;&gt;"", Снабжения!H108 / VLOOKUP(A108, 'Курс валют'!$A:$D, 4, 0), "")</f>
        <v>0</v>
      </c>
    </row>
    <row r="109" spans="1:16" ht="20.100000000000001" customHeight="1" x14ac:dyDescent="0.45">
      <c r="A109" s="156">
        <v>46067</v>
      </c>
      <c r="B109" s="152" t="s">
        <v>209</v>
      </c>
      <c r="C109" s="149" t="s">
        <v>69</v>
      </c>
      <c r="D109" s="159" t="s">
        <v>220</v>
      </c>
      <c r="E109" s="180"/>
      <c r="F109" s="458">
        <v>1</v>
      </c>
      <c r="G109" s="164"/>
      <c r="H109" s="169">
        <f t="shared" si="10"/>
        <v>0</v>
      </c>
      <c r="I109" s="173"/>
      <c r="J109" s="171"/>
      <c r="K109" s="149"/>
      <c r="L109" s="149"/>
      <c r="M109" s="159"/>
      <c r="N109" s="596">
        <f t="shared" si="9"/>
        <v>128</v>
      </c>
      <c r="O109" s="176"/>
      <c r="P109" s="179">
        <f>IF(A109&lt;&gt;"", Снабжения!H109 / VLOOKUP(A109, 'Курс валют'!$A:$D, 4, 0), "")</f>
        <v>0</v>
      </c>
    </row>
    <row r="110" spans="1:16" ht="20.100000000000001" customHeight="1" x14ac:dyDescent="0.45">
      <c r="A110" s="156">
        <v>46067</v>
      </c>
      <c r="B110" s="152" t="s">
        <v>253</v>
      </c>
      <c r="C110" s="149" t="s">
        <v>69</v>
      </c>
      <c r="D110" s="159" t="s">
        <v>204</v>
      </c>
      <c r="E110" s="180"/>
      <c r="F110" s="458">
        <v>2</v>
      </c>
      <c r="G110" s="164"/>
      <c r="H110" s="169">
        <f t="shared" si="10"/>
        <v>0</v>
      </c>
      <c r="I110" s="173"/>
      <c r="J110" s="171"/>
      <c r="K110" s="149"/>
      <c r="L110" s="149"/>
      <c r="M110" s="159"/>
      <c r="N110" s="596">
        <f t="shared" si="9"/>
        <v>8</v>
      </c>
      <c r="O110" s="176"/>
      <c r="P110" s="179">
        <f>IF(A110&lt;&gt;"", Снабжения!H110 / VLOOKUP(A110, 'Курс валют'!$A:$D, 4, 0), "")</f>
        <v>0</v>
      </c>
    </row>
    <row r="111" spans="1:16" ht="20.100000000000001" customHeight="1" x14ac:dyDescent="0.45">
      <c r="A111" s="156">
        <v>46067</v>
      </c>
      <c r="B111" s="152" t="s">
        <v>219</v>
      </c>
      <c r="C111" s="149" t="s">
        <v>59</v>
      </c>
      <c r="D111" s="159" t="s">
        <v>220</v>
      </c>
      <c r="E111" s="180"/>
      <c r="F111" s="458">
        <v>2.5</v>
      </c>
      <c r="G111" s="164"/>
      <c r="H111" s="169">
        <f t="shared" si="10"/>
        <v>0</v>
      </c>
      <c r="I111" s="173"/>
      <c r="J111" s="171"/>
      <c r="K111" s="149"/>
      <c r="L111" s="149"/>
      <c r="M111" s="159"/>
      <c r="N111" s="596">
        <f t="shared" si="9"/>
        <v>41.5</v>
      </c>
      <c r="O111" s="176"/>
      <c r="P111" s="179">
        <f>IF(A111&lt;&gt;"", Снабжения!H111 / VLOOKUP(A111, 'Курс валют'!$A:$D, 4, 0), "")</f>
        <v>0</v>
      </c>
    </row>
    <row r="112" spans="1:16" ht="20.100000000000001" customHeight="1" x14ac:dyDescent="0.45">
      <c r="A112" s="156">
        <v>46067</v>
      </c>
      <c r="B112" s="152" t="s">
        <v>91</v>
      </c>
      <c r="C112" s="149" t="s">
        <v>65</v>
      </c>
      <c r="D112" s="159"/>
      <c r="E112" s="180"/>
      <c r="F112" s="458"/>
      <c r="G112" s="164"/>
      <c r="H112" s="169">
        <v>60000</v>
      </c>
      <c r="I112" s="173"/>
      <c r="J112" s="171"/>
      <c r="K112" s="149"/>
      <c r="L112" s="149"/>
      <c r="M112" s="159"/>
      <c r="N112" s="596">
        <f t="shared" si="9"/>
        <v>8</v>
      </c>
      <c r="O112" s="176"/>
      <c r="P112" s="179">
        <f>IF(A112&lt;&gt;"", Снабжения!H112 / VLOOKUP(A112, 'Курс валют'!$A:$D, 4, 0), "")</f>
        <v>4.9261083743842367</v>
      </c>
    </row>
    <row r="113" spans="1:16" ht="20.100000000000001" customHeight="1" x14ac:dyDescent="0.45">
      <c r="A113" s="156">
        <v>46067</v>
      </c>
      <c r="B113" s="152" t="s">
        <v>258</v>
      </c>
      <c r="C113" s="149" t="s">
        <v>69</v>
      </c>
      <c r="D113" s="159" t="s">
        <v>220</v>
      </c>
      <c r="E113" s="180">
        <v>10</v>
      </c>
      <c r="F113" s="458">
        <v>2</v>
      </c>
      <c r="G113" s="164">
        <v>395200</v>
      </c>
      <c r="H113" s="169">
        <f t="shared" si="10"/>
        <v>3952000</v>
      </c>
      <c r="I113" s="173"/>
      <c r="J113" s="171"/>
      <c r="K113" s="149"/>
      <c r="L113" s="149"/>
      <c r="M113" s="159"/>
      <c r="N113" s="596">
        <f t="shared" si="9"/>
        <v>4</v>
      </c>
      <c r="O113" s="176"/>
      <c r="P113" s="179">
        <f>IF(A113&lt;&gt;"", Снабжения!H113 / VLOOKUP(A113, 'Курс валют'!$A:$D, 4, 0), "")</f>
        <v>324.46633825944173</v>
      </c>
    </row>
    <row r="114" spans="1:16" ht="20.100000000000001" customHeight="1" x14ac:dyDescent="0.45">
      <c r="A114" s="156">
        <v>46067</v>
      </c>
      <c r="B114" s="152" t="s">
        <v>250</v>
      </c>
      <c r="C114" s="149" t="s">
        <v>85</v>
      </c>
      <c r="D114" s="159" t="s">
        <v>204</v>
      </c>
      <c r="E114" s="180"/>
      <c r="F114" s="458">
        <v>50</v>
      </c>
      <c r="G114" s="164"/>
      <c r="H114" s="169">
        <f t="shared" si="10"/>
        <v>0</v>
      </c>
      <c r="I114" s="173"/>
      <c r="J114" s="171"/>
      <c r="K114" s="149"/>
      <c r="L114" s="149"/>
      <c r="M114" s="159"/>
      <c r="N114" s="596">
        <f t="shared" si="9"/>
        <v>0</v>
      </c>
      <c r="O114" s="176"/>
      <c r="P114" s="179">
        <f>IF(A114&lt;&gt;"", Снабжения!H114 / VLOOKUP(A114, 'Курс валют'!$A:$D, 4, 0), "")</f>
        <v>0</v>
      </c>
    </row>
    <row r="115" spans="1:16" ht="20.100000000000001" customHeight="1" x14ac:dyDescent="0.45">
      <c r="A115" s="156">
        <v>46067</v>
      </c>
      <c r="B115" s="152" t="s">
        <v>221</v>
      </c>
      <c r="C115" s="149" t="s">
        <v>69</v>
      </c>
      <c r="D115" s="159" t="s">
        <v>220</v>
      </c>
      <c r="E115" s="180"/>
      <c r="F115" s="458">
        <v>10</v>
      </c>
      <c r="G115" s="164"/>
      <c r="H115" s="169">
        <f t="shared" si="10"/>
        <v>0</v>
      </c>
      <c r="I115" s="173"/>
      <c r="J115" s="171"/>
      <c r="K115" s="149"/>
      <c r="L115" s="149"/>
      <c r="M115" s="159"/>
      <c r="N115" s="596">
        <f t="shared" si="9"/>
        <v>87</v>
      </c>
      <c r="O115" s="176"/>
      <c r="P115" s="179">
        <f>IF(A115&lt;&gt;"", Снабжения!H115 / VLOOKUP(A115, 'Курс валют'!$A:$D, 4, 0), "")</f>
        <v>0</v>
      </c>
    </row>
    <row r="116" spans="1:16" ht="20.100000000000001" customHeight="1" x14ac:dyDescent="0.45">
      <c r="A116" s="156">
        <v>46068</v>
      </c>
      <c r="B116" s="152" t="s">
        <v>222</v>
      </c>
      <c r="C116" s="149" t="s">
        <v>69</v>
      </c>
      <c r="D116" s="159" t="s">
        <v>220</v>
      </c>
      <c r="E116" s="180"/>
      <c r="F116" s="458">
        <v>10</v>
      </c>
      <c r="G116" s="164"/>
      <c r="H116" s="169"/>
      <c r="I116" s="173"/>
      <c r="J116" s="171"/>
      <c r="K116" s="149"/>
      <c r="L116" s="149"/>
      <c r="M116" s="159"/>
      <c r="N116" s="596">
        <f t="shared" si="9"/>
        <v>42</v>
      </c>
      <c r="O116" s="176"/>
      <c r="P116" s="179">
        <f>IF(A116&lt;&gt;"", Снабжения!H116 / VLOOKUP(A116, 'Курс валют'!$A:$D, 4, 0), "")</f>
        <v>0</v>
      </c>
    </row>
    <row r="117" spans="1:16" ht="20.100000000000001" customHeight="1" x14ac:dyDescent="0.45">
      <c r="A117" s="156">
        <v>46068</v>
      </c>
      <c r="B117" s="152" t="s">
        <v>189</v>
      </c>
      <c r="C117" s="149" t="s">
        <v>69</v>
      </c>
      <c r="D117" s="159" t="s">
        <v>220</v>
      </c>
      <c r="E117" s="180"/>
      <c r="F117" s="458">
        <v>5</v>
      </c>
      <c r="G117" s="164"/>
      <c r="H117" s="169">
        <f t="shared" si="10"/>
        <v>0</v>
      </c>
      <c r="I117" s="173"/>
      <c r="J117" s="171"/>
      <c r="K117" s="149"/>
      <c r="L117" s="149"/>
      <c r="M117" s="159"/>
      <c r="N117" s="596">
        <f t="shared" si="9"/>
        <v>309</v>
      </c>
      <c r="O117" s="176"/>
      <c r="P117" s="179">
        <f>IF(A117&lt;&gt;"", Снабжения!H117 / VLOOKUP(A117, 'Курс валют'!$A:$D, 4, 0), "")</f>
        <v>0</v>
      </c>
    </row>
    <row r="118" spans="1:16" ht="20.100000000000001" customHeight="1" x14ac:dyDescent="0.45">
      <c r="A118" s="156">
        <v>46069</v>
      </c>
      <c r="B118" s="151" t="s">
        <v>188</v>
      </c>
      <c r="C118" s="149" t="s">
        <v>59</v>
      </c>
      <c r="D118" s="159" t="s">
        <v>187</v>
      </c>
      <c r="E118" s="180"/>
      <c r="F118" s="458">
        <v>1</v>
      </c>
      <c r="G118" s="164"/>
      <c r="H118" s="169">
        <f t="shared" si="10"/>
        <v>0</v>
      </c>
      <c r="I118" s="173"/>
      <c r="J118" s="171"/>
      <c r="K118" s="149"/>
      <c r="L118" s="149"/>
      <c r="M118" s="159"/>
      <c r="N118" s="596">
        <f t="shared" si="9"/>
        <v>20</v>
      </c>
      <c r="O118" s="176"/>
      <c r="P118" s="179">
        <f>IF(A118&lt;&gt;"", Снабжения!H118 / VLOOKUP(A118, 'Курс валют'!$A:$D, 4, 0), "")</f>
        <v>0</v>
      </c>
    </row>
    <row r="119" spans="1:16" ht="20.100000000000001" customHeight="1" x14ac:dyDescent="0.45">
      <c r="A119" s="156">
        <v>46069</v>
      </c>
      <c r="B119" s="152" t="s">
        <v>190</v>
      </c>
      <c r="C119" s="149" t="s">
        <v>59</v>
      </c>
      <c r="D119" s="159" t="s">
        <v>187</v>
      </c>
      <c r="E119" s="180"/>
      <c r="F119" s="458">
        <v>0.5</v>
      </c>
      <c r="G119" s="164"/>
      <c r="H119" s="169">
        <f t="shared" si="10"/>
        <v>0</v>
      </c>
      <c r="I119" s="173"/>
      <c r="J119" s="171"/>
      <c r="K119" s="149"/>
      <c r="L119" s="149"/>
      <c r="M119" s="159"/>
      <c r="N119" s="596">
        <f t="shared" ref="N119:N150" si="11">SUMIF(B:B,B119,E:E)-SUMIF(B:B,B119,F:F)</f>
        <v>80</v>
      </c>
      <c r="O119" s="176"/>
      <c r="P119" s="179">
        <f>IF(A119&lt;&gt;"", Снабжения!H119 / VLOOKUP(A119, 'Курс валют'!$A:$D, 4, 0), "")</f>
        <v>0</v>
      </c>
    </row>
    <row r="120" spans="1:16" ht="20.100000000000001" customHeight="1" x14ac:dyDescent="0.45">
      <c r="A120" s="156">
        <v>46069</v>
      </c>
      <c r="B120" s="152" t="s">
        <v>191</v>
      </c>
      <c r="C120" s="149" t="s">
        <v>69</v>
      </c>
      <c r="D120" s="159" t="s">
        <v>220</v>
      </c>
      <c r="E120" s="180"/>
      <c r="F120" s="458">
        <v>1</v>
      </c>
      <c r="G120" s="164"/>
      <c r="H120" s="169">
        <f t="shared" si="10"/>
        <v>0</v>
      </c>
      <c r="I120" s="173"/>
      <c r="J120" s="171"/>
      <c r="K120" s="149"/>
      <c r="L120" s="149"/>
      <c r="M120" s="159"/>
      <c r="N120" s="596">
        <f t="shared" si="11"/>
        <v>2</v>
      </c>
      <c r="O120" s="176"/>
      <c r="P120" s="179">
        <f>IF(A120&lt;&gt;"", Снабжения!H120 / VLOOKUP(A120, 'Курс валют'!$A:$D, 4, 0), "")</f>
        <v>0</v>
      </c>
    </row>
    <row r="121" spans="1:16" ht="20.100000000000001" customHeight="1" x14ac:dyDescent="0.45">
      <c r="A121" s="156">
        <v>46069</v>
      </c>
      <c r="B121" s="152" t="s">
        <v>219</v>
      </c>
      <c r="C121" s="149" t="s">
        <v>59</v>
      </c>
      <c r="D121" s="159" t="s">
        <v>220</v>
      </c>
      <c r="E121" s="180">
        <v>50</v>
      </c>
      <c r="F121" s="458"/>
      <c r="G121" s="164">
        <v>35125.199999999997</v>
      </c>
      <c r="H121" s="169">
        <f>G121*E121</f>
        <v>1756259.9999999998</v>
      </c>
      <c r="I121" s="173"/>
      <c r="J121" s="171"/>
      <c r="K121" s="149"/>
      <c r="L121" s="149"/>
      <c r="M121" s="159"/>
      <c r="N121" s="596">
        <f t="shared" si="11"/>
        <v>41.5</v>
      </c>
      <c r="O121" s="176"/>
      <c r="P121" s="179">
        <f>IF(A121&lt;&gt;"", Снабжения!H121 / VLOOKUP(A121, 'Курс валют'!$A:$D, 4, 0), "")</f>
        <v>144.54814814814813</v>
      </c>
    </row>
    <row r="122" spans="1:16" ht="20.100000000000001" customHeight="1" x14ac:dyDescent="0.45">
      <c r="A122" s="156">
        <v>46069</v>
      </c>
      <c r="B122" s="152" t="s">
        <v>91</v>
      </c>
      <c r="C122" s="149" t="s">
        <v>65</v>
      </c>
      <c r="D122" s="159"/>
      <c r="E122" s="180"/>
      <c r="F122" s="458"/>
      <c r="G122" s="164"/>
      <c r="H122" s="169">
        <v>100000</v>
      </c>
      <c r="I122" s="173"/>
      <c r="J122" s="171"/>
      <c r="K122" s="149"/>
      <c r="L122" s="149"/>
      <c r="M122" s="159"/>
      <c r="N122" s="596">
        <f t="shared" si="11"/>
        <v>8</v>
      </c>
      <c r="O122" s="176"/>
      <c r="P122" s="179">
        <f>IF(A122&lt;&gt;"", Снабжения!H122 / VLOOKUP(A122, 'Курс валют'!$A:$D, 4, 0), "")</f>
        <v>8.2304526748971192</v>
      </c>
    </row>
    <row r="123" spans="1:16" ht="20.100000000000001" customHeight="1" x14ac:dyDescent="0.45">
      <c r="A123" s="156">
        <v>46069</v>
      </c>
      <c r="B123" s="152" t="s">
        <v>189</v>
      </c>
      <c r="C123" s="149" t="s">
        <v>69</v>
      </c>
      <c r="D123" s="159" t="s">
        <v>220</v>
      </c>
      <c r="E123" s="180"/>
      <c r="F123" s="458">
        <v>22</v>
      </c>
      <c r="G123" s="164"/>
      <c r="H123" s="169">
        <f t="shared" si="10"/>
        <v>0</v>
      </c>
      <c r="I123" s="173"/>
      <c r="J123" s="171"/>
      <c r="K123" s="149"/>
      <c r="L123" s="149"/>
      <c r="M123" s="159"/>
      <c r="N123" s="596">
        <f t="shared" si="11"/>
        <v>309</v>
      </c>
      <c r="O123" s="176"/>
      <c r="P123" s="179">
        <f>IF(A123&lt;&gt;"", Снабжения!H123 / VLOOKUP(A123, 'Курс валют'!$A:$D, 4, 0), "")</f>
        <v>0</v>
      </c>
    </row>
    <row r="124" spans="1:16" ht="20.100000000000001" customHeight="1" x14ac:dyDescent="0.45">
      <c r="A124" s="156">
        <v>46070</v>
      </c>
      <c r="B124" s="152" t="s">
        <v>219</v>
      </c>
      <c r="C124" s="149" t="s">
        <v>59</v>
      </c>
      <c r="D124" s="159" t="s">
        <v>220</v>
      </c>
      <c r="E124" s="180"/>
      <c r="F124" s="458">
        <v>2.5</v>
      </c>
      <c r="G124" s="164"/>
      <c r="H124" s="169"/>
      <c r="I124" s="173"/>
      <c r="J124" s="171"/>
      <c r="K124" s="149"/>
      <c r="L124" s="149"/>
      <c r="M124" s="159"/>
      <c r="N124" s="596">
        <f t="shared" si="11"/>
        <v>41.5</v>
      </c>
      <c r="O124" s="176"/>
      <c r="P124" s="179">
        <f>IF(A124&lt;&gt;"", Снабжения!H124 / VLOOKUP(A124, 'Курс валют'!$A:$D, 4, 0), "")</f>
        <v>0</v>
      </c>
    </row>
    <row r="125" spans="1:16" ht="20.100000000000001" customHeight="1" x14ac:dyDescent="0.45">
      <c r="A125" s="156">
        <v>46070</v>
      </c>
      <c r="B125" s="152" t="s">
        <v>228</v>
      </c>
      <c r="C125" s="149" t="s">
        <v>217</v>
      </c>
      <c r="D125" s="159" t="s">
        <v>187</v>
      </c>
      <c r="E125" s="180"/>
      <c r="F125" s="458"/>
      <c r="G125" s="164"/>
      <c r="H125" s="169">
        <f t="shared" si="10"/>
        <v>0</v>
      </c>
      <c r="I125" s="173"/>
      <c r="J125" s="171"/>
      <c r="K125" s="149"/>
      <c r="L125" s="149"/>
      <c r="M125" s="159"/>
      <c r="N125" s="596">
        <f t="shared" si="11"/>
        <v>125</v>
      </c>
      <c r="O125" s="176"/>
      <c r="P125" s="179">
        <f>IF(A125&lt;&gt;"", Снабжения!H125 / VLOOKUP(A125, 'Курс валют'!$A:$D, 4, 0), "")</f>
        <v>0</v>
      </c>
    </row>
    <row r="126" spans="1:16" ht="20.100000000000001" customHeight="1" x14ac:dyDescent="0.45">
      <c r="A126" s="156">
        <v>46070</v>
      </c>
      <c r="B126" s="152" t="s">
        <v>210</v>
      </c>
      <c r="C126" s="149" t="s">
        <v>69</v>
      </c>
      <c r="D126" s="159" t="s">
        <v>220</v>
      </c>
      <c r="E126" s="180"/>
      <c r="F126" s="458">
        <v>100</v>
      </c>
      <c r="G126" s="164"/>
      <c r="H126" s="169">
        <f t="shared" si="10"/>
        <v>0</v>
      </c>
      <c r="I126" s="173"/>
      <c r="J126" s="171"/>
      <c r="K126" s="149"/>
      <c r="L126" s="149"/>
      <c r="M126" s="159"/>
      <c r="N126" s="596">
        <f t="shared" si="11"/>
        <v>405</v>
      </c>
      <c r="O126" s="176"/>
      <c r="P126" s="179">
        <f>IF(A126&lt;&gt;"", Снабжения!H126 / VLOOKUP(A126, 'Курс валют'!$A:$D, 4, 0), "")</f>
        <v>0</v>
      </c>
    </row>
    <row r="127" spans="1:16" ht="20.100000000000001" customHeight="1" x14ac:dyDescent="0.45">
      <c r="A127" s="156">
        <v>46070</v>
      </c>
      <c r="B127" s="152" t="s">
        <v>209</v>
      </c>
      <c r="C127" s="149" t="s">
        <v>69</v>
      </c>
      <c r="D127" s="159" t="s">
        <v>220</v>
      </c>
      <c r="E127" s="180"/>
      <c r="F127" s="458">
        <v>5</v>
      </c>
      <c r="G127" s="164"/>
      <c r="H127" s="169">
        <f t="shared" si="10"/>
        <v>0</v>
      </c>
      <c r="I127" s="173"/>
      <c r="J127" s="171"/>
      <c r="K127" s="149"/>
      <c r="L127" s="149"/>
      <c r="M127" s="159"/>
      <c r="N127" s="596">
        <f t="shared" si="11"/>
        <v>128</v>
      </c>
      <c r="O127" s="176"/>
      <c r="P127" s="179">
        <f>IF(A127&lt;&gt;"", Снабжения!H127 / VLOOKUP(A127, 'Курс валют'!$A:$D, 4, 0), "")</f>
        <v>0</v>
      </c>
    </row>
    <row r="128" spans="1:16" ht="20.100000000000001" customHeight="1" x14ac:dyDescent="0.45">
      <c r="A128" s="156">
        <v>46070</v>
      </c>
      <c r="B128" s="152" t="s">
        <v>253</v>
      </c>
      <c r="C128" s="149" t="s">
        <v>69</v>
      </c>
      <c r="D128" s="159" t="s">
        <v>204</v>
      </c>
      <c r="E128" s="180"/>
      <c r="F128" s="458">
        <v>1</v>
      </c>
      <c r="G128" s="164"/>
      <c r="H128" s="169">
        <f t="shared" si="10"/>
        <v>0</v>
      </c>
      <c r="I128" s="173"/>
      <c r="J128" s="171"/>
      <c r="K128" s="149"/>
      <c r="L128" s="149"/>
      <c r="M128" s="159"/>
      <c r="N128" s="596">
        <f t="shared" si="11"/>
        <v>8</v>
      </c>
      <c r="O128" s="176"/>
      <c r="P128" s="179">
        <f>IF(A128&lt;&gt;"", Снабжения!H128 / VLOOKUP(A128, 'Курс валют'!$A:$D, 4, 0), "")</f>
        <v>0</v>
      </c>
    </row>
    <row r="129" spans="1:16" ht="20.100000000000001" customHeight="1" x14ac:dyDescent="0.45">
      <c r="A129" s="156">
        <v>46070</v>
      </c>
      <c r="B129" s="151" t="s">
        <v>205</v>
      </c>
      <c r="C129" s="149" t="s">
        <v>69</v>
      </c>
      <c r="D129" s="159" t="s">
        <v>204</v>
      </c>
      <c r="E129" s="180"/>
      <c r="F129" s="458">
        <v>1</v>
      </c>
      <c r="G129" s="164"/>
      <c r="H129" s="169">
        <f t="shared" si="10"/>
        <v>0</v>
      </c>
      <c r="I129" s="173"/>
      <c r="J129" s="171"/>
      <c r="K129" s="149"/>
      <c r="L129" s="149"/>
      <c r="M129" s="159"/>
      <c r="N129" s="596">
        <f t="shared" si="11"/>
        <v>8</v>
      </c>
      <c r="O129" s="176"/>
      <c r="P129" s="179">
        <f>IF(A129&lt;&gt;"", Снабжения!H129 / VLOOKUP(A129, 'Курс валют'!$A:$D, 4, 0), "")</f>
        <v>0</v>
      </c>
    </row>
    <row r="130" spans="1:16" ht="20.100000000000001" customHeight="1" x14ac:dyDescent="0.45">
      <c r="A130" s="156">
        <v>46070</v>
      </c>
      <c r="B130" s="152" t="s">
        <v>219</v>
      </c>
      <c r="C130" s="149" t="s">
        <v>59</v>
      </c>
      <c r="D130" s="159" t="s">
        <v>220</v>
      </c>
      <c r="E130" s="180"/>
      <c r="F130" s="458">
        <v>2.5</v>
      </c>
      <c r="G130" s="164"/>
      <c r="H130" s="169">
        <f t="shared" si="10"/>
        <v>0</v>
      </c>
      <c r="I130" s="173"/>
      <c r="J130" s="171"/>
      <c r="K130" s="149"/>
      <c r="L130" s="149"/>
      <c r="M130" s="159"/>
      <c r="N130" s="596">
        <f t="shared" si="11"/>
        <v>41.5</v>
      </c>
      <c r="O130" s="176"/>
      <c r="P130" s="179">
        <f>IF(A130&lt;&gt;"", Снабжения!H130 / VLOOKUP(A130, 'Курс валют'!$A:$D, 4, 0), "")</f>
        <v>0</v>
      </c>
    </row>
    <row r="131" spans="1:16" ht="20.100000000000001" customHeight="1" x14ac:dyDescent="0.45">
      <c r="A131" s="156">
        <v>46070</v>
      </c>
      <c r="B131" s="152" t="s">
        <v>191</v>
      </c>
      <c r="C131" s="149" t="s">
        <v>69</v>
      </c>
      <c r="D131" s="159" t="s">
        <v>220</v>
      </c>
      <c r="E131" s="180"/>
      <c r="F131" s="458">
        <v>1</v>
      </c>
      <c r="G131" s="164"/>
      <c r="H131" s="169">
        <f t="shared" si="10"/>
        <v>0</v>
      </c>
      <c r="I131" s="173"/>
      <c r="J131" s="171"/>
      <c r="K131" s="149"/>
      <c r="L131" s="149"/>
      <c r="M131" s="159"/>
      <c r="N131" s="596">
        <f t="shared" si="11"/>
        <v>2</v>
      </c>
      <c r="O131" s="176"/>
      <c r="P131" s="179">
        <f>IF(A131&lt;&gt;"", Снабжения!H131 / VLOOKUP(A131, 'Курс валют'!$A:$D, 4, 0), "")</f>
        <v>0</v>
      </c>
    </row>
    <row r="132" spans="1:16" ht="20.100000000000001" customHeight="1" x14ac:dyDescent="0.45">
      <c r="A132" s="156">
        <v>46070</v>
      </c>
      <c r="B132" s="152" t="s">
        <v>259</v>
      </c>
      <c r="C132" s="149" t="s">
        <v>97</v>
      </c>
      <c r="D132" s="159" t="s">
        <v>220</v>
      </c>
      <c r="E132" s="180">
        <v>400</v>
      </c>
      <c r="F132" s="458"/>
      <c r="G132" s="164">
        <v>12500</v>
      </c>
      <c r="H132" s="169">
        <f t="shared" si="10"/>
        <v>5000000</v>
      </c>
      <c r="I132" s="173"/>
      <c r="J132" s="171"/>
      <c r="K132" s="149"/>
      <c r="L132" s="149"/>
      <c r="M132" s="159"/>
      <c r="N132" s="596">
        <f t="shared" si="11"/>
        <v>40</v>
      </c>
      <c r="O132" s="176"/>
      <c r="P132" s="179">
        <f>IF(A132&lt;&gt;"", Снабжения!H132 / VLOOKUP(A132, 'Курс валют'!$A:$D, 4, 0), "")</f>
        <v>411.52263374485597</v>
      </c>
    </row>
    <row r="133" spans="1:16" ht="20.100000000000001" customHeight="1" x14ac:dyDescent="0.45">
      <c r="A133" s="156">
        <v>46070</v>
      </c>
      <c r="B133" s="152" t="s">
        <v>91</v>
      </c>
      <c r="C133" s="149" t="s">
        <v>65</v>
      </c>
      <c r="D133" s="159"/>
      <c r="E133" s="180"/>
      <c r="F133" s="458"/>
      <c r="G133" s="164"/>
      <c r="H133" s="169">
        <v>100000</v>
      </c>
      <c r="I133" s="173"/>
      <c r="J133" s="171"/>
      <c r="K133" s="149"/>
      <c r="L133" s="149"/>
      <c r="M133" s="159"/>
      <c r="N133" s="596">
        <f t="shared" si="11"/>
        <v>8</v>
      </c>
      <c r="O133" s="176"/>
      <c r="P133" s="179">
        <f>IF(A133&lt;&gt;"", Снабжения!H133 / VLOOKUP(A133, 'Курс валют'!$A:$D, 4, 0), "")</f>
        <v>8.2304526748971192</v>
      </c>
    </row>
    <row r="134" spans="1:16" ht="20.100000000000001" customHeight="1" x14ac:dyDescent="0.45">
      <c r="A134" s="156">
        <v>46071</v>
      </c>
      <c r="B134" s="152" t="s">
        <v>254</v>
      </c>
      <c r="C134" s="149"/>
      <c r="D134" s="159" t="s">
        <v>260</v>
      </c>
      <c r="E134" s="180"/>
      <c r="F134" s="458">
        <v>3</v>
      </c>
      <c r="G134" s="164"/>
      <c r="H134" s="169">
        <f t="shared" si="10"/>
        <v>0</v>
      </c>
      <c r="I134" s="173"/>
      <c r="J134" s="171"/>
      <c r="K134" s="149"/>
      <c r="L134" s="149"/>
      <c r="M134" s="159"/>
      <c r="N134" s="596">
        <f t="shared" si="11"/>
        <v>33</v>
      </c>
      <c r="O134" s="176"/>
      <c r="P134" s="179">
        <f>IF(A134&lt;&gt;"", Снабжения!H134 / VLOOKUP(A134, 'Курс валют'!$A:$D, 4, 0), "")</f>
        <v>0</v>
      </c>
    </row>
    <row r="135" spans="1:16" ht="20.100000000000001" customHeight="1" x14ac:dyDescent="0.45">
      <c r="A135" s="156">
        <v>46071</v>
      </c>
      <c r="B135" s="152" t="s">
        <v>228</v>
      </c>
      <c r="C135" s="149"/>
      <c r="D135" s="159" t="s">
        <v>187</v>
      </c>
      <c r="E135" s="180"/>
      <c r="F135" s="458">
        <v>3</v>
      </c>
      <c r="G135" s="164"/>
      <c r="H135" s="169">
        <f t="shared" si="10"/>
        <v>0</v>
      </c>
      <c r="I135" s="173"/>
      <c r="J135" s="171"/>
      <c r="K135" s="149"/>
      <c r="L135" s="149"/>
      <c r="M135" s="159"/>
      <c r="N135" s="596">
        <f t="shared" si="11"/>
        <v>125</v>
      </c>
      <c r="O135" s="176"/>
      <c r="P135" s="179">
        <f>IF(A135&lt;&gt;"", Снабжения!H135 / VLOOKUP(A135, 'Курс валют'!$A:$D, 4, 0), "")</f>
        <v>0</v>
      </c>
    </row>
    <row r="136" spans="1:16" ht="20.100000000000001" customHeight="1" x14ac:dyDescent="0.45">
      <c r="A136" s="156">
        <v>46071</v>
      </c>
      <c r="B136" s="152" t="s">
        <v>253</v>
      </c>
      <c r="C136" s="149" t="s">
        <v>69</v>
      </c>
      <c r="D136" s="159" t="s">
        <v>204</v>
      </c>
      <c r="E136" s="180"/>
      <c r="F136" s="458">
        <v>1</v>
      </c>
      <c r="G136" s="164"/>
      <c r="H136" s="169">
        <f t="shared" si="10"/>
        <v>0</v>
      </c>
      <c r="I136" s="173"/>
      <c r="J136" s="171"/>
      <c r="K136" s="149"/>
      <c r="L136" s="149"/>
      <c r="M136" s="159"/>
      <c r="N136" s="596">
        <f t="shared" si="11"/>
        <v>8</v>
      </c>
      <c r="O136" s="176"/>
      <c r="P136" s="179">
        <f>IF(A136&lt;&gt;"", Снабжения!H136 / VLOOKUP(A136, 'Курс валют'!$A:$D, 4, 0), "")</f>
        <v>0</v>
      </c>
    </row>
    <row r="137" spans="1:16" ht="20.100000000000001" customHeight="1" x14ac:dyDescent="0.45">
      <c r="A137" s="156">
        <v>46072</v>
      </c>
      <c r="B137" s="152" t="s">
        <v>209</v>
      </c>
      <c r="C137" s="149" t="s">
        <v>69</v>
      </c>
      <c r="D137" s="159" t="s">
        <v>220</v>
      </c>
      <c r="E137" s="180"/>
      <c r="F137" s="458">
        <v>1</v>
      </c>
      <c r="G137" s="164"/>
      <c r="H137" s="169">
        <f t="shared" si="10"/>
        <v>0</v>
      </c>
      <c r="I137" s="173"/>
      <c r="J137" s="171"/>
      <c r="K137" s="149"/>
      <c r="L137" s="149"/>
      <c r="M137" s="159"/>
      <c r="N137" s="596">
        <f t="shared" si="11"/>
        <v>128</v>
      </c>
      <c r="O137" s="176"/>
      <c r="P137" s="179">
        <f>IF(A137&lt;&gt;"", Снабжения!H137 / VLOOKUP(A137, 'Курс валют'!$A:$D, 4, 0), "")</f>
        <v>0</v>
      </c>
    </row>
    <row r="138" spans="1:16" ht="20.100000000000001" customHeight="1" x14ac:dyDescent="0.45">
      <c r="A138" s="156">
        <v>46072</v>
      </c>
      <c r="B138" s="152" t="s">
        <v>189</v>
      </c>
      <c r="C138" s="149" t="s">
        <v>69</v>
      </c>
      <c r="D138" s="159" t="s">
        <v>220</v>
      </c>
      <c r="E138" s="180"/>
      <c r="F138" s="458">
        <v>26</v>
      </c>
      <c r="G138" s="164"/>
      <c r="H138" s="169">
        <f t="shared" si="10"/>
        <v>0</v>
      </c>
      <c r="I138" s="173"/>
      <c r="J138" s="171"/>
      <c r="K138" s="149"/>
      <c r="L138" s="149"/>
      <c r="M138" s="159"/>
      <c r="N138" s="596">
        <f t="shared" si="11"/>
        <v>309</v>
      </c>
      <c r="O138" s="176"/>
      <c r="P138" s="179">
        <f>IF(A138&lt;&gt;"", Снабжения!H138 / VLOOKUP(A138, 'Курс валют'!$A:$D, 4, 0), "")</f>
        <v>0</v>
      </c>
    </row>
    <row r="139" spans="1:16" ht="20.100000000000001" customHeight="1" x14ac:dyDescent="0.45">
      <c r="A139" s="156">
        <v>46072</v>
      </c>
      <c r="B139" s="152" t="s">
        <v>228</v>
      </c>
      <c r="C139" s="149" t="s">
        <v>217</v>
      </c>
      <c r="D139" s="159" t="s">
        <v>187</v>
      </c>
      <c r="E139" s="180"/>
      <c r="F139" s="458">
        <v>3</v>
      </c>
      <c r="G139" s="164"/>
      <c r="H139" s="169">
        <f t="shared" si="10"/>
        <v>0</v>
      </c>
      <c r="I139" s="173"/>
      <c r="J139" s="171"/>
      <c r="K139" s="149"/>
      <c r="L139" s="149"/>
      <c r="M139" s="159"/>
      <c r="N139" s="596">
        <f t="shared" si="11"/>
        <v>125</v>
      </c>
      <c r="O139" s="176"/>
      <c r="P139" s="179">
        <f>IF(A139&lt;&gt;"", Снабжения!H139 / VLOOKUP(A139, 'Курс валют'!$A:$D, 4, 0), "")</f>
        <v>0</v>
      </c>
    </row>
    <row r="140" spans="1:16" ht="20.100000000000001" customHeight="1" x14ac:dyDescent="0.45">
      <c r="A140" s="156">
        <v>46072</v>
      </c>
      <c r="B140" s="151" t="s">
        <v>178</v>
      </c>
      <c r="C140" s="149" t="s">
        <v>69</v>
      </c>
      <c r="D140" s="159" t="s">
        <v>177</v>
      </c>
      <c r="E140" s="180"/>
      <c r="F140" s="458">
        <v>2</v>
      </c>
      <c r="G140" s="164"/>
      <c r="H140" s="169">
        <f t="shared" si="10"/>
        <v>0</v>
      </c>
      <c r="I140" s="173"/>
      <c r="J140" s="171"/>
      <c r="K140" s="149"/>
      <c r="L140" s="149"/>
      <c r="M140" s="159"/>
      <c r="N140" s="596">
        <f t="shared" si="11"/>
        <v>5</v>
      </c>
      <c r="O140" s="176"/>
      <c r="P140" s="179">
        <f>IF(A140&lt;&gt;"", Снабжения!H140 / VLOOKUP(A140, 'Курс валют'!$A:$D, 4, 0), "")</f>
        <v>0</v>
      </c>
    </row>
    <row r="141" spans="1:16" ht="20.100000000000001" customHeight="1" x14ac:dyDescent="0.45">
      <c r="A141" s="156">
        <v>46072</v>
      </c>
      <c r="B141" s="152" t="s">
        <v>261</v>
      </c>
      <c r="C141" s="149" t="s">
        <v>69</v>
      </c>
      <c r="D141" s="159" t="s">
        <v>177</v>
      </c>
      <c r="E141" s="180">
        <v>2</v>
      </c>
      <c r="F141" s="458">
        <v>2</v>
      </c>
      <c r="G141" s="164">
        <v>30000</v>
      </c>
      <c r="H141" s="169">
        <f t="shared" si="10"/>
        <v>60000</v>
      </c>
      <c r="I141" s="173"/>
      <c r="J141" s="171"/>
      <c r="K141" s="149"/>
      <c r="L141" s="149"/>
      <c r="M141" s="159"/>
      <c r="N141" s="596">
        <f t="shared" si="11"/>
        <v>0</v>
      </c>
      <c r="O141" s="176"/>
      <c r="P141" s="179">
        <f>IF(A141&lt;&gt;"", Снабжения!H141 / VLOOKUP(A141, 'Курс валют'!$A:$D, 4, 0), "")</f>
        <v>5</v>
      </c>
    </row>
    <row r="142" spans="1:16" ht="20.100000000000001" customHeight="1" x14ac:dyDescent="0.45">
      <c r="A142" s="156">
        <v>46072</v>
      </c>
      <c r="B142" s="152" t="s">
        <v>228</v>
      </c>
      <c r="C142" s="149" t="s">
        <v>59</v>
      </c>
      <c r="D142" s="159" t="s">
        <v>187</v>
      </c>
      <c r="E142" s="180">
        <v>2000</v>
      </c>
      <c r="F142" s="458"/>
      <c r="G142" s="164">
        <f>10126</f>
        <v>10126</v>
      </c>
      <c r="H142" s="169">
        <f t="shared" si="10"/>
        <v>20252000</v>
      </c>
      <c r="I142" s="173"/>
      <c r="J142" s="171"/>
      <c r="K142" s="149"/>
      <c r="L142" s="149"/>
      <c r="M142" s="159"/>
      <c r="N142" s="596">
        <f t="shared" si="11"/>
        <v>125</v>
      </c>
      <c r="O142" s="176"/>
      <c r="P142" s="179">
        <f>IF(A142&lt;&gt;"", Снабжения!H142 / VLOOKUP(A142, 'Курс валют'!$A:$D, 4, 0), "")</f>
        <v>1687.6666666666667</v>
      </c>
    </row>
    <row r="143" spans="1:16" ht="20.100000000000001" customHeight="1" x14ac:dyDescent="0.45">
      <c r="A143" s="156">
        <v>46072</v>
      </c>
      <c r="B143" s="152" t="s">
        <v>91</v>
      </c>
      <c r="C143" s="149" t="s">
        <v>65</v>
      </c>
      <c r="D143" s="159"/>
      <c r="E143" s="180"/>
      <c r="F143" s="458"/>
      <c r="G143" s="164"/>
      <c r="H143" s="169">
        <v>150000</v>
      </c>
      <c r="I143" s="173"/>
      <c r="J143" s="171"/>
      <c r="K143" s="149"/>
      <c r="L143" s="149"/>
      <c r="M143" s="159"/>
      <c r="N143" s="596">
        <f t="shared" si="11"/>
        <v>8</v>
      </c>
      <c r="O143" s="176"/>
      <c r="P143" s="179">
        <f>IF(A143&lt;&gt;"", Снабжения!H143 / VLOOKUP(A143, 'Курс валют'!$A:$D, 4, 0), "")</f>
        <v>12.5</v>
      </c>
    </row>
    <row r="144" spans="1:16" ht="20.100000000000001" customHeight="1" x14ac:dyDescent="0.45">
      <c r="A144" s="156">
        <v>46073</v>
      </c>
      <c r="B144" s="152" t="s">
        <v>196</v>
      </c>
      <c r="C144" s="149" t="s">
        <v>69</v>
      </c>
      <c r="D144" s="159" t="s">
        <v>193</v>
      </c>
      <c r="E144" s="180">
        <v>4</v>
      </c>
      <c r="F144" s="458"/>
      <c r="G144" s="164">
        <v>457500</v>
      </c>
      <c r="H144" s="169">
        <f t="shared" si="10"/>
        <v>1830000</v>
      </c>
      <c r="I144" s="173"/>
      <c r="J144" s="171"/>
      <c r="K144" s="149"/>
      <c r="L144" s="149"/>
      <c r="M144" s="159"/>
      <c r="N144" s="596">
        <f t="shared" si="11"/>
        <v>1</v>
      </c>
      <c r="O144" s="176"/>
      <c r="P144" s="179">
        <f>IF(A144&lt;&gt;"", Снабжения!H144 / VLOOKUP(A144, 'Курс валют'!$A:$D, 4, 0), "")</f>
        <v>152.5</v>
      </c>
    </row>
    <row r="145" spans="1:16" ht="20.100000000000001" customHeight="1" x14ac:dyDescent="0.45">
      <c r="A145" s="156">
        <v>46073</v>
      </c>
      <c r="B145" s="152" t="s">
        <v>262</v>
      </c>
      <c r="C145" s="149" t="s">
        <v>69</v>
      </c>
      <c r="D145" s="159" t="s">
        <v>193</v>
      </c>
      <c r="E145" s="180">
        <v>2</v>
      </c>
      <c r="F145" s="458"/>
      <c r="G145" s="164">
        <v>549000</v>
      </c>
      <c r="H145" s="169">
        <f t="shared" si="10"/>
        <v>1098000</v>
      </c>
      <c r="I145" s="173"/>
      <c r="J145" s="171"/>
      <c r="K145" s="149"/>
      <c r="L145" s="149"/>
      <c r="M145" s="159"/>
      <c r="N145" s="596">
        <f t="shared" si="11"/>
        <v>2</v>
      </c>
      <c r="O145" s="176"/>
      <c r="P145" s="179">
        <f>IF(A145&lt;&gt;"", Снабжения!H145 / VLOOKUP(A145, 'Курс валют'!$A:$D, 4, 0), "")</f>
        <v>91.5</v>
      </c>
    </row>
    <row r="146" spans="1:16" ht="20.100000000000001" customHeight="1" x14ac:dyDescent="0.45">
      <c r="A146" s="156">
        <v>46073</v>
      </c>
      <c r="B146" s="152" t="s">
        <v>263</v>
      </c>
      <c r="C146" s="149" t="s">
        <v>69</v>
      </c>
      <c r="D146" s="159" t="s">
        <v>220</v>
      </c>
      <c r="E146" s="180">
        <v>40</v>
      </c>
      <c r="F146" s="458"/>
      <c r="G146" s="164">
        <v>23424</v>
      </c>
      <c r="H146" s="169">
        <f t="shared" si="10"/>
        <v>936960</v>
      </c>
      <c r="I146" s="173"/>
      <c r="J146" s="171"/>
      <c r="K146" s="149"/>
      <c r="L146" s="149"/>
      <c r="M146" s="159"/>
      <c r="N146" s="596">
        <f t="shared" si="11"/>
        <v>18</v>
      </c>
      <c r="O146" s="176"/>
      <c r="P146" s="179">
        <f>IF(A146&lt;&gt;"", Снабжения!H146 / VLOOKUP(A146, 'Курс валют'!$A:$D, 4, 0), "")</f>
        <v>78.08</v>
      </c>
    </row>
    <row r="147" spans="1:16" ht="20.100000000000001" customHeight="1" x14ac:dyDescent="0.45">
      <c r="A147" s="156">
        <v>46073</v>
      </c>
      <c r="B147" s="152" t="s">
        <v>264</v>
      </c>
      <c r="C147" s="149" t="s">
        <v>69</v>
      </c>
      <c r="D147" s="159" t="s">
        <v>173</v>
      </c>
      <c r="E147" s="180">
        <v>2</v>
      </c>
      <c r="F147" s="458"/>
      <c r="G147" s="164">
        <v>227500</v>
      </c>
      <c r="H147" s="169">
        <f t="shared" si="10"/>
        <v>455000</v>
      </c>
      <c r="I147" s="173"/>
      <c r="J147" s="171"/>
      <c r="K147" s="149"/>
      <c r="L147" s="149"/>
      <c r="M147" s="159"/>
      <c r="N147" s="596">
        <f t="shared" si="11"/>
        <v>2</v>
      </c>
      <c r="O147" s="176"/>
      <c r="P147" s="179">
        <f>IF(A147&lt;&gt;"", Снабжения!H147 / VLOOKUP(A147, 'Курс валют'!$A:$D, 4, 0), "")</f>
        <v>37.916666666666664</v>
      </c>
    </row>
    <row r="148" spans="1:16" ht="20.100000000000001" customHeight="1" x14ac:dyDescent="0.45">
      <c r="A148" s="156">
        <v>46073</v>
      </c>
      <c r="B148" s="152" t="s">
        <v>265</v>
      </c>
      <c r="C148" s="149" t="s">
        <v>69</v>
      </c>
      <c r="D148" s="159" t="s">
        <v>173</v>
      </c>
      <c r="E148" s="180">
        <v>1</v>
      </c>
      <c r="F148" s="458"/>
      <c r="G148" s="164">
        <v>250000</v>
      </c>
      <c r="H148" s="169">
        <f t="shared" si="10"/>
        <v>250000</v>
      </c>
      <c r="I148" s="173"/>
      <c r="J148" s="171"/>
      <c r="K148" s="149"/>
      <c r="L148" s="149"/>
      <c r="M148" s="159"/>
      <c r="N148" s="596">
        <f t="shared" si="11"/>
        <v>1</v>
      </c>
      <c r="O148" s="176"/>
      <c r="P148" s="179">
        <f>IF(A148&lt;&gt;"", Снабжения!H148 / VLOOKUP(A148, 'Курс валют'!$A:$D, 4, 0), "")</f>
        <v>20.833333333333332</v>
      </c>
    </row>
    <row r="149" spans="1:16" ht="20.100000000000001" customHeight="1" x14ac:dyDescent="0.45">
      <c r="A149" s="156">
        <v>46073</v>
      </c>
      <c r="B149" s="152" t="s">
        <v>91</v>
      </c>
      <c r="C149" s="149" t="s">
        <v>65</v>
      </c>
      <c r="D149" s="159"/>
      <c r="E149" s="180"/>
      <c r="F149" s="458"/>
      <c r="G149" s="164"/>
      <c r="H149" s="169">
        <v>120000</v>
      </c>
      <c r="I149" s="173"/>
      <c r="J149" s="171"/>
      <c r="K149" s="149"/>
      <c r="L149" s="149"/>
      <c r="M149" s="159"/>
      <c r="N149" s="596">
        <f t="shared" si="11"/>
        <v>8</v>
      </c>
      <c r="O149" s="176"/>
      <c r="P149" s="179">
        <f>IF(A149&lt;&gt;"", Снабжения!H149 / VLOOKUP(A149, 'Курс валют'!$A:$D, 4, 0), "")</f>
        <v>10</v>
      </c>
    </row>
    <row r="150" spans="1:16" ht="20.100000000000001" customHeight="1" x14ac:dyDescent="0.45">
      <c r="A150" s="156">
        <v>46073</v>
      </c>
      <c r="B150" s="152" t="s">
        <v>219</v>
      </c>
      <c r="C150" s="149" t="s">
        <v>59</v>
      </c>
      <c r="D150" s="159" t="s">
        <v>220</v>
      </c>
      <c r="E150" s="180"/>
      <c r="F150" s="458">
        <v>2.5</v>
      </c>
      <c r="G150" s="164"/>
      <c r="H150" s="169">
        <f t="shared" si="10"/>
        <v>0</v>
      </c>
      <c r="I150" s="173"/>
      <c r="J150" s="171"/>
      <c r="K150" s="149"/>
      <c r="L150" s="149"/>
      <c r="M150" s="159"/>
      <c r="N150" s="596">
        <f t="shared" si="11"/>
        <v>41.5</v>
      </c>
      <c r="O150" s="176"/>
      <c r="P150" s="179">
        <f>IF(A150&lt;&gt;"", Снабжения!H150 / VLOOKUP(A150, 'Курс валют'!$A:$D, 4, 0), "")</f>
        <v>0</v>
      </c>
    </row>
    <row r="151" spans="1:16" ht="20.100000000000001" customHeight="1" x14ac:dyDescent="0.45">
      <c r="A151" s="156">
        <v>46073</v>
      </c>
      <c r="B151" s="152" t="s">
        <v>209</v>
      </c>
      <c r="C151" s="149" t="s">
        <v>69</v>
      </c>
      <c r="D151" s="159" t="s">
        <v>220</v>
      </c>
      <c r="E151" s="180"/>
      <c r="F151" s="458">
        <v>4</v>
      </c>
      <c r="G151" s="164"/>
      <c r="H151" s="169">
        <f t="shared" si="10"/>
        <v>0</v>
      </c>
      <c r="I151" s="173"/>
      <c r="J151" s="171"/>
      <c r="K151" s="149"/>
      <c r="L151" s="149"/>
      <c r="M151" s="159"/>
      <c r="N151" s="596">
        <f t="shared" ref="N151:N186" si="12">SUMIF(B:B,B151,E:E)-SUMIF(B:B,B151,F:F)</f>
        <v>128</v>
      </c>
      <c r="O151" s="176"/>
      <c r="P151" s="179">
        <f>IF(A151&lt;&gt;"", Снабжения!H151 / VLOOKUP(A151, 'Курс валют'!$A:$D, 4, 0), "")</f>
        <v>0</v>
      </c>
    </row>
    <row r="152" spans="1:16" ht="20.100000000000001" customHeight="1" x14ac:dyDescent="0.45">
      <c r="A152" s="156">
        <v>46073</v>
      </c>
      <c r="B152" s="151" t="s">
        <v>210</v>
      </c>
      <c r="C152" s="149" t="s">
        <v>69</v>
      </c>
      <c r="D152" s="159" t="s">
        <v>220</v>
      </c>
      <c r="E152" s="180"/>
      <c r="F152" s="458">
        <v>3</v>
      </c>
      <c r="G152" s="164"/>
      <c r="H152" s="169">
        <f t="shared" si="10"/>
        <v>0</v>
      </c>
      <c r="I152" s="173"/>
      <c r="J152" s="171"/>
      <c r="K152" s="149"/>
      <c r="L152" s="149"/>
      <c r="M152" s="159"/>
      <c r="N152" s="596">
        <f t="shared" si="12"/>
        <v>405</v>
      </c>
      <c r="O152" s="176"/>
      <c r="P152" s="179">
        <f>IF(A152&lt;&gt;"", Снабжения!H152 / VLOOKUP(A152, 'Курс валют'!$A:$D, 4, 0), "")</f>
        <v>0</v>
      </c>
    </row>
    <row r="153" spans="1:16" ht="20.100000000000001" customHeight="1" x14ac:dyDescent="0.45">
      <c r="A153" s="156">
        <v>46073</v>
      </c>
      <c r="B153" s="152" t="s">
        <v>228</v>
      </c>
      <c r="C153" s="149" t="s">
        <v>217</v>
      </c>
      <c r="D153" s="159" t="s">
        <v>187</v>
      </c>
      <c r="E153" s="180"/>
      <c r="F153" s="458">
        <v>5</v>
      </c>
      <c r="G153" s="164"/>
      <c r="H153" s="169">
        <f t="shared" si="10"/>
        <v>0</v>
      </c>
      <c r="I153" s="173"/>
      <c r="J153" s="171"/>
      <c r="K153" s="149"/>
      <c r="L153" s="149"/>
      <c r="M153" s="159"/>
      <c r="N153" s="596">
        <f t="shared" si="12"/>
        <v>125</v>
      </c>
      <c r="O153" s="176"/>
      <c r="P153" s="179">
        <f>IF(A153&lt;&gt;"", Снабжения!H153 / VLOOKUP(A153, 'Курс валют'!$A:$D, 4, 0), "")</f>
        <v>0</v>
      </c>
    </row>
    <row r="154" spans="1:16" ht="20.100000000000001" customHeight="1" x14ac:dyDescent="0.45">
      <c r="A154" s="156">
        <v>46073</v>
      </c>
      <c r="B154" s="152" t="s">
        <v>191</v>
      </c>
      <c r="C154" s="149" t="s">
        <v>69</v>
      </c>
      <c r="D154" s="159" t="s">
        <v>220</v>
      </c>
      <c r="E154" s="180"/>
      <c r="F154" s="458">
        <v>1</v>
      </c>
      <c r="G154" s="164"/>
      <c r="H154" s="169">
        <f t="shared" si="10"/>
        <v>0</v>
      </c>
      <c r="I154" s="173"/>
      <c r="J154" s="171"/>
      <c r="K154" s="149"/>
      <c r="L154" s="149"/>
      <c r="M154" s="159"/>
      <c r="N154" s="596">
        <f t="shared" si="12"/>
        <v>2</v>
      </c>
      <c r="O154" s="176"/>
      <c r="P154" s="179">
        <f>IF(A154&lt;&gt;"", Снабжения!H154 / VLOOKUP(A154, 'Курс валют'!$A:$D, 4, 0), "")</f>
        <v>0</v>
      </c>
    </row>
    <row r="155" spans="1:16" ht="20.100000000000001" customHeight="1" x14ac:dyDescent="0.45">
      <c r="A155" s="156">
        <v>46073</v>
      </c>
      <c r="B155" s="152" t="s">
        <v>182</v>
      </c>
      <c r="C155" s="149" t="s">
        <v>69</v>
      </c>
      <c r="D155" s="159" t="s">
        <v>220</v>
      </c>
      <c r="E155" s="180"/>
      <c r="F155" s="458">
        <v>3</v>
      </c>
      <c r="G155" s="164"/>
      <c r="H155" s="169">
        <f t="shared" si="10"/>
        <v>0</v>
      </c>
      <c r="I155" s="173"/>
      <c r="J155" s="171"/>
      <c r="K155" s="149"/>
      <c r="L155" s="149"/>
      <c r="M155" s="159"/>
      <c r="N155" s="596">
        <f t="shared" si="12"/>
        <v>22</v>
      </c>
      <c r="O155" s="176"/>
      <c r="P155" s="179">
        <f>IF(A155&lt;&gt;"", Снабжения!H155 / VLOOKUP(A155, 'Курс валют'!$A:$D, 4, 0), "")</f>
        <v>0</v>
      </c>
    </row>
    <row r="156" spans="1:16" ht="20.100000000000001" customHeight="1" x14ac:dyDescent="0.45">
      <c r="A156" s="156">
        <v>46074</v>
      </c>
      <c r="B156" s="152" t="s">
        <v>219</v>
      </c>
      <c r="C156" s="149" t="s">
        <v>59</v>
      </c>
      <c r="D156" s="159" t="s">
        <v>220</v>
      </c>
      <c r="E156" s="180"/>
      <c r="F156" s="458">
        <v>5</v>
      </c>
      <c r="G156" s="164"/>
      <c r="H156" s="169">
        <f t="shared" si="10"/>
        <v>0</v>
      </c>
      <c r="I156" s="173"/>
      <c r="J156" s="171"/>
      <c r="K156" s="149"/>
      <c r="L156" s="149"/>
      <c r="M156" s="159"/>
      <c r="N156" s="596">
        <f t="shared" si="12"/>
        <v>41.5</v>
      </c>
      <c r="O156" s="176"/>
      <c r="P156" s="179">
        <f>IF(A156&lt;&gt;"", Снабжения!H156 / VLOOKUP(A156, 'Курс валют'!$A:$D, 4, 0), "")</f>
        <v>0</v>
      </c>
    </row>
    <row r="157" spans="1:16" ht="20.100000000000001" customHeight="1" x14ac:dyDescent="0.45">
      <c r="A157" s="156">
        <v>46074</v>
      </c>
      <c r="B157" s="152" t="s">
        <v>188</v>
      </c>
      <c r="C157" s="149" t="s">
        <v>59</v>
      </c>
      <c r="D157" s="159" t="s">
        <v>187</v>
      </c>
      <c r="E157" s="180"/>
      <c r="F157" s="458">
        <v>3</v>
      </c>
      <c r="G157" s="164"/>
      <c r="H157" s="169">
        <f t="shared" si="10"/>
        <v>0</v>
      </c>
      <c r="I157" s="173"/>
      <c r="J157" s="171"/>
      <c r="K157" s="149"/>
      <c r="L157" s="149"/>
      <c r="M157" s="159"/>
      <c r="N157" s="596">
        <f t="shared" si="12"/>
        <v>20</v>
      </c>
      <c r="O157" s="176"/>
      <c r="P157" s="179">
        <f>IF(A157&lt;&gt;"", Снабжения!H157 / VLOOKUP(A157, 'Курс валют'!$A:$D, 4, 0), "")</f>
        <v>0</v>
      </c>
    </row>
    <row r="158" spans="1:16" ht="20.100000000000001" customHeight="1" x14ac:dyDescent="0.45">
      <c r="A158" s="156">
        <v>46075</v>
      </c>
      <c r="B158" s="152" t="s">
        <v>228</v>
      </c>
      <c r="C158" s="149" t="s">
        <v>59</v>
      </c>
      <c r="D158" s="159" t="s">
        <v>187</v>
      </c>
      <c r="E158" s="180"/>
      <c r="F158" s="458">
        <v>225</v>
      </c>
      <c r="G158" s="164"/>
      <c r="H158" s="169">
        <f t="shared" si="10"/>
        <v>0</v>
      </c>
      <c r="I158" s="173"/>
      <c r="J158" s="171"/>
      <c r="K158" s="149"/>
      <c r="L158" s="149"/>
      <c r="M158" s="159"/>
      <c r="N158" s="596">
        <f t="shared" si="12"/>
        <v>125</v>
      </c>
      <c r="O158" s="176"/>
      <c r="P158" s="179">
        <f>IF(A158&lt;&gt;"", Снабжения!H158 / VLOOKUP(A158, 'Курс валют'!$A:$D, 4, 0), "")</f>
        <v>0</v>
      </c>
    </row>
    <row r="159" spans="1:16" ht="20.100000000000001" customHeight="1" x14ac:dyDescent="0.45">
      <c r="A159" s="156">
        <v>46075</v>
      </c>
      <c r="B159" s="152" t="s">
        <v>254</v>
      </c>
      <c r="C159" s="149" t="s">
        <v>69</v>
      </c>
      <c r="D159" s="159" t="s">
        <v>260</v>
      </c>
      <c r="E159" s="180"/>
      <c r="F159" s="458">
        <v>1</v>
      </c>
      <c r="G159" s="164"/>
      <c r="H159" s="169">
        <f t="shared" si="10"/>
        <v>0</v>
      </c>
      <c r="I159" s="173"/>
      <c r="J159" s="171"/>
      <c r="K159" s="149"/>
      <c r="L159" s="149"/>
      <c r="M159" s="159"/>
      <c r="N159" s="596">
        <f t="shared" si="12"/>
        <v>33</v>
      </c>
      <c r="O159" s="176"/>
      <c r="P159" s="179">
        <f>IF(A159&lt;&gt;"", Снабжения!H159 / VLOOKUP(A159, 'Курс валют'!$A:$D, 4, 0), "")</f>
        <v>0</v>
      </c>
    </row>
    <row r="160" spans="1:16" ht="20.100000000000001" customHeight="1" x14ac:dyDescent="0.45">
      <c r="A160" s="156">
        <v>46075</v>
      </c>
      <c r="B160" s="152" t="s">
        <v>222</v>
      </c>
      <c r="C160" s="149" t="s">
        <v>69</v>
      </c>
      <c r="D160" s="159" t="s">
        <v>220</v>
      </c>
      <c r="E160" s="180"/>
      <c r="F160" s="458">
        <v>3</v>
      </c>
      <c r="G160" s="164"/>
      <c r="H160" s="169">
        <f t="shared" si="10"/>
        <v>0</v>
      </c>
      <c r="I160" s="173"/>
      <c r="J160" s="171"/>
      <c r="K160" s="149"/>
      <c r="L160" s="149"/>
      <c r="M160" s="159"/>
      <c r="N160" s="596">
        <f t="shared" si="12"/>
        <v>42</v>
      </c>
      <c r="O160" s="176"/>
      <c r="P160" s="179">
        <f>IF(A160&lt;&gt;"", Снабжения!H160 / VLOOKUP(A160, 'Курс валют'!$A:$D, 4, 0), "")</f>
        <v>0</v>
      </c>
    </row>
    <row r="161" spans="1:16" ht="20.100000000000001" customHeight="1" x14ac:dyDescent="0.45">
      <c r="A161" s="156">
        <v>46075</v>
      </c>
      <c r="B161" s="152" t="s">
        <v>221</v>
      </c>
      <c r="C161" s="149" t="s">
        <v>69</v>
      </c>
      <c r="D161" s="159" t="s">
        <v>220</v>
      </c>
      <c r="E161" s="180"/>
      <c r="F161" s="458">
        <v>3</v>
      </c>
      <c r="G161" s="164"/>
      <c r="H161" s="169">
        <f t="shared" ref="H161:H225" si="13">G161*E161</f>
        <v>0</v>
      </c>
      <c r="I161" s="173"/>
      <c r="J161" s="171"/>
      <c r="K161" s="149"/>
      <c r="L161" s="149"/>
      <c r="M161" s="159"/>
      <c r="N161" s="596">
        <f t="shared" si="12"/>
        <v>87</v>
      </c>
      <c r="O161" s="176"/>
      <c r="P161" s="179">
        <f>IF(A161&lt;&gt;"", Снабжения!H161 / VLOOKUP(A161, 'Курс валют'!$A:$D, 4, 0), "")</f>
        <v>0</v>
      </c>
    </row>
    <row r="162" spans="1:16" ht="20.100000000000001" customHeight="1" x14ac:dyDescent="0.45">
      <c r="A162" s="156">
        <v>46075</v>
      </c>
      <c r="B162" s="151" t="s">
        <v>253</v>
      </c>
      <c r="C162" s="149" t="s">
        <v>69</v>
      </c>
      <c r="D162" s="159" t="s">
        <v>204</v>
      </c>
      <c r="E162" s="180"/>
      <c r="F162" s="458">
        <v>2</v>
      </c>
      <c r="G162" s="164"/>
      <c r="H162" s="169">
        <f t="shared" si="13"/>
        <v>0</v>
      </c>
      <c r="I162" s="173"/>
      <c r="J162" s="171"/>
      <c r="K162" s="149"/>
      <c r="L162" s="149"/>
      <c r="M162" s="159"/>
      <c r="N162" s="596">
        <f t="shared" si="12"/>
        <v>8</v>
      </c>
      <c r="O162" s="176"/>
      <c r="P162" s="179">
        <f>IF(A162&lt;&gt;"", Снабжения!H162 / VLOOKUP(A162, 'Курс валют'!$A:$D, 4, 0), "")</f>
        <v>0</v>
      </c>
    </row>
    <row r="163" spans="1:16" ht="20.100000000000001" customHeight="1" x14ac:dyDescent="0.45">
      <c r="A163" s="156">
        <v>46075</v>
      </c>
      <c r="B163" s="152" t="s">
        <v>209</v>
      </c>
      <c r="C163" s="149" t="s">
        <v>69</v>
      </c>
      <c r="D163" s="159" t="s">
        <v>220</v>
      </c>
      <c r="E163" s="180"/>
      <c r="F163" s="458">
        <v>1</v>
      </c>
      <c r="G163" s="164"/>
      <c r="H163" s="169">
        <f t="shared" si="13"/>
        <v>0</v>
      </c>
      <c r="I163" s="173"/>
      <c r="J163" s="171"/>
      <c r="K163" s="149"/>
      <c r="L163" s="149"/>
      <c r="M163" s="159"/>
      <c r="N163" s="596">
        <f t="shared" si="12"/>
        <v>128</v>
      </c>
      <c r="O163" s="176"/>
      <c r="P163" s="179">
        <f>IF(A163&lt;&gt;"", Снабжения!H163 / VLOOKUP(A163, 'Курс валют'!$A:$D, 4, 0), "")</f>
        <v>0</v>
      </c>
    </row>
    <row r="164" spans="1:16" ht="20.100000000000001" customHeight="1" x14ac:dyDescent="0.45">
      <c r="A164" s="156">
        <v>46075</v>
      </c>
      <c r="B164" s="152" t="s">
        <v>189</v>
      </c>
      <c r="C164" s="149" t="s">
        <v>69</v>
      </c>
      <c r="D164" s="159" t="s">
        <v>220</v>
      </c>
      <c r="E164" s="180"/>
      <c r="F164" s="458">
        <v>44</v>
      </c>
      <c r="G164" s="164"/>
      <c r="H164" s="169">
        <f t="shared" si="13"/>
        <v>0</v>
      </c>
      <c r="I164" s="173"/>
      <c r="J164" s="171"/>
      <c r="K164" s="149"/>
      <c r="L164" s="149"/>
      <c r="M164" s="159"/>
      <c r="N164" s="596">
        <f t="shared" si="12"/>
        <v>309</v>
      </c>
      <c r="O164" s="176"/>
      <c r="P164" s="179">
        <f>IF(A164&lt;&gt;"", Снабжения!H164 / VLOOKUP(A164, 'Курс валют'!$A:$D, 4, 0), "")</f>
        <v>0</v>
      </c>
    </row>
    <row r="165" spans="1:16" ht="20.100000000000001" customHeight="1" x14ac:dyDescent="0.45">
      <c r="A165" s="156">
        <v>46075</v>
      </c>
      <c r="B165" s="152" t="s">
        <v>266</v>
      </c>
      <c r="C165" s="149" t="s">
        <v>69</v>
      </c>
      <c r="D165" s="159" t="s">
        <v>220</v>
      </c>
      <c r="E165" s="180"/>
      <c r="F165" s="458">
        <v>36</v>
      </c>
      <c r="G165" s="164"/>
      <c r="H165" s="169">
        <f t="shared" si="13"/>
        <v>0</v>
      </c>
      <c r="I165" s="173"/>
      <c r="J165" s="171"/>
      <c r="K165" s="149"/>
      <c r="L165" s="149"/>
      <c r="M165" s="159"/>
      <c r="N165" s="596">
        <f t="shared" si="12"/>
        <v>0</v>
      </c>
      <c r="O165" s="176"/>
      <c r="P165" s="179">
        <f>IF(A165&lt;&gt;"", Снабжения!H165 / VLOOKUP(A165, 'Курс валют'!$A:$D, 4, 0), "")</f>
        <v>0</v>
      </c>
    </row>
    <row r="166" spans="1:16" ht="20.100000000000001" customHeight="1" x14ac:dyDescent="0.45">
      <c r="A166" s="156">
        <v>46075</v>
      </c>
      <c r="B166" s="152" t="s">
        <v>219</v>
      </c>
      <c r="C166" s="149" t="s">
        <v>69</v>
      </c>
      <c r="D166" s="159" t="s">
        <v>220</v>
      </c>
      <c r="E166" s="180"/>
      <c r="F166" s="458">
        <v>2.5</v>
      </c>
      <c r="G166" s="164"/>
      <c r="H166" s="169">
        <f t="shared" si="13"/>
        <v>0</v>
      </c>
      <c r="I166" s="173"/>
      <c r="J166" s="171"/>
      <c r="K166" s="149"/>
      <c r="L166" s="149"/>
      <c r="M166" s="159"/>
      <c r="N166" s="596">
        <f t="shared" si="12"/>
        <v>41.5</v>
      </c>
      <c r="O166" s="176"/>
      <c r="P166" s="179">
        <f>IF(A166&lt;&gt;"", Снабжения!H166 / VLOOKUP(A166, 'Курс валют'!$A:$D, 4, 0), "")</f>
        <v>0</v>
      </c>
    </row>
    <row r="167" spans="1:16" ht="20.100000000000001" customHeight="1" x14ac:dyDescent="0.45">
      <c r="A167" s="156">
        <v>46076</v>
      </c>
      <c r="B167" s="152" t="s">
        <v>266</v>
      </c>
      <c r="C167" s="149" t="s">
        <v>69</v>
      </c>
      <c r="D167" s="159" t="s">
        <v>220</v>
      </c>
      <c r="E167" s="180">
        <v>36</v>
      </c>
      <c r="F167" s="458"/>
      <c r="G167" s="164"/>
      <c r="H167" s="169">
        <v>1811052</v>
      </c>
      <c r="I167" s="173"/>
      <c r="J167" s="171"/>
      <c r="K167" s="149"/>
      <c r="L167" s="149"/>
      <c r="M167" s="159"/>
      <c r="N167" s="596">
        <f t="shared" si="12"/>
        <v>0</v>
      </c>
      <c r="O167" s="176"/>
      <c r="P167" s="179">
        <f>IF(A167&lt;&gt;"", Снабжения!H167 / VLOOKUP(A167, 'Курс валют'!$A:$D, 4, 0), "")</f>
        <v>150.92099999999999</v>
      </c>
    </row>
    <row r="168" spans="1:16" ht="20.100000000000001" customHeight="1" x14ac:dyDescent="0.45">
      <c r="A168" s="156">
        <v>46104</v>
      </c>
      <c r="B168" s="152" t="s">
        <v>91</v>
      </c>
      <c r="C168" s="149" t="s">
        <v>65</v>
      </c>
      <c r="D168" s="159"/>
      <c r="E168" s="180"/>
      <c r="F168" s="458"/>
      <c r="G168" s="164"/>
      <c r="H168" s="169">
        <v>240000</v>
      </c>
      <c r="I168" s="173"/>
      <c r="J168" s="171"/>
      <c r="K168" s="149"/>
      <c r="L168" s="149"/>
      <c r="M168" s="159"/>
      <c r="N168" s="596">
        <f t="shared" si="12"/>
        <v>8</v>
      </c>
      <c r="O168" s="176"/>
      <c r="P168" s="179">
        <f>IF(A168&lt;&gt;"", Снабжения!H168 / VLOOKUP(A168, 'Курс валют'!$A:$D, 4, 0), "")</f>
        <v>19.867549668874172</v>
      </c>
    </row>
    <row r="169" spans="1:16" ht="20.100000000000001" customHeight="1" x14ac:dyDescent="0.45">
      <c r="A169" s="156">
        <v>46076</v>
      </c>
      <c r="B169" s="152" t="s">
        <v>219</v>
      </c>
      <c r="C169" s="149" t="s">
        <v>69</v>
      </c>
      <c r="D169" s="159" t="s">
        <v>220</v>
      </c>
      <c r="E169" s="180"/>
      <c r="F169" s="458">
        <v>2.5</v>
      </c>
      <c r="G169" s="164"/>
      <c r="H169" s="169">
        <f t="shared" si="13"/>
        <v>0</v>
      </c>
      <c r="I169" s="173"/>
      <c r="J169" s="171"/>
      <c r="K169" s="149"/>
      <c r="L169" s="149"/>
      <c r="M169" s="159"/>
      <c r="N169" s="596">
        <f t="shared" si="12"/>
        <v>41.5</v>
      </c>
      <c r="O169" s="176"/>
      <c r="P169" s="179">
        <f>IF(A169&lt;&gt;"", Снабжения!H169 / VLOOKUP(A169, 'Курс валют'!$A:$D, 4, 0), "")</f>
        <v>0</v>
      </c>
    </row>
    <row r="170" spans="1:16" ht="20.100000000000001" customHeight="1" x14ac:dyDescent="0.45">
      <c r="A170" s="156">
        <v>46076</v>
      </c>
      <c r="B170" s="152" t="s">
        <v>182</v>
      </c>
      <c r="C170" s="149" t="s">
        <v>69</v>
      </c>
      <c r="D170" s="159" t="s">
        <v>220</v>
      </c>
      <c r="E170" s="180"/>
      <c r="F170" s="458">
        <v>3</v>
      </c>
      <c r="G170" s="164"/>
      <c r="H170" s="169">
        <f t="shared" si="13"/>
        <v>0</v>
      </c>
      <c r="I170" s="173"/>
      <c r="J170" s="171"/>
      <c r="K170" s="149"/>
      <c r="L170" s="149"/>
      <c r="M170" s="159"/>
      <c r="N170" s="596">
        <f t="shared" si="12"/>
        <v>22</v>
      </c>
      <c r="O170" s="176"/>
      <c r="P170" s="179">
        <f>IF(A170&lt;&gt;"", Снабжения!H170 / VLOOKUP(A170, 'Курс валют'!$A:$D, 4, 0), "")</f>
        <v>0</v>
      </c>
    </row>
    <row r="171" spans="1:16" ht="20.100000000000001" customHeight="1" x14ac:dyDescent="0.45">
      <c r="A171" s="156">
        <v>46076</v>
      </c>
      <c r="B171" s="152" t="s">
        <v>191</v>
      </c>
      <c r="C171" s="149" t="s">
        <v>69</v>
      </c>
      <c r="D171" s="159" t="s">
        <v>220</v>
      </c>
      <c r="E171" s="180"/>
      <c r="F171" s="458">
        <v>1</v>
      </c>
      <c r="G171" s="164"/>
      <c r="H171" s="169">
        <f t="shared" si="13"/>
        <v>0</v>
      </c>
      <c r="I171" s="173"/>
      <c r="J171" s="171"/>
      <c r="K171" s="149"/>
      <c r="L171" s="149"/>
      <c r="M171" s="159"/>
      <c r="N171" s="596">
        <f t="shared" si="12"/>
        <v>2</v>
      </c>
      <c r="O171" s="176"/>
      <c r="P171" s="179">
        <f>IF(A171&lt;&gt;"", Снабжения!H171 / VLOOKUP(A171, 'Курс валют'!$A:$D, 4, 0), "")</f>
        <v>0</v>
      </c>
    </row>
    <row r="172" spans="1:16" ht="20.100000000000001" customHeight="1" x14ac:dyDescent="0.45">
      <c r="A172" s="156">
        <v>46076</v>
      </c>
      <c r="B172" s="152" t="s">
        <v>222</v>
      </c>
      <c r="C172" s="149" t="s">
        <v>69</v>
      </c>
      <c r="D172" s="159" t="s">
        <v>220</v>
      </c>
      <c r="E172" s="180"/>
      <c r="F172" s="458">
        <v>3</v>
      </c>
      <c r="G172" s="164"/>
      <c r="H172" s="169">
        <f t="shared" si="13"/>
        <v>0</v>
      </c>
      <c r="I172" s="173"/>
      <c r="J172" s="171"/>
      <c r="K172" s="149"/>
      <c r="L172" s="149"/>
      <c r="M172" s="159"/>
      <c r="N172" s="596">
        <f t="shared" si="12"/>
        <v>42</v>
      </c>
      <c r="O172" s="176"/>
      <c r="P172" s="179">
        <f>IF(A172&lt;&gt;"", Снабжения!H172 / VLOOKUP(A172, 'Курс валют'!$A:$D, 4, 0), "")</f>
        <v>0</v>
      </c>
    </row>
    <row r="173" spans="1:16" ht="20.100000000000001" customHeight="1" x14ac:dyDescent="0.45">
      <c r="A173" s="156">
        <v>46076</v>
      </c>
      <c r="B173" s="152" t="s">
        <v>221</v>
      </c>
      <c r="C173" s="149" t="s">
        <v>69</v>
      </c>
      <c r="D173" s="159" t="s">
        <v>220</v>
      </c>
      <c r="E173" s="180"/>
      <c r="F173" s="458">
        <v>9</v>
      </c>
      <c r="G173" s="164"/>
      <c r="H173" s="169">
        <f t="shared" si="13"/>
        <v>0</v>
      </c>
      <c r="I173" s="173"/>
      <c r="J173" s="171"/>
      <c r="K173" s="149"/>
      <c r="L173" s="149"/>
      <c r="M173" s="159"/>
      <c r="N173" s="596">
        <f t="shared" si="12"/>
        <v>87</v>
      </c>
      <c r="O173" s="176"/>
      <c r="P173" s="179">
        <f>IF(A173&lt;&gt;"", Снабжения!H173 / VLOOKUP(A173, 'Курс валют'!$A:$D, 4, 0), "")</f>
        <v>0</v>
      </c>
    </row>
    <row r="174" spans="1:16" ht="20.100000000000001" customHeight="1" x14ac:dyDescent="0.45">
      <c r="A174" s="156">
        <v>46076</v>
      </c>
      <c r="B174" s="152" t="s">
        <v>210</v>
      </c>
      <c r="C174" s="149" t="s">
        <v>69</v>
      </c>
      <c r="D174" s="159" t="s">
        <v>220</v>
      </c>
      <c r="E174" s="180"/>
      <c r="F174" s="458">
        <v>100</v>
      </c>
      <c r="G174" s="164"/>
      <c r="H174" s="169">
        <f t="shared" si="13"/>
        <v>0</v>
      </c>
      <c r="I174" s="173"/>
      <c r="J174" s="171"/>
      <c r="K174" s="149"/>
      <c r="L174" s="149"/>
      <c r="M174" s="159"/>
      <c r="N174" s="596">
        <f t="shared" si="12"/>
        <v>405</v>
      </c>
      <c r="O174" s="176"/>
      <c r="P174" s="179">
        <f>IF(A174&lt;&gt;"", Снабжения!H174 / VLOOKUP(A174, 'Курс валют'!$A:$D, 4, 0), "")</f>
        <v>0</v>
      </c>
    </row>
    <row r="175" spans="1:16" ht="20.100000000000001" customHeight="1" x14ac:dyDescent="0.45">
      <c r="A175" s="156">
        <v>46076</v>
      </c>
      <c r="B175" s="152" t="s">
        <v>228</v>
      </c>
      <c r="C175" s="149" t="s">
        <v>59</v>
      </c>
      <c r="D175" s="159" t="s">
        <v>187</v>
      </c>
      <c r="E175" s="180"/>
      <c r="F175" s="458">
        <v>150</v>
      </c>
      <c r="G175" s="164"/>
      <c r="H175" s="169">
        <f t="shared" si="13"/>
        <v>0</v>
      </c>
      <c r="I175" s="173"/>
      <c r="J175" s="171"/>
      <c r="K175" s="149"/>
      <c r="L175" s="149"/>
      <c r="M175" s="159"/>
      <c r="N175" s="596">
        <f t="shared" si="12"/>
        <v>125</v>
      </c>
      <c r="O175" s="176"/>
      <c r="P175" s="179">
        <f>IF(A175&lt;&gt;"", Снабжения!H175 / VLOOKUP(A175, 'Курс валют'!$A:$D, 4, 0), "")</f>
        <v>0</v>
      </c>
    </row>
    <row r="176" spans="1:16" ht="20.100000000000001" customHeight="1" x14ac:dyDescent="0.45">
      <c r="A176" s="156">
        <v>46077</v>
      </c>
      <c r="B176" s="152" t="s">
        <v>188</v>
      </c>
      <c r="C176" s="149" t="s">
        <v>59</v>
      </c>
      <c r="D176" s="159" t="s">
        <v>187</v>
      </c>
      <c r="E176" s="180"/>
      <c r="F176" s="458">
        <v>4</v>
      </c>
      <c r="G176" s="164"/>
      <c r="H176" s="169">
        <f t="shared" si="13"/>
        <v>0</v>
      </c>
      <c r="I176" s="173"/>
      <c r="J176" s="171"/>
      <c r="K176" s="149"/>
      <c r="L176" s="149"/>
      <c r="M176" s="159"/>
      <c r="N176" s="596">
        <f t="shared" si="12"/>
        <v>20</v>
      </c>
      <c r="O176" s="176"/>
      <c r="P176" s="179">
        <f>IF(A176&lt;&gt;"", Снабжения!H176 / VLOOKUP(A176, 'Курс валют'!$A:$D, 4, 0), "")</f>
        <v>0</v>
      </c>
    </row>
    <row r="177" spans="1:16" ht="20.100000000000001" customHeight="1" x14ac:dyDescent="0.45">
      <c r="A177" s="156">
        <v>46077</v>
      </c>
      <c r="B177" s="152" t="s">
        <v>223</v>
      </c>
      <c r="C177" s="149" t="s">
        <v>69</v>
      </c>
      <c r="D177" s="159" t="s">
        <v>267</v>
      </c>
      <c r="E177" s="180"/>
      <c r="F177" s="458">
        <v>1</v>
      </c>
      <c r="G177" s="164"/>
      <c r="H177" s="169">
        <f t="shared" si="13"/>
        <v>0</v>
      </c>
      <c r="I177" s="173"/>
      <c r="J177" s="171"/>
      <c r="K177" s="149"/>
      <c r="L177" s="149"/>
      <c r="M177" s="159"/>
      <c r="N177" s="596">
        <f t="shared" si="12"/>
        <v>8</v>
      </c>
      <c r="O177" s="176"/>
      <c r="P177" s="179">
        <f>IF(A177&lt;&gt;"", Снабжения!H177 / VLOOKUP(A177, 'Курс валют'!$A:$D, 4, 0), "")</f>
        <v>0</v>
      </c>
    </row>
    <row r="178" spans="1:16" ht="20.100000000000001" customHeight="1" x14ac:dyDescent="0.45">
      <c r="A178" s="156">
        <v>46077</v>
      </c>
      <c r="B178" s="152" t="s">
        <v>186</v>
      </c>
      <c r="C178" s="149" t="s">
        <v>59</v>
      </c>
      <c r="D178" s="159" t="s">
        <v>187</v>
      </c>
      <c r="E178" s="180"/>
      <c r="F178" s="458">
        <v>2</v>
      </c>
      <c r="G178" s="164"/>
      <c r="H178" s="169">
        <f t="shared" si="13"/>
        <v>0</v>
      </c>
      <c r="I178" s="173"/>
      <c r="J178" s="171"/>
      <c r="K178" s="149"/>
      <c r="L178" s="149"/>
      <c r="M178" s="159"/>
      <c r="N178" s="596">
        <f t="shared" si="12"/>
        <v>40</v>
      </c>
      <c r="O178" s="176"/>
      <c r="P178" s="179">
        <f>IF(A178&lt;&gt;"", Снабжения!H178 / VLOOKUP(A178, 'Курс валют'!$A:$D, 4, 0), "")</f>
        <v>0</v>
      </c>
    </row>
    <row r="179" spans="1:16" ht="20.100000000000001" customHeight="1" x14ac:dyDescent="0.45">
      <c r="A179" s="156">
        <v>46077</v>
      </c>
      <c r="B179" s="152" t="s">
        <v>241</v>
      </c>
      <c r="C179" s="149" t="s">
        <v>69</v>
      </c>
      <c r="D179" s="159" t="s">
        <v>204</v>
      </c>
      <c r="E179" s="180"/>
      <c r="F179" s="458">
        <v>2</v>
      </c>
      <c r="G179" s="164"/>
      <c r="H179" s="169">
        <f t="shared" si="13"/>
        <v>0</v>
      </c>
      <c r="I179" s="173"/>
      <c r="J179" s="171"/>
      <c r="K179" s="149"/>
      <c r="L179" s="149"/>
      <c r="M179" s="159"/>
      <c r="N179" s="596">
        <f t="shared" si="12"/>
        <v>1</v>
      </c>
      <c r="O179" s="176"/>
      <c r="P179" s="179">
        <f>IF(A179&lt;&gt;"", Снабжения!H179 / VLOOKUP(A179, 'Курс валют'!$A:$D, 4, 0), "")</f>
        <v>0</v>
      </c>
    </row>
    <row r="180" spans="1:16" ht="20.100000000000001" customHeight="1" x14ac:dyDescent="0.45">
      <c r="A180" s="156">
        <v>46077</v>
      </c>
      <c r="B180" s="152" t="s">
        <v>254</v>
      </c>
      <c r="C180" s="149" t="s">
        <v>69</v>
      </c>
      <c r="D180" s="159" t="s">
        <v>220</v>
      </c>
      <c r="E180" s="180"/>
      <c r="F180" s="458">
        <v>3</v>
      </c>
      <c r="G180" s="164"/>
      <c r="H180" s="169">
        <f t="shared" si="13"/>
        <v>0</v>
      </c>
      <c r="I180" s="173"/>
      <c r="J180" s="171"/>
      <c r="K180" s="149"/>
      <c r="L180" s="149"/>
      <c r="M180" s="159"/>
      <c r="N180" s="596">
        <f t="shared" si="12"/>
        <v>33</v>
      </c>
      <c r="O180" s="176"/>
      <c r="P180" s="179">
        <f>IF(A180&lt;&gt;"", Снабжения!H180 / VLOOKUP(A180, 'Курс валют'!$A:$D, 4, 0), "")</f>
        <v>0</v>
      </c>
    </row>
    <row r="181" spans="1:16" ht="20.100000000000001" customHeight="1" x14ac:dyDescent="0.45">
      <c r="A181" s="156">
        <v>46077</v>
      </c>
      <c r="B181" s="152" t="s">
        <v>219</v>
      </c>
      <c r="C181" s="149" t="s">
        <v>59</v>
      </c>
      <c r="D181" s="159" t="s">
        <v>220</v>
      </c>
      <c r="E181" s="180"/>
      <c r="F181" s="458">
        <v>2.5</v>
      </c>
      <c r="G181" s="164"/>
      <c r="H181" s="169">
        <f t="shared" si="13"/>
        <v>0</v>
      </c>
      <c r="I181" s="173"/>
      <c r="J181" s="171"/>
      <c r="K181" s="149"/>
      <c r="L181" s="149"/>
      <c r="M181" s="159"/>
      <c r="N181" s="596">
        <f t="shared" si="12"/>
        <v>41.5</v>
      </c>
      <c r="O181" s="176"/>
      <c r="P181" s="179">
        <f>IF(A181&lt;&gt;"", Снабжения!H181 / VLOOKUP(A181, 'Курс валют'!$A:$D, 4, 0), "")</f>
        <v>0</v>
      </c>
    </row>
    <row r="182" spans="1:16" ht="20.100000000000001" customHeight="1" x14ac:dyDescent="0.45">
      <c r="A182" s="156">
        <v>46077</v>
      </c>
      <c r="B182" s="152" t="s">
        <v>182</v>
      </c>
      <c r="C182" s="149" t="s">
        <v>69</v>
      </c>
      <c r="D182" s="159" t="s">
        <v>220</v>
      </c>
      <c r="E182" s="180"/>
      <c r="F182" s="458">
        <v>2</v>
      </c>
      <c r="G182" s="164"/>
      <c r="H182" s="169">
        <f t="shared" si="13"/>
        <v>0</v>
      </c>
      <c r="I182" s="173"/>
      <c r="J182" s="171"/>
      <c r="K182" s="149"/>
      <c r="L182" s="149"/>
      <c r="M182" s="159"/>
      <c r="N182" s="596">
        <f t="shared" si="12"/>
        <v>22</v>
      </c>
      <c r="O182" s="176"/>
      <c r="P182" s="179">
        <f>IF(A182&lt;&gt;"", Снабжения!H182 / VLOOKUP(A182, 'Курс валют'!$A:$D, 4, 0), "")</f>
        <v>0</v>
      </c>
    </row>
    <row r="183" spans="1:16" ht="20.100000000000001" customHeight="1" x14ac:dyDescent="0.45">
      <c r="A183" s="156">
        <v>46077</v>
      </c>
      <c r="B183" s="151" t="s">
        <v>205</v>
      </c>
      <c r="C183" s="149" t="s">
        <v>69</v>
      </c>
      <c r="D183" s="159" t="s">
        <v>204</v>
      </c>
      <c r="E183" s="180"/>
      <c r="F183" s="458">
        <v>1</v>
      </c>
      <c r="G183" s="164"/>
      <c r="H183" s="169">
        <f t="shared" si="13"/>
        <v>0</v>
      </c>
      <c r="I183" s="173"/>
      <c r="J183" s="171"/>
      <c r="K183" s="149"/>
      <c r="L183" s="149"/>
      <c r="M183" s="159"/>
      <c r="N183" s="596">
        <f t="shared" si="12"/>
        <v>8</v>
      </c>
      <c r="O183" s="176"/>
      <c r="P183" s="179">
        <f>IF(A183&lt;&gt;"", Снабжения!H183 / VLOOKUP(A183, 'Курс валют'!$A:$D, 4, 0), "")</f>
        <v>0</v>
      </c>
    </row>
    <row r="184" spans="1:16" ht="20.100000000000001" customHeight="1" x14ac:dyDescent="0.45">
      <c r="A184" s="156">
        <v>46078</v>
      </c>
      <c r="B184" s="152" t="s">
        <v>189</v>
      </c>
      <c r="C184" s="149" t="s">
        <v>69</v>
      </c>
      <c r="D184" s="159" t="s">
        <v>220</v>
      </c>
      <c r="E184" s="180"/>
      <c r="F184" s="458">
        <v>35</v>
      </c>
      <c r="G184" s="164"/>
      <c r="H184" s="169">
        <f t="shared" si="13"/>
        <v>0</v>
      </c>
      <c r="I184" s="173"/>
      <c r="J184" s="171"/>
      <c r="K184" s="149"/>
      <c r="L184" s="149"/>
      <c r="M184" s="159"/>
      <c r="N184" s="596">
        <f t="shared" si="12"/>
        <v>309</v>
      </c>
      <c r="O184" s="176"/>
      <c r="P184" s="179">
        <f>IF(A184&lt;&gt;"", Снабжения!H184 / VLOOKUP(A184, 'Курс валют'!$A:$D, 4, 0), "")</f>
        <v>0</v>
      </c>
    </row>
    <row r="185" spans="1:16" ht="20.100000000000001" customHeight="1" x14ac:dyDescent="0.45">
      <c r="A185" s="156">
        <v>46078</v>
      </c>
      <c r="B185" s="152" t="s">
        <v>228</v>
      </c>
      <c r="C185" s="149" t="s">
        <v>59</v>
      </c>
      <c r="D185" s="159" t="s">
        <v>187</v>
      </c>
      <c r="E185" s="180"/>
      <c r="F185" s="458">
        <v>150</v>
      </c>
      <c r="G185" s="164"/>
      <c r="H185" s="169">
        <f t="shared" si="13"/>
        <v>0</v>
      </c>
      <c r="I185" s="173"/>
      <c r="J185" s="171"/>
      <c r="K185" s="149"/>
      <c r="L185" s="149"/>
      <c r="M185" s="159"/>
      <c r="N185" s="596">
        <f t="shared" si="12"/>
        <v>125</v>
      </c>
      <c r="O185" s="176"/>
      <c r="P185" s="179">
        <f>IF(A185&lt;&gt;"", Снабжения!H185 / VLOOKUP(A185, 'Курс валют'!$A:$D, 4, 0), "")</f>
        <v>0</v>
      </c>
    </row>
    <row r="186" spans="1:16" ht="20.100000000000001" customHeight="1" x14ac:dyDescent="0.45">
      <c r="A186" s="156">
        <v>46078</v>
      </c>
      <c r="B186" s="152" t="s">
        <v>219</v>
      </c>
      <c r="C186" s="149" t="s">
        <v>59</v>
      </c>
      <c r="D186" s="159" t="s">
        <v>220</v>
      </c>
      <c r="E186" s="180"/>
      <c r="F186" s="458">
        <v>2.5</v>
      </c>
      <c r="G186" s="164"/>
      <c r="H186" s="169">
        <f t="shared" si="13"/>
        <v>0</v>
      </c>
      <c r="I186" s="173"/>
      <c r="J186" s="171"/>
      <c r="K186" s="149"/>
      <c r="L186" s="149"/>
      <c r="M186" s="159"/>
      <c r="N186" s="596">
        <f t="shared" si="12"/>
        <v>41.5</v>
      </c>
      <c r="O186" s="176"/>
      <c r="P186" s="179">
        <f>IF(A186&lt;&gt;"", Снабжения!H186 / VLOOKUP(A186, 'Курс валют'!$A:$D, 4, 0), "")</f>
        <v>0</v>
      </c>
    </row>
    <row r="187" spans="1:16" ht="20.100000000000001" customHeight="1" x14ac:dyDescent="0.45">
      <c r="A187" s="156">
        <v>46079</v>
      </c>
      <c r="B187" s="152" t="s">
        <v>222</v>
      </c>
      <c r="C187" s="149" t="s">
        <v>69</v>
      </c>
      <c r="D187" s="159" t="s">
        <v>220</v>
      </c>
      <c r="E187" s="180"/>
      <c r="F187" s="458">
        <v>3</v>
      </c>
      <c r="G187" s="164"/>
      <c r="H187" s="169">
        <f t="shared" si="13"/>
        <v>0</v>
      </c>
      <c r="I187" s="173"/>
      <c r="J187" s="171"/>
      <c r="K187" s="149"/>
      <c r="L187" s="149"/>
      <c r="M187" s="159"/>
      <c r="N187" s="596">
        <f>SUMIF(B:B,#REF!,E:E)-SUMIF(B:B,#REF!,F:F)</f>
        <v>0</v>
      </c>
      <c r="O187" s="176"/>
      <c r="P187" s="179">
        <f>IF(A187&lt;&gt;"", Снабжения!H187 / VLOOKUP(A187, 'Курс валют'!$A:$D, 4, 0), "")</f>
        <v>0</v>
      </c>
    </row>
    <row r="188" spans="1:16" ht="20.100000000000001" customHeight="1" x14ac:dyDescent="0.45">
      <c r="A188" s="156">
        <v>46079</v>
      </c>
      <c r="B188" s="152" t="s">
        <v>221</v>
      </c>
      <c r="C188" s="149" t="s">
        <v>69</v>
      </c>
      <c r="D188" s="159" t="s">
        <v>220</v>
      </c>
      <c r="E188" s="180"/>
      <c r="F188" s="458">
        <v>3</v>
      </c>
      <c r="G188" s="164"/>
      <c r="H188" s="169">
        <f t="shared" si="13"/>
        <v>0</v>
      </c>
      <c r="I188" s="173"/>
      <c r="J188" s="171"/>
      <c r="K188" s="149"/>
      <c r="L188" s="149"/>
      <c r="M188" s="159"/>
      <c r="N188" s="596">
        <f>SUMIF(B:B,B187,E:E)-SUMIF(B:B,B187,F:F)</f>
        <v>42</v>
      </c>
      <c r="O188" s="176"/>
      <c r="P188" s="179">
        <f>IF(A188&lt;&gt;"", Снабжения!H188 / VLOOKUP(A188, 'Курс валют'!$A:$D, 4, 0), "")</f>
        <v>0</v>
      </c>
    </row>
    <row r="189" spans="1:16" ht="20.100000000000001" customHeight="1" x14ac:dyDescent="0.45">
      <c r="A189" s="156">
        <v>46080</v>
      </c>
      <c r="B189" s="152" t="s">
        <v>191</v>
      </c>
      <c r="C189" s="149" t="s">
        <v>69</v>
      </c>
      <c r="D189" s="159" t="s">
        <v>220</v>
      </c>
      <c r="E189" s="180"/>
      <c r="F189" s="458">
        <v>1</v>
      </c>
      <c r="G189" s="164"/>
      <c r="H189" s="169">
        <f t="shared" si="13"/>
        <v>0</v>
      </c>
      <c r="I189" s="173"/>
      <c r="J189" s="171"/>
      <c r="K189" s="149"/>
      <c r="L189" s="149"/>
      <c r="M189" s="159"/>
      <c r="N189" s="596">
        <f t="shared" ref="N189:N252" si="14">SUMIF(B:B,B189,E:E)-SUMIF(B:B,B189,F:F)</f>
        <v>2</v>
      </c>
      <c r="O189" s="176"/>
      <c r="P189" s="179">
        <f>IF(A189&lt;&gt;"", Снабжения!H189 / VLOOKUP(A189, 'Курс валют'!$A:$D, 4, 0), "")</f>
        <v>0</v>
      </c>
    </row>
    <row r="190" spans="1:16" ht="20.100000000000001" customHeight="1" x14ac:dyDescent="0.45">
      <c r="A190" s="156">
        <v>46080</v>
      </c>
      <c r="B190" s="152" t="s">
        <v>209</v>
      </c>
      <c r="C190" s="149" t="s">
        <v>69</v>
      </c>
      <c r="D190" s="159" t="s">
        <v>220</v>
      </c>
      <c r="E190" s="180"/>
      <c r="F190" s="458">
        <v>1</v>
      </c>
      <c r="G190" s="164"/>
      <c r="H190" s="169">
        <f t="shared" si="13"/>
        <v>0</v>
      </c>
      <c r="I190" s="173"/>
      <c r="J190" s="171"/>
      <c r="K190" s="149"/>
      <c r="L190" s="149"/>
      <c r="M190" s="159"/>
      <c r="N190" s="596">
        <f t="shared" si="14"/>
        <v>128</v>
      </c>
      <c r="O190" s="176"/>
      <c r="P190" s="179">
        <f>IF(A190&lt;&gt;"", Снабжения!H190 / VLOOKUP(A190, 'Курс валют'!$A:$D, 4, 0), "")</f>
        <v>0</v>
      </c>
    </row>
    <row r="191" spans="1:16" ht="20.100000000000001" customHeight="1" x14ac:dyDescent="0.45">
      <c r="A191" s="156">
        <v>46080</v>
      </c>
      <c r="B191" s="152" t="s">
        <v>253</v>
      </c>
      <c r="C191" s="149" t="s">
        <v>69</v>
      </c>
      <c r="D191" s="159" t="s">
        <v>204</v>
      </c>
      <c r="E191" s="180"/>
      <c r="F191" s="458">
        <v>5</v>
      </c>
      <c r="G191" s="164"/>
      <c r="H191" s="169">
        <f t="shared" si="13"/>
        <v>0</v>
      </c>
      <c r="I191" s="173"/>
      <c r="J191" s="171"/>
      <c r="K191" s="149"/>
      <c r="L191" s="149"/>
      <c r="M191" s="159"/>
      <c r="N191" s="596">
        <f t="shared" si="14"/>
        <v>8</v>
      </c>
      <c r="O191" s="176"/>
      <c r="P191" s="179">
        <f>IF(A191&lt;&gt;"", Снабжения!H191 / VLOOKUP(A191, 'Курс валют'!$A:$D, 4, 0), "")</f>
        <v>0</v>
      </c>
    </row>
    <row r="192" spans="1:16" ht="20.100000000000001" customHeight="1" x14ac:dyDescent="0.45">
      <c r="A192" s="156">
        <v>46080</v>
      </c>
      <c r="B192" s="152" t="s">
        <v>188</v>
      </c>
      <c r="C192" s="149" t="s">
        <v>69</v>
      </c>
      <c r="D192" s="159" t="s">
        <v>187</v>
      </c>
      <c r="E192" s="180"/>
      <c r="F192" s="458">
        <v>2.5</v>
      </c>
      <c r="G192" s="164"/>
      <c r="H192" s="169">
        <f t="shared" si="13"/>
        <v>0</v>
      </c>
      <c r="I192" s="173"/>
      <c r="J192" s="171"/>
      <c r="K192" s="149"/>
      <c r="L192" s="149"/>
      <c r="M192" s="159"/>
      <c r="N192" s="596">
        <f t="shared" si="14"/>
        <v>20</v>
      </c>
      <c r="O192" s="176"/>
      <c r="P192" s="179">
        <f>IF(A192&lt;&gt;"", Снабжения!H192 / VLOOKUP(A192, 'Курс валют'!$A:$D, 4, 0), "")</f>
        <v>0</v>
      </c>
    </row>
    <row r="193" spans="1:16" ht="20.100000000000001" customHeight="1" x14ac:dyDescent="0.45">
      <c r="A193" s="156">
        <v>46080</v>
      </c>
      <c r="B193" s="151" t="s">
        <v>228</v>
      </c>
      <c r="C193" s="149" t="s">
        <v>59</v>
      </c>
      <c r="D193" s="159" t="s">
        <v>187</v>
      </c>
      <c r="E193" s="180"/>
      <c r="F193" s="458">
        <v>100</v>
      </c>
      <c r="G193" s="164"/>
      <c r="H193" s="169">
        <f t="shared" si="13"/>
        <v>0</v>
      </c>
      <c r="I193" s="173"/>
      <c r="J193" s="171"/>
      <c r="K193" s="149"/>
      <c r="L193" s="149"/>
      <c r="M193" s="159"/>
      <c r="N193" s="596">
        <f t="shared" si="14"/>
        <v>125</v>
      </c>
      <c r="O193" s="176"/>
      <c r="P193" s="179">
        <f>IF(A193&lt;&gt;"", Снабжения!H193 / VLOOKUP(A193, 'Курс валют'!$A:$D, 4, 0), "")</f>
        <v>0</v>
      </c>
    </row>
    <row r="194" spans="1:16" ht="20.100000000000001" customHeight="1" x14ac:dyDescent="0.45">
      <c r="A194" s="156">
        <v>46081</v>
      </c>
      <c r="B194" s="152" t="s">
        <v>189</v>
      </c>
      <c r="C194" s="149" t="s">
        <v>69</v>
      </c>
      <c r="D194" s="159" t="s">
        <v>220</v>
      </c>
      <c r="E194" s="180"/>
      <c r="F194" s="458">
        <v>31</v>
      </c>
      <c r="G194" s="164"/>
      <c r="H194" s="169">
        <f t="shared" si="13"/>
        <v>0</v>
      </c>
      <c r="I194" s="173"/>
      <c r="J194" s="171"/>
      <c r="K194" s="149"/>
      <c r="L194" s="149"/>
      <c r="M194" s="159"/>
      <c r="N194" s="596">
        <f t="shared" si="14"/>
        <v>309</v>
      </c>
      <c r="O194" s="176"/>
      <c r="P194" s="179">
        <f>IF(A194&lt;&gt;"", Снабжения!H194 / VLOOKUP(A194, 'Курс валют'!$A:$D, 4, 0), "")</f>
        <v>0</v>
      </c>
    </row>
    <row r="195" spans="1:16" ht="20.100000000000001" customHeight="1" x14ac:dyDescent="0.45">
      <c r="A195" s="156">
        <v>46081</v>
      </c>
      <c r="B195" s="152" t="s">
        <v>228</v>
      </c>
      <c r="C195" s="149" t="s">
        <v>59</v>
      </c>
      <c r="D195" s="159" t="s">
        <v>187</v>
      </c>
      <c r="E195" s="180"/>
      <c r="F195" s="458">
        <v>25</v>
      </c>
      <c r="G195" s="164"/>
      <c r="H195" s="169">
        <f t="shared" si="13"/>
        <v>0</v>
      </c>
      <c r="I195" s="173"/>
      <c r="J195" s="171"/>
      <c r="K195" s="149"/>
      <c r="L195" s="149"/>
      <c r="M195" s="159"/>
      <c r="N195" s="596">
        <f t="shared" si="14"/>
        <v>125</v>
      </c>
      <c r="O195" s="176"/>
      <c r="P195" s="179">
        <f>IF(A195&lt;&gt;"", Снабжения!H195 / VLOOKUP(A195, 'Курс валют'!$A:$D, 4, 0), "")</f>
        <v>0</v>
      </c>
    </row>
    <row r="196" spans="1:16" ht="20.100000000000001" customHeight="1" x14ac:dyDescent="0.45">
      <c r="A196" s="156">
        <v>46081</v>
      </c>
      <c r="B196" s="152" t="s">
        <v>219</v>
      </c>
      <c r="C196" s="149" t="s">
        <v>59</v>
      </c>
      <c r="D196" s="159" t="s">
        <v>220</v>
      </c>
      <c r="E196" s="180"/>
      <c r="F196" s="458">
        <v>2.5</v>
      </c>
      <c r="G196" s="164"/>
      <c r="H196" s="169">
        <f t="shared" si="13"/>
        <v>0</v>
      </c>
      <c r="I196" s="173"/>
      <c r="J196" s="171"/>
      <c r="K196" s="149"/>
      <c r="L196" s="149"/>
      <c r="M196" s="159"/>
      <c r="N196" s="596">
        <f t="shared" si="14"/>
        <v>41.5</v>
      </c>
      <c r="O196" s="176"/>
      <c r="P196" s="179">
        <f>IF(A196&lt;&gt;"", Снабжения!H196 / VLOOKUP(A196, 'Курс валют'!$A:$D, 4, 0), "")</f>
        <v>0</v>
      </c>
    </row>
    <row r="197" spans="1:16" ht="20.100000000000001" customHeight="1" x14ac:dyDescent="0.45">
      <c r="A197" s="156">
        <v>46082</v>
      </c>
      <c r="B197" s="152" t="s">
        <v>228</v>
      </c>
      <c r="C197" s="149" t="s">
        <v>59</v>
      </c>
      <c r="D197" s="159" t="s">
        <v>187</v>
      </c>
      <c r="E197" s="180"/>
      <c r="F197" s="458">
        <v>150</v>
      </c>
      <c r="G197" s="164"/>
      <c r="H197" s="169">
        <f t="shared" si="13"/>
        <v>0</v>
      </c>
      <c r="I197" s="173"/>
      <c r="J197" s="171"/>
      <c r="K197" s="149"/>
      <c r="L197" s="149"/>
      <c r="M197" s="159"/>
      <c r="N197" s="596">
        <f t="shared" si="14"/>
        <v>125</v>
      </c>
      <c r="O197" s="176"/>
      <c r="P197" s="179">
        <f>IF(A197&lt;&gt;"", Снабжения!H197 / VLOOKUP(A197, 'Курс валют'!$A:$D, 4, 0), "")</f>
        <v>0</v>
      </c>
    </row>
    <row r="198" spans="1:16" ht="20.100000000000001" customHeight="1" x14ac:dyDescent="0.45">
      <c r="A198" s="156">
        <v>46082</v>
      </c>
      <c r="B198" s="152" t="s">
        <v>189</v>
      </c>
      <c r="C198" s="149" t="s">
        <v>69</v>
      </c>
      <c r="D198" s="159" t="s">
        <v>220</v>
      </c>
      <c r="E198" s="180"/>
      <c r="F198" s="458">
        <v>1</v>
      </c>
      <c r="G198" s="164"/>
      <c r="H198" s="169">
        <f t="shared" si="13"/>
        <v>0</v>
      </c>
      <c r="I198" s="173"/>
      <c r="J198" s="171"/>
      <c r="K198" s="149"/>
      <c r="L198" s="149"/>
      <c r="M198" s="159"/>
      <c r="N198" s="596">
        <f t="shared" si="14"/>
        <v>309</v>
      </c>
      <c r="O198" s="176"/>
      <c r="P198" s="179">
        <f>IF(A198&lt;&gt;"", Снабжения!H198 / VLOOKUP(A198, 'Курс валют'!$A:$D, 4, 0), "")</f>
        <v>0</v>
      </c>
    </row>
    <row r="199" spans="1:16" ht="20.100000000000001" customHeight="1" x14ac:dyDescent="0.45">
      <c r="A199" s="156">
        <v>46082</v>
      </c>
      <c r="B199" s="152" t="s">
        <v>186</v>
      </c>
      <c r="C199" s="149" t="s">
        <v>59</v>
      </c>
      <c r="D199" s="159" t="s">
        <v>187</v>
      </c>
      <c r="E199" s="180"/>
      <c r="F199" s="458">
        <v>2</v>
      </c>
      <c r="G199" s="164"/>
      <c r="H199" s="169">
        <f t="shared" si="13"/>
        <v>0</v>
      </c>
      <c r="I199" s="173"/>
      <c r="J199" s="171"/>
      <c r="K199" s="149"/>
      <c r="L199" s="149"/>
      <c r="M199" s="159"/>
      <c r="N199" s="596">
        <f t="shared" si="14"/>
        <v>40</v>
      </c>
      <c r="O199" s="176"/>
      <c r="P199" s="179">
        <f>IF(A199&lt;&gt;"", Снабжения!H199 / VLOOKUP(A199, 'Курс валют'!$A:$D, 4, 0), "")</f>
        <v>0</v>
      </c>
    </row>
    <row r="200" spans="1:16" ht="20.100000000000001" customHeight="1" x14ac:dyDescent="0.45">
      <c r="A200" s="156">
        <v>46082</v>
      </c>
      <c r="B200" s="152" t="s">
        <v>188</v>
      </c>
      <c r="C200" s="149" t="s">
        <v>268</v>
      </c>
      <c r="D200" s="159" t="s">
        <v>187</v>
      </c>
      <c r="E200" s="180"/>
      <c r="F200" s="458">
        <v>2</v>
      </c>
      <c r="G200" s="164"/>
      <c r="H200" s="169">
        <f t="shared" si="13"/>
        <v>0</v>
      </c>
      <c r="I200" s="173"/>
      <c r="J200" s="171"/>
      <c r="K200" s="149"/>
      <c r="L200" s="149"/>
      <c r="M200" s="159"/>
      <c r="N200" s="596">
        <f t="shared" si="14"/>
        <v>20</v>
      </c>
      <c r="O200" s="176"/>
      <c r="P200" s="179">
        <f>IF(A200&lt;&gt;"", Снабжения!H200 / VLOOKUP(A200, 'Курс валют'!$A:$D, 4, 0), "")</f>
        <v>0</v>
      </c>
    </row>
    <row r="201" spans="1:16" ht="20.100000000000001" customHeight="1" x14ac:dyDescent="0.45">
      <c r="A201" s="156">
        <v>46082</v>
      </c>
      <c r="B201" s="152" t="s">
        <v>219</v>
      </c>
      <c r="C201" s="149" t="s">
        <v>59</v>
      </c>
      <c r="D201" s="159" t="s">
        <v>220</v>
      </c>
      <c r="E201" s="180"/>
      <c r="F201" s="458">
        <v>2.5</v>
      </c>
      <c r="G201" s="164"/>
      <c r="H201" s="169">
        <f t="shared" si="13"/>
        <v>0</v>
      </c>
      <c r="I201" s="173"/>
      <c r="J201" s="171"/>
      <c r="K201" s="149"/>
      <c r="L201" s="149"/>
      <c r="M201" s="159"/>
      <c r="N201" s="596">
        <f t="shared" si="14"/>
        <v>41.5</v>
      </c>
      <c r="O201" s="176"/>
      <c r="P201" s="179">
        <f>IF(A201&lt;&gt;"", Снабжения!H201 / VLOOKUP(A201, 'Курс валют'!$A:$D, 4, 0), "")</f>
        <v>0</v>
      </c>
    </row>
    <row r="202" spans="1:16" ht="20.100000000000001" customHeight="1" x14ac:dyDescent="0.45">
      <c r="A202" s="156">
        <v>46082</v>
      </c>
      <c r="B202" s="152" t="s">
        <v>222</v>
      </c>
      <c r="C202" s="149" t="s">
        <v>69</v>
      </c>
      <c r="D202" s="159" t="s">
        <v>220</v>
      </c>
      <c r="E202" s="180"/>
      <c r="F202" s="458">
        <v>3</v>
      </c>
      <c r="G202" s="164"/>
      <c r="H202" s="169">
        <f t="shared" si="13"/>
        <v>0</v>
      </c>
      <c r="I202" s="173"/>
      <c r="J202" s="171"/>
      <c r="K202" s="149"/>
      <c r="L202" s="149"/>
      <c r="M202" s="159"/>
      <c r="N202" s="596">
        <f t="shared" si="14"/>
        <v>42</v>
      </c>
      <c r="O202" s="176"/>
      <c r="P202" s="179">
        <f>IF(A202&lt;&gt;"", Снабжения!H202 / VLOOKUP(A202, 'Курс валют'!$A:$D, 4, 0), "")</f>
        <v>0</v>
      </c>
    </row>
    <row r="203" spans="1:16" ht="20.100000000000001" customHeight="1" x14ac:dyDescent="0.45">
      <c r="A203" s="156">
        <v>46083</v>
      </c>
      <c r="B203" s="151" t="s">
        <v>208</v>
      </c>
      <c r="C203" s="149" t="s">
        <v>69</v>
      </c>
      <c r="D203" s="159" t="s">
        <v>220</v>
      </c>
      <c r="E203" s="180">
        <v>20</v>
      </c>
      <c r="F203" s="458"/>
      <c r="G203" s="164">
        <v>14030</v>
      </c>
      <c r="H203" s="169">
        <f t="shared" si="13"/>
        <v>280600</v>
      </c>
      <c r="I203" s="173"/>
      <c r="J203" s="171"/>
      <c r="K203" s="149"/>
      <c r="L203" s="149"/>
      <c r="M203" s="159"/>
      <c r="N203" s="596">
        <f t="shared" si="14"/>
        <v>10</v>
      </c>
      <c r="O203" s="176"/>
      <c r="P203" s="179">
        <f>IF(A203&lt;&gt;"", Снабжения!H203 / VLOOKUP(A203, 'Курс валют'!$A:$D, 4, 0), "")</f>
        <v>23.228476821192054</v>
      </c>
    </row>
    <row r="204" spans="1:16" ht="20.100000000000001" customHeight="1" x14ac:dyDescent="0.45">
      <c r="A204" s="156">
        <v>46083</v>
      </c>
      <c r="B204" s="152" t="s">
        <v>269</v>
      </c>
      <c r="C204" s="149" t="s">
        <v>69</v>
      </c>
      <c r="D204" s="159" t="s">
        <v>204</v>
      </c>
      <c r="E204" s="180">
        <v>10</v>
      </c>
      <c r="F204" s="458"/>
      <c r="G204" s="164">
        <v>9882</v>
      </c>
      <c r="H204" s="169">
        <f t="shared" si="13"/>
        <v>98820</v>
      </c>
      <c r="I204" s="173"/>
      <c r="J204" s="171"/>
      <c r="K204" s="149"/>
      <c r="L204" s="149"/>
      <c r="M204" s="159"/>
      <c r="N204" s="596">
        <f t="shared" si="14"/>
        <v>10</v>
      </c>
      <c r="O204" s="176"/>
      <c r="P204" s="179">
        <f>IF(A204&lt;&gt;"", Снабжения!H204 / VLOOKUP(A204, 'Курс валют'!$A:$D, 4, 0), "")</f>
        <v>8.1804635761589406</v>
      </c>
    </row>
    <row r="205" spans="1:16" ht="20.100000000000001" customHeight="1" x14ac:dyDescent="0.45">
      <c r="A205" s="156">
        <v>46083</v>
      </c>
      <c r="B205" s="152" t="s">
        <v>270</v>
      </c>
      <c r="C205" s="149" t="s">
        <v>69</v>
      </c>
      <c r="D205" s="159" t="s">
        <v>204</v>
      </c>
      <c r="E205" s="180">
        <v>10</v>
      </c>
      <c r="F205" s="458">
        <v>10</v>
      </c>
      <c r="G205" s="164">
        <v>11224</v>
      </c>
      <c r="H205" s="169">
        <f t="shared" si="13"/>
        <v>112240</v>
      </c>
      <c r="I205" s="173"/>
      <c r="J205" s="171"/>
      <c r="K205" s="149"/>
      <c r="L205" s="149"/>
      <c r="M205" s="159"/>
      <c r="N205" s="596">
        <f t="shared" si="14"/>
        <v>0</v>
      </c>
      <c r="O205" s="176"/>
      <c r="P205" s="179">
        <f>IF(A205&lt;&gt;"", Снабжения!H205 / VLOOKUP(A205, 'Курс валют'!$A:$D, 4, 0), "")</f>
        <v>9.2913907284768218</v>
      </c>
    </row>
    <row r="206" spans="1:16" ht="20.100000000000001" customHeight="1" x14ac:dyDescent="0.45">
      <c r="A206" s="156">
        <v>46083</v>
      </c>
      <c r="B206" s="152" t="s">
        <v>253</v>
      </c>
      <c r="C206" s="149" t="s">
        <v>69</v>
      </c>
      <c r="D206" s="159" t="s">
        <v>204</v>
      </c>
      <c r="E206" s="180">
        <v>30</v>
      </c>
      <c r="F206" s="458"/>
      <c r="G206" s="164">
        <v>3904</v>
      </c>
      <c r="H206" s="169">
        <f t="shared" si="13"/>
        <v>117120</v>
      </c>
      <c r="I206" s="173"/>
      <c r="J206" s="171"/>
      <c r="K206" s="149"/>
      <c r="L206" s="149"/>
      <c r="M206" s="159"/>
      <c r="N206" s="596">
        <f t="shared" si="14"/>
        <v>8</v>
      </c>
      <c r="O206" s="176"/>
      <c r="P206" s="179">
        <f>IF(A206&lt;&gt;"", Снабжения!H206 / VLOOKUP(A206, 'Курс валют'!$A:$D, 4, 0), "")</f>
        <v>9.6953642384105958</v>
      </c>
    </row>
    <row r="207" spans="1:16" ht="20.100000000000001" customHeight="1" x14ac:dyDescent="0.45">
      <c r="A207" s="156">
        <v>46083</v>
      </c>
      <c r="B207" s="152" t="s">
        <v>271</v>
      </c>
      <c r="C207" s="149" t="s">
        <v>69</v>
      </c>
      <c r="D207" s="159" t="s">
        <v>220</v>
      </c>
      <c r="E207" s="180">
        <v>25</v>
      </c>
      <c r="F207" s="458"/>
      <c r="G207" s="164">
        <v>9150</v>
      </c>
      <c r="H207" s="169">
        <f t="shared" si="13"/>
        <v>228750</v>
      </c>
      <c r="I207" s="173"/>
      <c r="J207" s="171"/>
      <c r="K207" s="149"/>
      <c r="L207" s="149"/>
      <c r="M207" s="159"/>
      <c r="N207" s="596">
        <f t="shared" si="14"/>
        <v>42</v>
      </c>
      <c r="O207" s="176"/>
      <c r="P207" s="179">
        <f>IF(A207&lt;&gt;"", Снабжения!H207 / VLOOKUP(A207, 'Курс валют'!$A:$D, 4, 0), "")</f>
        <v>18.936258278145694</v>
      </c>
    </row>
    <row r="208" spans="1:16" ht="20.100000000000001" customHeight="1" x14ac:dyDescent="0.45">
      <c r="A208" s="156">
        <v>46083</v>
      </c>
      <c r="B208" s="152" t="s">
        <v>272</v>
      </c>
      <c r="C208" s="149" t="s">
        <v>69</v>
      </c>
      <c r="D208" s="159" t="s">
        <v>220</v>
      </c>
      <c r="E208" s="180">
        <v>25</v>
      </c>
      <c r="F208" s="458"/>
      <c r="G208" s="164">
        <v>12078</v>
      </c>
      <c r="H208" s="169">
        <f t="shared" si="13"/>
        <v>301950</v>
      </c>
      <c r="I208" s="173"/>
      <c r="J208" s="171"/>
      <c r="K208" s="149"/>
      <c r="L208" s="149"/>
      <c r="M208" s="159"/>
      <c r="N208" s="596">
        <f t="shared" si="14"/>
        <v>87</v>
      </c>
      <c r="O208" s="176"/>
      <c r="P208" s="179">
        <f>IF(A208&lt;&gt;"", Снабжения!H208 / VLOOKUP(A208, 'Курс валют'!$A:$D, 4, 0), "")</f>
        <v>24.995860927152318</v>
      </c>
    </row>
    <row r="209" spans="1:16" ht="20.100000000000001" customHeight="1" x14ac:dyDescent="0.45">
      <c r="A209" s="156">
        <v>46083</v>
      </c>
      <c r="B209" s="152" t="s">
        <v>273</v>
      </c>
      <c r="C209" s="149" t="s">
        <v>69</v>
      </c>
      <c r="D209" s="159" t="s">
        <v>220</v>
      </c>
      <c r="E209" s="180">
        <v>2</v>
      </c>
      <c r="F209" s="458"/>
      <c r="G209" s="164">
        <v>133346</v>
      </c>
      <c r="H209" s="169">
        <f t="shared" si="13"/>
        <v>266692</v>
      </c>
      <c r="I209" s="173"/>
      <c r="J209" s="171"/>
      <c r="K209" s="149"/>
      <c r="L209" s="149"/>
      <c r="M209" s="159"/>
      <c r="N209" s="596">
        <f t="shared" si="14"/>
        <v>2</v>
      </c>
      <c r="O209" s="176"/>
      <c r="P209" s="179">
        <f>IF(A209&lt;&gt;"", Снабжения!H209 / VLOOKUP(A209, 'Курс валют'!$A:$D, 4, 0), "")</f>
        <v>22.077152317880795</v>
      </c>
    </row>
    <row r="210" spans="1:16" ht="20.100000000000001" customHeight="1" x14ac:dyDescent="0.45">
      <c r="A210" s="156">
        <v>46083</v>
      </c>
      <c r="B210" s="152" t="s">
        <v>212</v>
      </c>
      <c r="C210" s="149" t="s">
        <v>85</v>
      </c>
      <c r="D210" s="159" t="s">
        <v>204</v>
      </c>
      <c r="E210" s="180">
        <v>100</v>
      </c>
      <c r="F210" s="458"/>
      <c r="G210" s="164">
        <v>13944</v>
      </c>
      <c r="H210" s="169">
        <f t="shared" si="13"/>
        <v>1394400</v>
      </c>
      <c r="I210" s="173"/>
      <c r="J210" s="171"/>
      <c r="K210" s="149"/>
      <c r="L210" s="149"/>
      <c r="M210" s="159"/>
      <c r="N210" s="596">
        <f t="shared" si="14"/>
        <v>74.5</v>
      </c>
      <c r="O210" s="176"/>
      <c r="P210" s="179">
        <f>IF(A210&lt;&gt;"", Снабжения!H210 / VLOOKUP(A210, 'Курс валют'!$A:$D, 4, 0), "")</f>
        <v>115.43046357615894</v>
      </c>
    </row>
    <row r="211" spans="1:16" ht="20.100000000000001" customHeight="1" x14ac:dyDescent="0.45">
      <c r="A211" s="156">
        <v>46083</v>
      </c>
      <c r="B211" s="152" t="s">
        <v>227</v>
      </c>
      <c r="C211" s="149" t="s">
        <v>69</v>
      </c>
      <c r="D211" s="159" t="s">
        <v>177</v>
      </c>
      <c r="E211" s="180">
        <v>1</v>
      </c>
      <c r="F211" s="458"/>
      <c r="G211" s="164">
        <v>263520</v>
      </c>
      <c r="H211" s="169">
        <f t="shared" si="13"/>
        <v>263520</v>
      </c>
      <c r="I211" s="173"/>
      <c r="J211" s="171"/>
      <c r="K211" s="149"/>
      <c r="L211" s="149"/>
      <c r="M211" s="159"/>
      <c r="N211" s="596">
        <f t="shared" si="14"/>
        <v>1</v>
      </c>
      <c r="O211" s="176"/>
      <c r="P211" s="179">
        <f>IF(A211&lt;&gt;"", Снабжения!H211 / VLOOKUP(A211, 'Курс валют'!$A:$D, 4, 0), "")</f>
        <v>21.814569536423843</v>
      </c>
    </row>
    <row r="212" spans="1:16" ht="20.100000000000001" customHeight="1" x14ac:dyDescent="0.45">
      <c r="A212" s="156">
        <v>46083</v>
      </c>
      <c r="B212" s="152" t="s">
        <v>240</v>
      </c>
      <c r="C212" s="149" t="s">
        <v>69</v>
      </c>
      <c r="D212" s="159" t="s">
        <v>220</v>
      </c>
      <c r="E212" s="180">
        <v>20</v>
      </c>
      <c r="F212" s="458"/>
      <c r="G212" s="164">
        <v>9150</v>
      </c>
      <c r="H212" s="169">
        <f t="shared" si="13"/>
        <v>183000</v>
      </c>
      <c r="I212" s="173"/>
      <c r="J212" s="171"/>
      <c r="K212" s="149"/>
      <c r="L212" s="149"/>
      <c r="M212" s="159"/>
      <c r="N212" s="596">
        <f t="shared" si="14"/>
        <v>9</v>
      </c>
      <c r="O212" s="176"/>
      <c r="P212" s="179">
        <f>IF(A212&lt;&gt;"", Снабжения!H212 / VLOOKUP(A212, 'Курс валют'!$A:$D, 4, 0), "")</f>
        <v>15.149006622516556</v>
      </c>
    </row>
    <row r="213" spans="1:16" ht="20.100000000000001" customHeight="1" x14ac:dyDescent="0.45">
      <c r="A213" s="156">
        <v>46083</v>
      </c>
      <c r="B213" s="151" t="s">
        <v>274</v>
      </c>
      <c r="C213" s="149" t="s">
        <v>69</v>
      </c>
      <c r="D213" s="159" t="s">
        <v>220</v>
      </c>
      <c r="E213" s="180">
        <v>20</v>
      </c>
      <c r="F213" s="458"/>
      <c r="G213" s="164">
        <v>28548</v>
      </c>
      <c r="H213" s="169">
        <f t="shared" si="13"/>
        <v>570960</v>
      </c>
      <c r="I213" s="173"/>
      <c r="J213" s="171"/>
      <c r="K213" s="149"/>
      <c r="L213" s="149"/>
      <c r="M213" s="159"/>
      <c r="N213" s="596">
        <f t="shared" si="14"/>
        <v>7</v>
      </c>
      <c r="O213" s="176"/>
      <c r="P213" s="179">
        <f>IF(A213&lt;&gt;"", Снабжения!H213 / VLOOKUP(A213, 'Курс валют'!$A:$D, 4, 0), "")</f>
        <v>47.264900662251655</v>
      </c>
    </row>
    <row r="214" spans="1:16" ht="20.100000000000001" customHeight="1" x14ac:dyDescent="0.45">
      <c r="A214" s="156">
        <v>46083</v>
      </c>
      <c r="B214" s="152" t="s">
        <v>275</v>
      </c>
      <c r="C214" s="149" t="s">
        <v>69</v>
      </c>
      <c r="D214" s="159" t="s">
        <v>177</v>
      </c>
      <c r="E214" s="180">
        <v>2</v>
      </c>
      <c r="F214" s="458"/>
      <c r="G214" s="164">
        <v>135000</v>
      </c>
      <c r="H214" s="169">
        <f t="shared" si="13"/>
        <v>270000</v>
      </c>
      <c r="I214" s="173"/>
      <c r="J214" s="171"/>
      <c r="K214" s="149"/>
      <c r="L214" s="149"/>
      <c r="M214" s="159"/>
      <c r="N214" s="596">
        <f t="shared" si="14"/>
        <v>2</v>
      </c>
      <c r="O214" s="176"/>
      <c r="P214" s="179">
        <f>IF(A214&lt;&gt;"", Снабжения!H214 / VLOOKUP(A214, 'Курс валют'!$A:$D, 4, 0), "")</f>
        <v>22.350993377483444</v>
      </c>
    </row>
    <row r="215" spans="1:16" ht="20.100000000000001" customHeight="1" x14ac:dyDescent="0.45">
      <c r="A215" s="156">
        <v>46083</v>
      </c>
      <c r="B215" s="152" t="s">
        <v>185</v>
      </c>
      <c r="C215" s="149" t="s">
        <v>69</v>
      </c>
      <c r="D215" s="159" t="s">
        <v>177</v>
      </c>
      <c r="E215" s="180">
        <v>10</v>
      </c>
      <c r="F215" s="458"/>
      <c r="G215" s="164">
        <v>79666</v>
      </c>
      <c r="H215" s="169">
        <f t="shared" si="13"/>
        <v>796660</v>
      </c>
      <c r="I215" s="173"/>
      <c r="J215" s="171"/>
      <c r="K215" s="149"/>
      <c r="L215" s="149"/>
      <c r="M215" s="159"/>
      <c r="N215" s="596">
        <f t="shared" si="14"/>
        <v>10</v>
      </c>
      <c r="O215" s="176"/>
      <c r="P215" s="179">
        <f>IF(A215&lt;&gt;"", Снабжения!H215 / VLOOKUP(A215, 'Курс валют'!$A:$D, 4, 0), "")</f>
        <v>65.948675496688736</v>
      </c>
    </row>
    <row r="216" spans="1:16" ht="20.100000000000001" customHeight="1" x14ac:dyDescent="0.45">
      <c r="A216" s="156">
        <v>46083</v>
      </c>
      <c r="B216" s="152" t="s">
        <v>276</v>
      </c>
      <c r="C216" s="149" t="s">
        <v>85</v>
      </c>
      <c r="D216" s="159" t="s">
        <v>187</v>
      </c>
      <c r="E216" s="180">
        <v>150</v>
      </c>
      <c r="F216" s="458"/>
      <c r="G216" s="164">
        <v>15616</v>
      </c>
      <c r="H216" s="169">
        <f t="shared" si="13"/>
        <v>2342400</v>
      </c>
      <c r="I216" s="173"/>
      <c r="J216" s="171"/>
      <c r="K216" s="149"/>
      <c r="L216" s="149"/>
      <c r="M216" s="159"/>
      <c r="N216" s="596">
        <f t="shared" si="14"/>
        <v>20</v>
      </c>
      <c r="O216" s="176"/>
      <c r="P216" s="179">
        <f>IF(A216&lt;&gt;"", Снабжения!H216 / VLOOKUP(A216, 'Курс валют'!$A:$D, 4, 0), "")</f>
        <v>193.90728476821192</v>
      </c>
    </row>
    <row r="217" spans="1:16" ht="20.100000000000001" customHeight="1" x14ac:dyDescent="0.45">
      <c r="A217" s="156">
        <v>46083</v>
      </c>
      <c r="B217" s="152" t="s">
        <v>277</v>
      </c>
      <c r="C217" s="149" t="s">
        <v>69</v>
      </c>
      <c r="D217" s="159" t="s">
        <v>177</v>
      </c>
      <c r="E217" s="180">
        <v>2</v>
      </c>
      <c r="F217" s="458"/>
      <c r="G217" s="164">
        <v>29402</v>
      </c>
      <c r="H217" s="169">
        <f t="shared" si="13"/>
        <v>58804</v>
      </c>
      <c r="I217" s="173"/>
      <c r="J217" s="171"/>
      <c r="K217" s="149"/>
      <c r="L217" s="149"/>
      <c r="M217" s="159"/>
      <c r="N217" s="596">
        <f t="shared" si="14"/>
        <v>1</v>
      </c>
      <c r="O217" s="176"/>
      <c r="P217" s="179">
        <f>IF(A217&lt;&gt;"", Снабжения!H217 / VLOOKUP(A217, 'Курс валют'!$A:$D, 4, 0), "")</f>
        <v>4.8678807947019864</v>
      </c>
    </row>
    <row r="218" spans="1:16" ht="20.100000000000001" customHeight="1" x14ac:dyDescent="0.45">
      <c r="A218" s="156">
        <v>46083</v>
      </c>
      <c r="B218" s="152" t="s">
        <v>91</v>
      </c>
      <c r="C218" s="149" t="s">
        <v>65</v>
      </c>
      <c r="D218" s="159"/>
      <c r="E218" s="180"/>
      <c r="F218" s="458"/>
      <c r="G218" s="164"/>
      <c r="H218" s="169">
        <v>200000</v>
      </c>
      <c r="I218" s="173"/>
      <c r="J218" s="171"/>
      <c r="K218" s="149"/>
      <c r="L218" s="149"/>
      <c r="M218" s="159"/>
      <c r="N218" s="596">
        <f t="shared" si="14"/>
        <v>8</v>
      </c>
      <c r="O218" s="176"/>
      <c r="P218" s="179">
        <f>IF(A218&lt;&gt;"", Снабжения!H218 / VLOOKUP(A218, 'Курс валют'!$A:$D, 4, 0), "")</f>
        <v>16.556291390728475</v>
      </c>
    </row>
    <row r="219" spans="1:16" ht="20.100000000000001" customHeight="1" x14ac:dyDescent="0.45">
      <c r="A219" s="156">
        <v>46083</v>
      </c>
      <c r="B219" s="152" t="s">
        <v>186</v>
      </c>
      <c r="C219" s="149" t="s">
        <v>59</v>
      </c>
      <c r="D219" s="159" t="s">
        <v>187</v>
      </c>
      <c r="E219" s="180"/>
      <c r="F219" s="458">
        <v>3</v>
      </c>
      <c r="G219" s="164"/>
      <c r="H219" s="169">
        <f t="shared" si="13"/>
        <v>0</v>
      </c>
      <c r="I219" s="173"/>
      <c r="J219" s="171"/>
      <c r="K219" s="149"/>
      <c r="L219" s="149"/>
      <c r="M219" s="159"/>
      <c r="N219" s="596">
        <f t="shared" si="14"/>
        <v>40</v>
      </c>
      <c r="O219" s="176"/>
      <c r="P219" s="179">
        <f>IF(A219&lt;&gt;"", Снабжения!H219 / VLOOKUP(A219, 'Курс валют'!$A:$D, 4, 0), "")</f>
        <v>0</v>
      </c>
    </row>
    <row r="220" spans="1:16" ht="20.100000000000001" customHeight="1" x14ac:dyDescent="0.45">
      <c r="A220" s="156">
        <v>46083</v>
      </c>
      <c r="B220" s="152" t="s">
        <v>188</v>
      </c>
      <c r="C220" s="149" t="s">
        <v>268</v>
      </c>
      <c r="D220" s="159" t="s">
        <v>187</v>
      </c>
      <c r="E220" s="180"/>
      <c r="F220" s="458">
        <v>2</v>
      </c>
      <c r="G220" s="164"/>
      <c r="H220" s="169">
        <f t="shared" si="13"/>
        <v>0</v>
      </c>
      <c r="I220" s="173"/>
      <c r="J220" s="171"/>
      <c r="K220" s="149"/>
      <c r="L220" s="149"/>
      <c r="M220" s="159"/>
      <c r="N220" s="596">
        <f t="shared" si="14"/>
        <v>20</v>
      </c>
      <c r="O220" s="176"/>
      <c r="P220" s="179">
        <f>IF(A220&lt;&gt;"", Снабжения!H220 / VLOOKUP(A220, 'Курс валют'!$A:$D, 4, 0), "")</f>
        <v>0</v>
      </c>
    </row>
    <row r="221" spans="1:16" ht="20.100000000000001" customHeight="1" x14ac:dyDescent="0.45">
      <c r="A221" s="156">
        <v>46083</v>
      </c>
      <c r="B221" s="152" t="s">
        <v>223</v>
      </c>
      <c r="C221" s="149" t="s">
        <v>69</v>
      </c>
      <c r="D221" s="159" t="s">
        <v>220</v>
      </c>
      <c r="E221" s="180"/>
      <c r="F221" s="458">
        <v>1</v>
      </c>
      <c r="G221" s="164"/>
      <c r="H221" s="169">
        <f t="shared" si="13"/>
        <v>0</v>
      </c>
      <c r="I221" s="173"/>
      <c r="J221" s="171"/>
      <c r="K221" s="149"/>
      <c r="L221" s="149"/>
      <c r="M221" s="159"/>
      <c r="N221" s="596">
        <f t="shared" si="14"/>
        <v>8</v>
      </c>
      <c r="O221" s="176"/>
      <c r="P221" s="179">
        <f>IF(A221&lt;&gt;"", Снабжения!H221 / VLOOKUP(A221, 'Курс валют'!$A:$D, 4, 0), "")</f>
        <v>0</v>
      </c>
    </row>
    <row r="222" spans="1:16" ht="20.100000000000001" customHeight="1" x14ac:dyDescent="0.45">
      <c r="A222" s="156">
        <v>46083</v>
      </c>
      <c r="B222" s="151" t="s">
        <v>230</v>
      </c>
      <c r="C222" s="149" t="s">
        <v>85</v>
      </c>
      <c r="D222" s="159" t="s">
        <v>220</v>
      </c>
      <c r="E222" s="180"/>
      <c r="F222" s="458"/>
      <c r="G222" s="164"/>
      <c r="H222" s="169">
        <f t="shared" si="13"/>
        <v>0</v>
      </c>
      <c r="I222" s="173"/>
      <c r="J222" s="171"/>
      <c r="K222" s="149"/>
      <c r="L222" s="149"/>
      <c r="M222" s="159"/>
      <c r="N222" s="596">
        <f t="shared" si="14"/>
        <v>400</v>
      </c>
      <c r="O222" s="176"/>
      <c r="P222" s="179">
        <f>IF(A222&lt;&gt;"", Снабжения!H222 / VLOOKUP(A222, 'Курс валют'!$A:$D, 4, 0), "")</f>
        <v>0</v>
      </c>
    </row>
    <row r="223" spans="1:16" ht="20.100000000000001" customHeight="1" x14ac:dyDescent="0.45">
      <c r="A223" s="156">
        <v>46083</v>
      </c>
      <c r="B223" s="152" t="s">
        <v>208</v>
      </c>
      <c r="C223" s="149" t="s">
        <v>69</v>
      </c>
      <c r="D223" s="159" t="s">
        <v>220</v>
      </c>
      <c r="E223" s="180"/>
      <c r="F223" s="458">
        <v>5</v>
      </c>
      <c r="G223" s="164"/>
      <c r="H223" s="169">
        <f t="shared" si="13"/>
        <v>0</v>
      </c>
      <c r="I223" s="173"/>
      <c r="J223" s="171"/>
      <c r="K223" s="149"/>
      <c r="L223" s="149"/>
      <c r="M223" s="159"/>
      <c r="N223" s="596">
        <f t="shared" si="14"/>
        <v>10</v>
      </c>
      <c r="O223" s="176"/>
      <c r="P223" s="179">
        <f>IF(A223&lt;&gt;"", Снабжения!H223 / VLOOKUP(A223, 'Курс валют'!$A:$D, 4, 0), "")</f>
        <v>0</v>
      </c>
    </row>
    <row r="224" spans="1:16" ht="20.100000000000001" customHeight="1" x14ac:dyDescent="0.45">
      <c r="A224" s="156">
        <v>46083</v>
      </c>
      <c r="B224" s="151" t="s">
        <v>240</v>
      </c>
      <c r="C224" s="149" t="s">
        <v>69</v>
      </c>
      <c r="D224" s="159" t="s">
        <v>220</v>
      </c>
      <c r="E224" s="180"/>
      <c r="F224" s="458">
        <v>2</v>
      </c>
      <c r="G224" s="164"/>
      <c r="H224" s="169">
        <f t="shared" si="13"/>
        <v>0</v>
      </c>
      <c r="I224" s="173"/>
      <c r="J224" s="171"/>
      <c r="K224" s="149"/>
      <c r="L224" s="149"/>
      <c r="M224" s="159"/>
      <c r="N224" s="596">
        <f t="shared" si="14"/>
        <v>9</v>
      </c>
      <c r="O224" s="176"/>
      <c r="P224" s="179">
        <f>IF(A224&lt;&gt;"", Снабжения!H224 / VLOOKUP(A224, 'Курс валют'!$A:$D, 4, 0), "")</f>
        <v>0</v>
      </c>
    </row>
    <row r="225" spans="1:16" ht="20.100000000000001" customHeight="1" x14ac:dyDescent="0.45">
      <c r="A225" s="156">
        <v>46083</v>
      </c>
      <c r="B225" s="152" t="s">
        <v>263</v>
      </c>
      <c r="C225" s="149" t="s">
        <v>69</v>
      </c>
      <c r="D225" s="159" t="s">
        <v>220</v>
      </c>
      <c r="E225" s="180"/>
      <c r="F225" s="458">
        <v>2</v>
      </c>
      <c r="G225" s="164"/>
      <c r="H225" s="169">
        <f t="shared" si="13"/>
        <v>0</v>
      </c>
      <c r="I225" s="173"/>
      <c r="J225" s="171"/>
      <c r="K225" s="149"/>
      <c r="L225" s="149"/>
      <c r="M225" s="159"/>
      <c r="N225" s="596">
        <f t="shared" si="14"/>
        <v>18</v>
      </c>
      <c r="O225" s="176"/>
      <c r="P225" s="179">
        <f>IF(A225&lt;&gt;"", Снабжения!H225 / VLOOKUP(A225, 'Курс валют'!$A:$D, 4, 0), "")</f>
        <v>0</v>
      </c>
    </row>
    <row r="226" spans="1:16" ht="20.100000000000001" customHeight="1" x14ac:dyDescent="0.45">
      <c r="A226" s="156">
        <v>46084</v>
      </c>
      <c r="B226" s="151" t="s">
        <v>230</v>
      </c>
      <c r="C226" s="149" t="s">
        <v>85</v>
      </c>
      <c r="D226" s="159" t="s">
        <v>220</v>
      </c>
      <c r="E226" s="180">
        <v>500</v>
      </c>
      <c r="F226" s="458"/>
      <c r="G226" s="164">
        <v>3750</v>
      </c>
      <c r="H226" s="169">
        <f>G226*E226</f>
        <v>1875000</v>
      </c>
      <c r="I226" s="173"/>
      <c r="J226" s="171"/>
      <c r="K226" s="149"/>
      <c r="L226" s="149"/>
      <c r="M226" s="159"/>
      <c r="N226" s="596">
        <f t="shared" si="14"/>
        <v>400</v>
      </c>
      <c r="O226" s="176"/>
      <c r="P226" s="179">
        <f>IF(A226&lt;&gt;"", Снабжения!H226 / VLOOKUP(A226, 'Курс валют'!$A:$D, 4, 0), "")</f>
        <v>155.21523178807948</v>
      </c>
    </row>
    <row r="227" spans="1:16" ht="20.100000000000001" customHeight="1" x14ac:dyDescent="0.45">
      <c r="A227" s="156">
        <v>46084</v>
      </c>
      <c r="B227" s="151" t="s">
        <v>91</v>
      </c>
      <c r="C227" s="149" t="s">
        <v>65</v>
      </c>
      <c r="D227" s="159"/>
      <c r="E227" s="180"/>
      <c r="F227" s="458"/>
      <c r="G227" s="164"/>
      <c r="H227" s="169">
        <v>150000</v>
      </c>
      <c r="I227" s="173"/>
      <c r="J227" s="171"/>
      <c r="K227" s="149"/>
      <c r="L227" s="149"/>
      <c r="M227" s="159"/>
      <c r="N227" s="596">
        <f t="shared" si="14"/>
        <v>8</v>
      </c>
      <c r="O227" s="176"/>
      <c r="P227" s="179">
        <f>IF(A227&lt;&gt;"", Снабжения!H227 / VLOOKUP(A227, 'Курс валют'!$A:$D, 4, 0), "")</f>
        <v>12.417218543046358</v>
      </c>
    </row>
    <row r="228" spans="1:16" ht="20.100000000000001" customHeight="1" x14ac:dyDescent="0.45">
      <c r="A228" s="156">
        <v>46084</v>
      </c>
      <c r="B228" s="152" t="s">
        <v>189</v>
      </c>
      <c r="C228" s="149" t="s">
        <v>69</v>
      </c>
      <c r="D228" s="159" t="s">
        <v>220</v>
      </c>
      <c r="E228" s="180"/>
      <c r="F228" s="458">
        <v>32</v>
      </c>
      <c r="G228" s="164"/>
      <c r="H228" s="169">
        <f t="shared" ref="H228:H293" si="15">G228*E228</f>
        <v>0</v>
      </c>
      <c r="I228" s="173"/>
      <c r="J228" s="171"/>
      <c r="K228" s="149"/>
      <c r="L228" s="149"/>
      <c r="M228" s="159"/>
      <c r="N228" s="596">
        <f t="shared" si="14"/>
        <v>309</v>
      </c>
      <c r="O228" s="176"/>
      <c r="P228" s="179">
        <f>IF(A228&lt;&gt;"", Снабжения!H228 / VLOOKUP(A228, 'Курс валют'!$A:$D, 4, 0), "")</f>
        <v>0</v>
      </c>
    </row>
    <row r="229" spans="1:16" ht="20.100000000000001" customHeight="1" x14ac:dyDescent="0.45">
      <c r="A229" s="156">
        <v>46084</v>
      </c>
      <c r="B229" s="152" t="s">
        <v>228</v>
      </c>
      <c r="C229" s="149" t="s">
        <v>59</v>
      </c>
      <c r="D229" s="159" t="s">
        <v>187</v>
      </c>
      <c r="E229" s="180"/>
      <c r="F229" s="458">
        <v>25</v>
      </c>
      <c r="G229" s="164"/>
      <c r="H229" s="169">
        <f t="shared" si="15"/>
        <v>0</v>
      </c>
      <c r="I229" s="173"/>
      <c r="J229" s="171"/>
      <c r="K229" s="149"/>
      <c r="L229" s="149"/>
      <c r="M229" s="159"/>
      <c r="N229" s="596">
        <f t="shared" si="14"/>
        <v>125</v>
      </c>
      <c r="O229" s="176"/>
      <c r="P229" s="179">
        <f>IF(A229&lt;&gt;"", Снабжения!H229 / VLOOKUP(A229, 'Курс валют'!$A:$D, 4, 0), "")</f>
        <v>0</v>
      </c>
    </row>
    <row r="230" spans="1:16" ht="20.100000000000001" customHeight="1" x14ac:dyDescent="0.45">
      <c r="A230" s="156">
        <v>46084</v>
      </c>
      <c r="B230" s="152" t="s">
        <v>254</v>
      </c>
      <c r="C230" s="149" t="s">
        <v>69</v>
      </c>
      <c r="D230" s="159" t="s">
        <v>220</v>
      </c>
      <c r="E230" s="180"/>
      <c r="F230" s="458">
        <v>6</v>
      </c>
      <c r="G230" s="164"/>
      <c r="H230" s="169">
        <f t="shared" si="15"/>
        <v>0</v>
      </c>
      <c r="I230" s="173"/>
      <c r="J230" s="171"/>
      <c r="K230" s="149"/>
      <c r="L230" s="149"/>
      <c r="M230" s="159"/>
      <c r="N230" s="596">
        <f t="shared" si="14"/>
        <v>33</v>
      </c>
      <c r="O230" s="176"/>
      <c r="P230" s="179">
        <f>IF(A230&lt;&gt;"", Снабжения!H230 / VLOOKUP(A230, 'Курс валют'!$A:$D, 4, 0), "")</f>
        <v>0</v>
      </c>
    </row>
    <row r="231" spans="1:16" ht="20.100000000000001" customHeight="1" x14ac:dyDescent="0.45">
      <c r="A231" s="156">
        <v>46084</v>
      </c>
      <c r="B231" s="152" t="s">
        <v>277</v>
      </c>
      <c r="C231" s="149" t="s">
        <v>69</v>
      </c>
      <c r="D231" s="159" t="s">
        <v>220</v>
      </c>
      <c r="E231" s="180"/>
      <c r="F231" s="458">
        <v>1</v>
      </c>
      <c r="G231" s="164"/>
      <c r="H231" s="169">
        <f t="shared" si="15"/>
        <v>0</v>
      </c>
      <c r="I231" s="173"/>
      <c r="J231" s="171"/>
      <c r="K231" s="149"/>
      <c r="L231" s="149"/>
      <c r="M231" s="159"/>
      <c r="N231" s="596">
        <f t="shared" si="14"/>
        <v>1</v>
      </c>
      <c r="O231" s="176"/>
      <c r="P231" s="179">
        <f>IF(A231&lt;&gt;"", Снабжения!H231 / VLOOKUP(A231, 'Курс валют'!$A:$D, 4, 0), "")</f>
        <v>0</v>
      </c>
    </row>
    <row r="232" spans="1:16" ht="20.100000000000001" customHeight="1" x14ac:dyDescent="0.45">
      <c r="A232" s="156">
        <v>46084</v>
      </c>
      <c r="B232" s="152" t="s">
        <v>263</v>
      </c>
      <c r="C232" s="149" t="s">
        <v>69</v>
      </c>
      <c r="D232" s="159" t="s">
        <v>220</v>
      </c>
      <c r="E232" s="180"/>
      <c r="F232" s="458">
        <v>1</v>
      </c>
      <c r="G232" s="164"/>
      <c r="H232" s="169">
        <f t="shared" si="15"/>
        <v>0</v>
      </c>
      <c r="I232" s="173"/>
      <c r="J232" s="171"/>
      <c r="K232" s="149"/>
      <c r="L232" s="149"/>
      <c r="M232" s="159"/>
      <c r="N232" s="596">
        <f t="shared" si="14"/>
        <v>18</v>
      </c>
      <c r="O232" s="176"/>
      <c r="P232" s="179">
        <f>IF(A232&lt;&gt;"", Снабжения!H232 / VLOOKUP(A232, 'Курс валют'!$A:$D, 4, 0), "")</f>
        <v>0</v>
      </c>
    </row>
    <row r="233" spans="1:16" ht="20.100000000000001" customHeight="1" x14ac:dyDescent="0.45">
      <c r="A233" s="156">
        <v>46085</v>
      </c>
      <c r="B233" s="152" t="s">
        <v>223</v>
      </c>
      <c r="C233" s="149" t="s">
        <v>69</v>
      </c>
      <c r="D233" s="159" t="s">
        <v>220</v>
      </c>
      <c r="E233" s="180"/>
      <c r="F233" s="458">
        <v>1</v>
      </c>
      <c r="G233" s="164"/>
      <c r="H233" s="169">
        <f t="shared" si="15"/>
        <v>0</v>
      </c>
      <c r="I233" s="173"/>
      <c r="J233" s="171"/>
      <c r="K233" s="149"/>
      <c r="L233" s="149"/>
      <c r="M233" s="159"/>
      <c r="N233" s="596">
        <f t="shared" si="14"/>
        <v>8</v>
      </c>
      <c r="O233" s="176"/>
      <c r="P233" s="179">
        <f>IF(A233&lt;&gt;"", Снабжения!H233 / VLOOKUP(A233, 'Курс валют'!$A:$D, 4, 0), "")</f>
        <v>0</v>
      </c>
    </row>
    <row r="234" spans="1:16" ht="20.100000000000001" customHeight="1" x14ac:dyDescent="0.45">
      <c r="A234" s="156">
        <v>46085</v>
      </c>
      <c r="B234" s="152" t="s">
        <v>186</v>
      </c>
      <c r="C234" s="149" t="s">
        <v>59</v>
      </c>
      <c r="D234" s="159" t="s">
        <v>187</v>
      </c>
      <c r="E234" s="180"/>
      <c r="F234" s="458">
        <v>3.5</v>
      </c>
      <c r="G234" s="164"/>
      <c r="H234" s="169">
        <f t="shared" si="15"/>
        <v>0</v>
      </c>
      <c r="I234" s="173"/>
      <c r="J234" s="171"/>
      <c r="K234" s="149"/>
      <c r="L234" s="149"/>
      <c r="M234" s="159"/>
      <c r="N234" s="596">
        <f t="shared" si="14"/>
        <v>40</v>
      </c>
      <c r="O234" s="176"/>
      <c r="P234" s="179">
        <f>IF(A234&lt;&gt;"", Снабжения!H234 / VLOOKUP(A234, 'Курс валют'!$A:$D, 4, 0), "")</f>
        <v>0</v>
      </c>
    </row>
    <row r="235" spans="1:16" ht="20.100000000000001" customHeight="1" x14ac:dyDescent="0.45">
      <c r="A235" s="156">
        <v>46085</v>
      </c>
      <c r="B235" s="152" t="s">
        <v>188</v>
      </c>
      <c r="C235" s="149" t="s">
        <v>268</v>
      </c>
      <c r="D235" s="159" t="s">
        <v>187</v>
      </c>
      <c r="E235" s="180"/>
      <c r="F235" s="458">
        <v>1.5</v>
      </c>
      <c r="G235" s="164"/>
      <c r="H235" s="169">
        <f t="shared" si="15"/>
        <v>0</v>
      </c>
      <c r="I235" s="173"/>
      <c r="J235" s="171"/>
      <c r="K235" s="149"/>
      <c r="L235" s="149"/>
      <c r="M235" s="159"/>
      <c r="N235" s="596">
        <f t="shared" si="14"/>
        <v>20</v>
      </c>
      <c r="O235" s="176"/>
      <c r="P235" s="179">
        <f>IF(A235&lt;&gt;"", Снабжения!H235 / VLOOKUP(A235, 'Курс валют'!$A:$D, 4, 0), "")</f>
        <v>0</v>
      </c>
    </row>
    <row r="236" spans="1:16" ht="20.100000000000001" customHeight="1" x14ac:dyDescent="0.45">
      <c r="A236" s="156">
        <v>46085</v>
      </c>
      <c r="B236" s="151" t="s">
        <v>230</v>
      </c>
      <c r="C236" s="149" t="s">
        <v>85</v>
      </c>
      <c r="D236" s="159" t="s">
        <v>220</v>
      </c>
      <c r="E236" s="180"/>
      <c r="F236" s="458">
        <v>100</v>
      </c>
      <c r="G236" s="164"/>
      <c r="H236" s="169">
        <f t="shared" si="15"/>
        <v>0</v>
      </c>
      <c r="I236" s="173"/>
      <c r="J236" s="171"/>
      <c r="K236" s="149"/>
      <c r="L236" s="149"/>
      <c r="M236" s="159"/>
      <c r="N236" s="596">
        <f t="shared" si="14"/>
        <v>400</v>
      </c>
      <c r="O236" s="176"/>
      <c r="P236" s="179">
        <f>IF(A236&lt;&gt;"", Снабжения!H236 / VLOOKUP(A236, 'Курс валют'!$A:$D, 4, 0), "")</f>
        <v>0</v>
      </c>
    </row>
    <row r="237" spans="1:16" ht="20.100000000000001" customHeight="1" x14ac:dyDescent="0.45">
      <c r="A237" s="156">
        <v>46087</v>
      </c>
      <c r="B237" s="152" t="s">
        <v>209</v>
      </c>
      <c r="C237" s="149" t="s">
        <v>69</v>
      </c>
      <c r="D237" s="159" t="s">
        <v>220</v>
      </c>
      <c r="E237" s="180"/>
      <c r="F237" s="458">
        <v>2</v>
      </c>
      <c r="G237" s="164"/>
      <c r="H237" s="169">
        <f t="shared" si="15"/>
        <v>0</v>
      </c>
      <c r="I237" s="173"/>
      <c r="J237" s="171"/>
      <c r="K237" s="149"/>
      <c r="L237" s="149"/>
      <c r="M237" s="159"/>
      <c r="N237" s="596">
        <f t="shared" si="14"/>
        <v>128</v>
      </c>
      <c r="O237" s="176"/>
      <c r="P237" s="179">
        <f>IF(A237&lt;&gt;"", Снабжения!H237 / VLOOKUP(A237, 'Курс валют'!$A:$D, 4, 0), "")</f>
        <v>0</v>
      </c>
    </row>
    <row r="238" spans="1:16" ht="20.100000000000001" customHeight="1" x14ac:dyDescent="0.45">
      <c r="A238" s="156">
        <v>46087</v>
      </c>
      <c r="B238" s="152" t="s">
        <v>189</v>
      </c>
      <c r="C238" s="149" t="s">
        <v>69</v>
      </c>
      <c r="D238" s="159" t="s">
        <v>220</v>
      </c>
      <c r="E238" s="180"/>
      <c r="F238" s="458">
        <v>30</v>
      </c>
      <c r="G238" s="164"/>
      <c r="H238" s="169">
        <f t="shared" si="15"/>
        <v>0</v>
      </c>
      <c r="I238" s="173"/>
      <c r="J238" s="171"/>
      <c r="K238" s="149"/>
      <c r="L238" s="149"/>
      <c r="M238" s="159"/>
      <c r="N238" s="596">
        <f t="shared" si="14"/>
        <v>309</v>
      </c>
      <c r="O238" s="176"/>
      <c r="P238" s="179">
        <f>IF(A238&lt;&gt;"", Снабжения!H238 / VLOOKUP(A238, 'Курс валют'!$A:$D, 4, 0), "")</f>
        <v>0</v>
      </c>
    </row>
    <row r="239" spans="1:16" ht="20.100000000000001" customHeight="1" x14ac:dyDescent="0.45">
      <c r="A239" s="156">
        <v>46087</v>
      </c>
      <c r="B239" s="152" t="s">
        <v>186</v>
      </c>
      <c r="C239" s="149" t="s">
        <v>59</v>
      </c>
      <c r="D239" s="159" t="s">
        <v>187</v>
      </c>
      <c r="E239" s="180"/>
      <c r="F239" s="458">
        <v>8</v>
      </c>
      <c r="G239" s="164"/>
      <c r="H239" s="169">
        <f t="shared" si="15"/>
        <v>0</v>
      </c>
      <c r="I239" s="173"/>
      <c r="J239" s="171"/>
      <c r="K239" s="149"/>
      <c r="L239" s="149"/>
      <c r="M239" s="159"/>
      <c r="N239" s="596">
        <f t="shared" si="14"/>
        <v>40</v>
      </c>
      <c r="O239" s="176"/>
      <c r="P239" s="179">
        <f>IF(A239&lt;&gt;"", Снабжения!H239 / VLOOKUP(A239, 'Курс валют'!$A:$D, 4, 0), "")</f>
        <v>0</v>
      </c>
    </row>
    <row r="240" spans="1:16" ht="20.100000000000001" customHeight="1" x14ac:dyDescent="0.45">
      <c r="A240" s="156">
        <v>46087</v>
      </c>
      <c r="B240" s="152" t="s">
        <v>188</v>
      </c>
      <c r="C240" s="149" t="s">
        <v>59</v>
      </c>
      <c r="D240" s="159" t="s">
        <v>187</v>
      </c>
      <c r="E240" s="180"/>
      <c r="F240" s="458">
        <v>2.5</v>
      </c>
      <c r="G240" s="164"/>
      <c r="H240" s="169">
        <f t="shared" si="15"/>
        <v>0</v>
      </c>
      <c r="I240" s="173"/>
      <c r="J240" s="171"/>
      <c r="K240" s="149"/>
      <c r="L240" s="149"/>
      <c r="M240" s="159"/>
      <c r="N240" s="596">
        <f t="shared" si="14"/>
        <v>20</v>
      </c>
      <c r="O240" s="176"/>
      <c r="P240" s="179">
        <f>IF(A240&lt;&gt;"", Снабжения!H240 / VLOOKUP(A240, 'Курс валют'!$A:$D, 4, 0), "")</f>
        <v>0</v>
      </c>
    </row>
    <row r="241" spans="1:16" ht="20.100000000000001" customHeight="1" x14ac:dyDescent="0.45">
      <c r="A241" s="156">
        <v>46087</v>
      </c>
      <c r="B241" s="152" t="s">
        <v>228</v>
      </c>
      <c r="C241" s="149" t="s">
        <v>59</v>
      </c>
      <c r="D241" s="159" t="s">
        <v>187</v>
      </c>
      <c r="E241" s="180"/>
      <c r="F241" s="458">
        <v>100</v>
      </c>
      <c r="G241" s="164"/>
      <c r="H241" s="169">
        <f t="shared" si="15"/>
        <v>0</v>
      </c>
      <c r="I241" s="173"/>
      <c r="J241" s="171"/>
      <c r="K241" s="149"/>
      <c r="L241" s="149"/>
      <c r="M241" s="159"/>
      <c r="N241" s="596">
        <f t="shared" si="14"/>
        <v>125</v>
      </c>
      <c r="O241" s="176"/>
      <c r="P241" s="179">
        <f>IF(A241&lt;&gt;"", Снабжения!H241 / VLOOKUP(A241, 'Курс валют'!$A:$D, 4, 0), "")</f>
        <v>0</v>
      </c>
    </row>
    <row r="242" spans="1:16" ht="20.100000000000001" customHeight="1" x14ac:dyDescent="0.45">
      <c r="A242" s="156">
        <v>46087</v>
      </c>
      <c r="B242" s="152" t="s">
        <v>222</v>
      </c>
      <c r="C242" s="149" t="s">
        <v>69</v>
      </c>
      <c r="D242" s="159" t="s">
        <v>220</v>
      </c>
      <c r="E242" s="180"/>
      <c r="F242" s="458">
        <v>5</v>
      </c>
      <c r="G242" s="164"/>
      <c r="H242" s="169">
        <f t="shared" si="15"/>
        <v>0</v>
      </c>
      <c r="I242" s="173"/>
      <c r="J242" s="171"/>
      <c r="K242" s="149"/>
      <c r="L242" s="149"/>
      <c r="M242" s="159"/>
      <c r="N242" s="596">
        <f t="shared" si="14"/>
        <v>42</v>
      </c>
      <c r="O242" s="176"/>
      <c r="P242" s="179">
        <f>IF(A242&lt;&gt;"", Снабжения!H242 / VLOOKUP(A242, 'Курс валют'!$A:$D, 4, 0), "")</f>
        <v>0</v>
      </c>
    </row>
    <row r="243" spans="1:16" ht="20.100000000000001" customHeight="1" x14ac:dyDescent="0.45">
      <c r="A243" s="156">
        <v>46087</v>
      </c>
      <c r="B243" s="152" t="s">
        <v>219</v>
      </c>
      <c r="C243" s="149" t="s">
        <v>59</v>
      </c>
      <c r="D243" s="159" t="s">
        <v>220</v>
      </c>
      <c r="E243" s="180"/>
      <c r="F243" s="458">
        <v>2.5</v>
      </c>
      <c r="G243" s="164"/>
      <c r="H243" s="169">
        <f t="shared" si="15"/>
        <v>0</v>
      </c>
      <c r="I243" s="173"/>
      <c r="J243" s="171"/>
      <c r="K243" s="149"/>
      <c r="L243" s="149"/>
      <c r="M243" s="159"/>
      <c r="N243" s="596">
        <f t="shared" si="14"/>
        <v>41.5</v>
      </c>
      <c r="O243" s="176"/>
      <c r="P243" s="179">
        <f>IF(A243&lt;&gt;"", Снабжения!H243 / VLOOKUP(A243, 'Курс валют'!$A:$D, 4, 0), "")</f>
        <v>0</v>
      </c>
    </row>
    <row r="244" spans="1:16" ht="20.100000000000001" customHeight="1" x14ac:dyDescent="0.45">
      <c r="A244" s="156">
        <v>46087</v>
      </c>
      <c r="B244" s="152" t="s">
        <v>254</v>
      </c>
      <c r="C244" s="149" t="s">
        <v>69</v>
      </c>
      <c r="D244" s="159" t="s">
        <v>220</v>
      </c>
      <c r="E244" s="180"/>
      <c r="F244" s="458">
        <v>6</v>
      </c>
      <c r="G244" s="164"/>
      <c r="H244" s="169">
        <f t="shared" si="15"/>
        <v>0</v>
      </c>
      <c r="I244" s="173"/>
      <c r="J244" s="171"/>
      <c r="K244" s="149"/>
      <c r="L244" s="149"/>
      <c r="M244" s="159"/>
      <c r="N244" s="596">
        <f t="shared" si="14"/>
        <v>33</v>
      </c>
      <c r="O244" s="176"/>
      <c r="P244" s="179">
        <f>IF(A244&lt;&gt;"", Снабжения!H244 / VLOOKUP(A244, 'Курс валют'!$A:$D, 4, 0), "")</f>
        <v>0</v>
      </c>
    </row>
    <row r="245" spans="1:16" ht="20.100000000000001" customHeight="1" x14ac:dyDescent="0.45">
      <c r="A245" s="156">
        <v>46088</v>
      </c>
      <c r="B245" s="151" t="s">
        <v>228</v>
      </c>
      <c r="C245" s="149" t="s">
        <v>59</v>
      </c>
      <c r="D245" s="159" t="s">
        <v>187</v>
      </c>
      <c r="E245" s="180"/>
      <c r="F245" s="458">
        <v>100</v>
      </c>
      <c r="G245" s="164"/>
      <c r="H245" s="169">
        <f t="shared" si="15"/>
        <v>0</v>
      </c>
      <c r="I245" s="173"/>
      <c r="J245" s="171"/>
      <c r="K245" s="149"/>
      <c r="L245" s="149"/>
      <c r="M245" s="159"/>
      <c r="N245" s="596">
        <f t="shared" si="14"/>
        <v>125</v>
      </c>
      <c r="O245" s="176"/>
      <c r="P245" s="179">
        <f>IF(A245&lt;&gt;"", Снабжения!H245 / VLOOKUP(A245, 'Курс валют'!$A:$D, 4, 0), "")</f>
        <v>0</v>
      </c>
    </row>
    <row r="246" spans="1:16" ht="20.100000000000001" customHeight="1" x14ac:dyDescent="0.45">
      <c r="A246" s="156">
        <v>46088</v>
      </c>
      <c r="B246" s="152" t="s">
        <v>208</v>
      </c>
      <c r="C246" s="149" t="s">
        <v>69</v>
      </c>
      <c r="D246" s="159" t="s">
        <v>220</v>
      </c>
      <c r="E246" s="180"/>
      <c r="F246" s="458">
        <v>1</v>
      </c>
      <c r="G246" s="164"/>
      <c r="H246" s="169">
        <f t="shared" si="15"/>
        <v>0</v>
      </c>
      <c r="I246" s="173"/>
      <c r="J246" s="171"/>
      <c r="K246" s="149"/>
      <c r="L246" s="149"/>
      <c r="M246" s="159"/>
      <c r="N246" s="596">
        <f t="shared" si="14"/>
        <v>10</v>
      </c>
      <c r="O246" s="176"/>
      <c r="P246" s="179">
        <f>IF(A246&lt;&gt;"", Снабжения!H246 / VLOOKUP(A246, 'Курс валют'!$A:$D, 4, 0), "")</f>
        <v>0</v>
      </c>
    </row>
    <row r="247" spans="1:16" ht="20.100000000000001" customHeight="1" x14ac:dyDescent="0.45">
      <c r="A247" s="156">
        <v>46088</v>
      </c>
      <c r="B247" s="152" t="s">
        <v>186</v>
      </c>
      <c r="C247" s="149" t="s">
        <v>59</v>
      </c>
      <c r="D247" s="159" t="s">
        <v>187</v>
      </c>
      <c r="E247" s="180"/>
      <c r="F247" s="458">
        <v>5</v>
      </c>
      <c r="G247" s="164"/>
      <c r="H247" s="169">
        <f t="shared" si="15"/>
        <v>0</v>
      </c>
      <c r="I247" s="173"/>
      <c r="J247" s="171"/>
      <c r="K247" s="149"/>
      <c r="L247" s="149"/>
      <c r="M247" s="159"/>
      <c r="N247" s="596">
        <f t="shared" si="14"/>
        <v>40</v>
      </c>
      <c r="O247" s="176"/>
      <c r="P247" s="179">
        <f>IF(A247&lt;&gt;"", Снабжения!H247 / VLOOKUP(A247, 'Курс валют'!$A:$D, 4, 0), "")</f>
        <v>0</v>
      </c>
    </row>
    <row r="248" spans="1:16" ht="20.100000000000001" customHeight="1" x14ac:dyDescent="0.45">
      <c r="A248" s="156">
        <v>46088</v>
      </c>
      <c r="B248" s="152" t="s">
        <v>189</v>
      </c>
      <c r="C248" s="149" t="s">
        <v>69</v>
      </c>
      <c r="D248" s="159" t="s">
        <v>220</v>
      </c>
      <c r="E248" s="180"/>
      <c r="F248" s="458">
        <v>6</v>
      </c>
      <c r="G248" s="164"/>
      <c r="H248" s="169">
        <f t="shared" si="15"/>
        <v>0</v>
      </c>
      <c r="I248" s="173"/>
      <c r="J248" s="171"/>
      <c r="K248" s="149"/>
      <c r="L248" s="149"/>
      <c r="M248" s="159"/>
      <c r="N248" s="596">
        <f t="shared" si="14"/>
        <v>309</v>
      </c>
      <c r="O248" s="176"/>
      <c r="P248" s="179">
        <f>IF(A248&lt;&gt;"", Снабжения!H248 / VLOOKUP(A248, 'Курс валют'!$A:$D, 4, 0), "")</f>
        <v>0</v>
      </c>
    </row>
    <row r="249" spans="1:16" ht="20.100000000000001" customHeight="1" x14ac:dyDescent="0.45">
      <c r="A249" s="156">
        <v>46088</v>
      </c>
      <c r="B249" s="152" t="s">
        <v>210</v>
      </c>
      <c r="C249" s="149" t="s">
        <v>69</v>
      </c>
      <c r="D249" s="159" t="s">
        <v>220</v>
      </c>
      <c r="E249" s="180"/>
      <c r="F249" s="458">
        <v>10</v>
      </c>
      <c r="G249" s="164"/>
      <c r="H249" s="169">
        <f t="shared" si="15"/>
        <v>0</v>
      </c>
      <c r="I249" s="173"/>
      <c r="J249" s="171"/>
      <c r="K249" s="149"/>
      <c r="L249" s="149"/>
      <c r="M249" s="159"/>
      <c r="N249" s="596">
        <f t="shared" si="14"/>
        <v>405</v>
      </c>
      <c r="O249" s="176"/>
      <c r="P249" s="179">
        <f>IF(A249&lt;&gt;"", Снабжения!H249 / VLOOKUP(A249, 'Курс валют'!$A:$D, 4, 0), "")</f>
        <v>0</v>
      </c>
    </row>
    <row r="250" spans="1:16" ht="20.100000000000001" customHeight="1" x14ac:dyDescent="0.45">
      <c r="A250" s="156">
        <v>46088</v>
      </c>
      <c r="B250" s="152" t="s">
        <v>212</v>
      </c>
      <c r="C250" s="149" t="s">
        <v>85</v>
      </c>
      <c r="D250" s="159" t="s">
        <v>204</v>
      </c>
      <c r="E250" s="180"/>
      <c r="F250" s="458">
        <v>25</v>
      </c>
      <c r="G250" s="164"/>
      <c r="H250" s="169">
        <f t="shared" si="15"/>
        <v>0</v>
      </c>
      <c r="I250" s="173"/>
      <c r="J250" s="171"/>
      <c r="K250" s="149"/>
      <c r="L250" s="149"/>
      <c r="M250" s="159"/>
      <c r="N250" s="596">
        <f t="shared" si="14"/>
        <v>74.5</v>
      </c>
      <c r="O250" s="176"/>
      <c r="P250" s="179">
        <f>IF(A250&lt;&gt;"", Снабжения!H250 / VLOOKUP(A250, 'Курс валют'!$A:$D, 4, 0), "")</f>
        <v>0</v>
      </c>
    </row>
    <row r="251" spans="1:16" ht="20.100000000000001" customHeight="1" x14ac:dyDescent="0.45">
      <c r="A251" s="156">
        <v>46088</v>
      </c>
      <c r="B251" s="152" t="s">
        <v>203</v>
      </c>
      <c r="C251" s="149" t="s">
        <v>69</v>
      </c>
      <c r="D251" s="159" t="s">
        <v>204</v>
      </c>
      <c r="E251" s="180"/>
      <c r="F251" s="458">
        <v>1</v>
      </c>
      <c r="G251" s="164"/>
      <c r="H251" s="169">
        <f t="shared" si="15"/>
        <v>0</v>
      </c>
      <c r="I251" s="173"/>
      <c r="J251" s="171"/>
      <c r="K251" s="149"/>
      <c r="L251" s="149"/>
      <c r="M251" s="159"/>
      <c r="N251" s="596">
        <f t="shared" si="14"/>
        <v>11</v>
      </c>
      <c r="O251" s="176"/>
      <c r="P251" s="179">
        <f>IF(A251&lt;&gt;"", Снабжения!H251 / VLOOKUP(A251, 'Курс валют'!$A:$D, 4, 0), "")</f>
        <v>0</v>
      </c>
    </row>
    <row r="252" spans="1:16" ht="20.100000000000001" customHeight="1" x14ac:dyDescent="0.45">
      <c r="A252" s="156">
        <v>46088</v>
      </c>
      <c r="B252" s="152" t="s">
        <v>205</v>
      </c>
      <c r="C252" s="149" t="s">
        <v>69</v>
      </c>
      <c r="D252" s="159" t="s">
        <v>204</v>
      </c>
      <c r="E252" s="180"/>
      <c r="F252" s="458">
        <v>1</v>
      </c>
      <c r="G252" s="164"/>
      <c r="H252" s="169">
        <f t="shared" si="15"/>
        <v>0</v>
      </c>
      <c r="I252" s="173"/>
      <c r="J252" s="171"/>
      <c r="K252" s="149"/>
      <c r="L252" s="149"/>
      <c r="M252" s="159"/>
      <c r="N252" s="596">
        <f t="shared" si="14"/>
        <v>8</v>
      </c>
      <c r="O252" s="176"/>
      <c r="P252" s="179">
        <f>IF(A252&lt;&gt;"", Снабжения!H252 / VLOOKUP(A252, 'Курс валют'!$A:$D, 4, 0), "")</f>
        <v>0</v>
      </c>
    </row>
    <row r="253" spans="1:16" ht="20.100000000000001" customHeight="1" x14ac:dyDescent="0.45">
      <c r="A253" s="156">
        <v>46088</v>
      </c>
      <c r="B253" s="152" t="s">
        <v>253</v>
      </c>
      <c r="C253" s="149" t="s">
        <v>69</v>
      </c>
      <c r="D253" s="159" t="s">
        <v>220</v>
      </c>
      <c r="E253" s="180"/>
      <c r="F253" s="458">
        <v>1</v>
      </c>
      <c r="G253" s="164"/>
      <c r="H253" s="169">
        <f t="shared" si="15"/>
        <v>0</v>
      </c>
      <c r="I253" s="173"/>
      <c r="J253" s="171"/>
      <c r="K253" s="149"/>
      <c r="L253" s="149"/>
      <c r="M253" s="159"/>
      <c r="N253" s="596">
        <f t="shared" ref="N253:N316" si="16">SUMIF(B:B,B253,E:E)-SUMIF(B:B,B253,F:F)</f>
        <v>8</v>
      </c>
      <c r="O253" s="176"/>
      <c r="P253" s="179">
        <f>IF(A253&lt;&gt;"", Снабжения!H253 / VLOOKUP(A253, 'Курс валют'!$A:$D, 4, 0), "")</f>
        <v>0</v>
      </c>
    </row>
    <row r="254" spans="1:16" ht="20.100000000000001" customHeight="1" x14ac:dyDescent="0.45">
      <c r="A254" s="156">
        <v>46088</v>
      </c>
      <c r="B254" s="151" t="s">
        <v>230</v>
      </c>
      <c r="C254" s="149" t="s">
        <v>85</v>
      </c>
      <c r="D254" s="159" t="s">
        <v>220</v>
      </c>
      <c r="E254" s="180"/>
      <c r="F254" s="458">
        <v>100</v>
      </c>
      <c r="G254" s="164"/>
      <c r="H254" s="169">
        <f t="shared" si="15"/>
        <v>0</v>
      </c>
      <c r="I254" s="173"/>
      <c r="J254" s="171"/>
      <c r="K254" s="149"/>
      <c r="L254" s="149"/>
      <c r="M254" s="159"/>
      <c r="N254" s="596">
        <f t="shared" si="16"/>
        <v>400</v>
      </c>
      <c r="O254" s="176"/>
      <c r="P254" s="179">
        <f>IF(A254&lt;&gt;"", Снабжения!H254 / VLOOKUP(A254, 'Курс валют'!$A:$D, 4, 0), "")</f>
        <v>0</v>
      </c>
    </row>
    <row r="255" spans="1:16" ht="20.100000000000001" customHeight="1" x14ac:dyDescent="0.45">
      <c r="A255" s="156">
        <v>46089</v>
      </c>
      <c r="B255" s="151" t="s">
        <v>228</v>
      </c>
      <c r="C255" s="149" t="s">
        <v>59</v>
      </c>
      <c r="D255" s="159" t="s">
        <v>187</v>
      </c>
      <c r="E255" s="180"/>
      <c r="F255" s="458">
        <v>100</v>
      </c>
      <c r="G255" s="164"/>
      <c r="H255" s="169">
        <f t="shared" si="15"/>
        <v>0</v>
      </c>
      <c r="I255" s="173"/>
      <c r="J255" s="171"/>
      <c r="K255" s="149"/>
      <c r="L255" s="149"/>
      <c r="M255" s="159"/>
      <c r="N255" s="596">
        <f t="shared" si="16"/>
        <v>125</v>
      </c>
      <c r="O255" s="176"/>
      <c r="P255" s="179">
        <f>IF(A255&lt;&gt;"", Снабжения!H255 / VLOOKUP(A255, 'Курс валют'!$A:$D, 4, 0), "")</f>
        <v>0</v>
      </c>
    </row>
    <row r="256" spans="1:16" ht="20.100000000000001" customHeight="1" x14ac:dyDescent="0.45">
      <c r="A256" s="156">
        <v>46089</v>
      </c>
      <c r="B256" s="152" t="s">
        <v>185</v>
      </c>
      <c r="C256" s="149" t="s">
        <v>69</v>
      </c>
      <c r="D256" s="159" t="s">
        <v>220</v>
      </c>
      <c r="E256" s="180"/>
      <c r="F256" s="458">
        <v>2</v>
      </c>
      <c r="G256" s="164"/>
      <c r="H256" s="169">
        <f t="shared" si="15"/>
        <v>0</v>
      </c>
      <c r="I256" s="173"/>
      <c r="J256" s="171"/>
      <c r="K256" s="149"/>
      <c r="L256" s="149"/>
      <c r="M256" s="159"/>
      <c r="N256" s="596">
        <f t="shared" si="16"/>
        <v>10</v>
      </c>
      <c r="O256" s="176"/>
      <c r="P256" s="179">
        <f>IF(A256&lt;&gt;"", Снабжения!H256 / VLOOKUP(A256, 'Курс валют'!$A:$D, 4, 0), "")</f>
        <v>0</v>
      </c>
    </row>
    <row r="257" spans="1:16" ht="20.100000000000001" customHeight="1" x14ac:dyDescent="0.45">
      <c r="A257" s="156">
        <v>46089</v>
      </c>
      <c r="B257" s="152" t="s">
        <v>271</v>
      </c>
      <c r="C257" s="149" t="s">
        <v>69</v>
      </c>
      <c r="D257" s="159" t="s">
        <v>220</v>
      </c>
      <c r="E257" s="180"/>
      <c r="F257" s="458">
        <v>3</v>
      </c>
      <c r="G257" s="164"/>
      <c r="H257" s="169">
        <f t="shared" si="15"/>
        <v>0</v>
      </c>
      <c r="I257" s="173"/>
      <c r="J257" s="171"/>
      <c r="K257" s="149"/>
      <c r="L257" s="149"/>
      <c r="M257" s="159"/>
      <c r="N257" s="596">
        <f t="shared" si="16"/>
        <v>42</v>
      </c>
      <c r="O257" s="176"/>
      <c r="P257" s="179">
        <f>IF(A257&lt;&gt;"", Снабжения!H257 / VLOOKUP(A257, 'Курс валют'!$A:$D, 4, 0), "")</f>
        <v>0</v>
      </c>
    </row>
    <row r="258" spans="1:16" ht="20.100000000000001" customHeight="1" x14ac:dyDescent="0.45">
      <c r="A258" s="156">
        <v>46089</v>
      </c>
      <c r="B258" s="152" t="s">
        <v>188</v>
      </c>
      <c r="C258" s="149" t="s">
        <v>59</v>
      </c>
      <c r="D258" s="159" t="s">
        <v>187</v>
      </c>
      <c r="E258" s="180"/>
      <c r="F258" s="458">
        <v>4</v>
      </c>
      <c r="G258" s="164"/>
      <c r="H258" s="169">
        <f t="shared" si="15"/>
        <v>0</v>
      </c>
      <c r="I258" s="173"/>
      <c r="J258" s="171"/>
      <c r="K258" s="149"/>
      <c r="L258" s="149"/>
      <c r="M258" s="159"/>
      <c r="N258" s="596">
        <f t="shared" si="16"/>
        <v>20</v>
      </c>
      <c r="O258" s="176"/>
      <c r="P258" s="179">
        <f>IF(A258&lt;&gt;"", Снабжения!H258 / VLOOKUP(A258, 'Курс валют'!$A:$D, 4, 0), "")</f>
        <v>0</v>
      </c>
    </row>
    <row r="259" spans="1:16" ht="20.100000000000001" customHeight="1" x14ac:dyDescent="0.45">
      <c r="A259" s="156">
        <v>46089</v>
      </c>
      <c r="B259" s="152" t="s">
        <v>228</v>
      </c>
      <c r="C259" s="149" t="s">
        <v>59</v>
      </c>
      <c r="D259" s="159" t="s">
        <v>187</v>
      </c>
      <c r="E259" s="180"/>
      <c r="F259" s="458">
        <v>100</v>
      </c>
      <c r="G259" s="164"/>
      <c r="H259" s="169">
        <f t="shared" si="15"/>
        <v>0</v>
      </c>
      <c r="I259" s="173"/>
      <c r="J259" s="171"/>
      <c r="K259" s="149"/>
      <c r="L259" s="149"/>
      <c r="M259" s="159"/>
      <c r="N259" s="596">
        <f t="shared" si="16"/>
        <v>125</v>
      </c>
      <c r="O259" s="176"/>
      <c r="P259" s="179">
        <f>IF(A259&lt;&gt;"", Снабжения!H259 / VLOOKUP(A259, 'Курс валют'!$A:$D, 4, 0), "")</f>
        <v>0</v>
      </c>
    </row>
    <row r="260" spans="1:16" ht="20.100000000000001" customHeight="1" x14ac:dyDescent="0.45">
      <c r="A260" s="156">
        <v>46089</v>
      </c>
      <c r="B260" s="152" t="s">
        <v>254</v>
      </c>
      <c r="C260" s="149" t="s">
        <v>69</v>
      </c>
      <c r="D260" s="159" t="s">
        <v>220</v>
      </c>
      <c r="E260" s="180"/>
      <c r="F260" s="458">
        <v>3</v>
      </c>
      <c r="G260" s="164"/>
      <c r="H260" s="169">
        <f t="shared" si="15"/>
        <v>0</v>
      </c>
      <c r="I260" s="173"/>
      <c r="J260" s="171"/>
      <c r="K260" s="149"/>
      <c r="L260" s="149"/>
      <c r="M260" s="159"/>
      <c r="N260" s="596">
        <f t="shared" si="16"/>
        <v>33</v>
      </c>
      <c r="O260" s="176"/>
      <c r="P260" s="179">
        <f>IF(A260&lt;&gt;"", Снабжения!H260 / VLOOKUP(A260, 'Курс валют'!$A:$D, 4, 0), "")</f>
        <v>0</v>
      </c>
    </row>
    <row r="261" spans="1:16" ht="20.100000000000001" customHeight="1" x14ac:dyDescent="0.45">
      <c r="A261" s="156">
        <v>46089</v>
      </c>
      <c r="B261" s="152" t="s">
        <v>221</v>
      </c>
      <c r="C261" s="149" t="s">
        <v>69</v>
      </c>
      <c r="D261" s="159" t="s">
        <v>220</v>
      </c>
      <c r="E261" s="180"/>
      <c r="F261" s="458">
        <v>3</v>
      </c>
      <c r="G261" s="164"/>
      <c r="H261" s="169">
        <f t="shared" si="15"/>
        <v>0</v>
      </c>
      <c r="I261" s="173"/>
      <c r="J261" s="171"/>
      <c r="K261" s="149"/>
      <c r="L261" s="149"/>
      <c r="M261" s="159"/>
      <c r="N261" s="596">
        <f t="shared" si="16"/>
        <v>87</v>
      </c>
      <c r="O261" s="176"/>
      <c r="P261" s="179">
        <f>IF(A261&lt;&gt;"", Снабжения!H261 / VLOOKUP(A261, 'Курс валют'!$A:$D, 4, 0), "")</f>
        <v>0</v>
      </c>
    </row>
    <row r="262" spans="1:16" ht="20.100000000000001" customHeight="1" x14ac:dyDescent="0.45">
      <c r="A262" s="156">
        <v>46090</v>
      </c>
      <c r="B262" s="152" t="s">
        <v>189</v>
      </c>
      <c r="C262" s="149" t="s">
        <v>69</v>
      </c>
      <c r="D262" s="159" t="s">
        <v>220</v>
      </c>
      <c r="E262" s="180"/>
      <c r="F262" s="458">
        <v>30</v>
      </c>
      <c r="G262" s="164"/>
      <c r="H262" s="169">
        <f t="shared" si="15"/>
        <v>0</v>
      </c>
      <c r="I262" s="173"/>
      <c r="J262" s="171"/>
      <c r="K262" s="149"/>
      <c r="L262" s="149"/>
      <c r="M262" s="159"/>
      <c r="N262" s="596">
        <f t="shared" si="16"/>
        <v>309</v>
      </c>
      <c r="O262" s="176"/>
      <c r="P262" s="179">
        <f>IF(A262&lt;&gt;"", Снабжения!H262 / VLOOKUP(A262, 'Курс валют'!$A:$D, 4, 0), "")</f>
        <v>0</v>
      </c>
    </row>
    <row r="263" spans="1:16" ht="20.100000000000001" customHeight="1" x14ac:dyDescent="0.45">
      <c r="A263" s="156">
        <v>46090</v>
      </c>
      <c r="B263" s="152" t="s">
        <v>219</v>
      </c>
      <c r="C263" s="149" t="s">
        <v>59</v>
      </c>
      <c r="D263" s="159" t="s">
        <v>220</v>
      </c>
      <c r="E263" s="180"/>
      <c r="F263" s="458">
        <v>2.5</v>
      </c>
      <c r="G263" s="164"/>
      <c r="H263" s="169">
        <f t="shared" si="15"/>
        <v>0</v>
      </c>
      <c r="I263" s="173"/>
      <c r="J263" s="171"/>
      <c r="K263" s="149"/>
      <c r="L263" s="149"/>
      <c r="M263" s="159"/>
      <c r="N263" s="596">
        <f t="shared" si="16"/>
        <v>41.5</v>
      </c>
      <c r="O263" s="176"/>
      <c r="P263" s="179">
        <f>IF(A263&lt;&gt;"", Снабжения!H263 / VLOOKUP(A263, 'Курс валют'!$A:$D, 4, 0), "")</f>
        <v>0</v>
      </c>
    </row>
    <row r="264" spans="1:16" ht="20.100000000000001" customHeight="1" x14ac:dyDescent="0.45">
      <c r="A264" s="156">
        <v>46090</v>
      </c>
      <c r="B264" s="152" t="s">
        <v>240</v>
      </c>
      <c r="C264" s="149" t="s">
        <v>69</v>
      </c>
      <c r="D264" s="159" t="s">
        <v>220</v>
      </c>
      <c r="E264" s="180"/>
      <c r="F264" s="458">
        <v>2</v>
      </c>
      <c r="G264" s="164"/>
      <c r="H264" s="169">
        <f t="shared" si="15"/>
        <v>0</v>
      </c>
      <c r="I264" s="173"/>
      <c r="J264" s="171"/>
      <c r="K264" s="149"/>
      <c r="L264" s="149"/>
      <c r="M264" s="159"/>
      <c r="N264" s="596">
        <f t="shared" si="16"/>
        <v>9</v>
      </c>
      <c r="O264" s="176"/>
      <c r="P264" s="179">
        <f>IF(A264&lt;&gt;"", Снабжения!H264 / VLOOKUP(A264, 'Курс валют'!$A:$D, 4, 0), "")</f>
        <v>0</v>
      </c>
    </row>
    <row r="265" spans="1:16" ht="20.100000000000001" customHeight="1" x14ac:dyDescent="0.45">
      <c r="A265" s="156">
        <v>46090</v>
      </c>
      <c r="B265" s="151" t="s">
        <v>259</v>
      </c>
      <c r="C265" s="149" t="s">
        <v>97</v>
      </c>
      <c r="D265" s="159" t="s">
        <v>220</v>
      </c>
      <c r="E265" s="180"/>
      <c r="F265" s="458">
        <v>40</v>
      </c>
      <c r="G265" s="164"/>
      <c r="H265" s="169">
        <f t="shared" si="15"/>
        <v>0</v>
      </c>
      <c r="I265" s="173"/>
      <c r="J265" s="171"/>
      <c r="K265" s="149"/>
      <c r="L265" s="149"/>
      <c r="M265" s="159"/>
      <c r="N265" s="596">
        <f t="shared" si="16"/>
        <v>40</v>
      </c>
      <c r="O265" s="176"/>
      <c r="P265" s="179">
        <f>IF(A265&lt;&gt;"", Снабжения!H265 / VLOOKUP(A265, 'Курс валют'!$A:$D, 4, 0), "")</f>
        <v>0</v>
      </c>
    </row>
    <row r="266" spans="1:16" ht="20.100000000000001" customHeight="1" x14ac:dyDescent="0.45">
      <c r="A266" s="156">
        <v>46090</v>
      </c>
      <c r="B266" s="151" t="s">
        <v>266</v>
      </c>
      <c r="C266" s="149" t="s">
        <v>69</v>
      </c>
      <c r="D266" s="159" t="s">
        <v>220</v>
      </c>
      <c r="E266" s="180">
        <v>11</v>
      </c>
      <c r="F266" s="458">
        <v>11</v>
      </c>
      <c r="G266" s="164">
        <v>603684</v>
      </c>
      <c r="H266" s="169">
        <f>G266*E266</f>
        <v>6640524</v>
      </c>
      <c r="I266" s="173"/>
      <c r="J266" s="171"/>
      <c r="K266" s="149"/>
      <c r="L266" s="149"/>
      <c r="M266" s="159"/>
      <c r="N266" s="596">
        <f t="shared" si="16"/>
        <v>0</v>
      </c>
      <c r="O266" s="176"/>
      <c r="P266" s="179">
        <f>IF(A266&lt;&gt;"", Снабжения!H266 / VLOOKUP(A266, 'Курс валют'!$A:$D, 4, 0), "")</f>
        <v>549.71225165562919</v>
      </c>
    </row>
    <row r="267" spans="1:16" ht="20.100000000000001" customHeight="1" x14ac:dyDescent="0.45">
      <c r="A267" s="156">
        <v>46090</v>
      </c>
      <c r="B267" s="151" t="s">
        <v>91</v>
      </c>
      <c r="C267" s="149" t="s">
        <v>65</v>
      </c>
      <c r="D267" s="159"/>
      <c r="E267" s="180"/>
      <c r="F267" s="458"/>
      <c r="G267" s="164"/>
      <c r="H267" s="169">
        <v>250000</v>
      </c>
      <c r="I267" s="173"/>
      <c r="J267" s="171"/>
      <c r="K267" s="149"/>
      <c r="L267" s="149"/>
      <c r="M267" s="159"/>
      <c r="N267" s="596">
        <f t="shared" si="16"/>
        <v>8</v>
      </c>
      <c r="O267" s="176"/>
      <c r="P267" s="179">
        <f>IF(A267&lt;&gt;"", Снабжения!H267 / VLOOKUP(A267, 'Курс валют'!$A:$D, 4, 0), "")</f>
        <v>20.695364238410598</v>
      </c>
    </row>
    <row r="268" spans="1:16" ht="20.100000000000001" customHeight="1" x14ac:dyDescent="0.45">
      <c r="A268" s="156">
        <v>46091</v>
      </c>
      <c r="B268" s="152" t="s">
        <v>223</v>
      </c>
      <c r="C268" s="149" t="s">
        <v>69</v>
      </c>
      <c r="D268" s="159" t="s">
        <v>220</v>
      </c>
      <c r="E268" s="180"/>
      <c r="F268" s="458">
        <v>1</v>
      </c>
      <c r="G268" s="164"/>
      <c r="H268" s="169">
        <f t="shared" si="15"/>
        <v>0</v>
      </c>
      <c r="I268" s="173"/>
      <c r="J268" s="171"/>
      <c r="K268" s="149"/>
      <c r="L268" s="149"/>
      <c r="M268" s="159"/>
      <c r="N268" s="596">
        <f t="shared" si="16"/>
        <v>8</v>
      </c>
      <c r="O268" s="176"/>
      <c r="P268" s="179">
        <f>IF(A268&lt;&gt;"", Снабжения!H268 / VLOOKUP(A268, 'Курс валют'!$A:$D, 4, 0), "")</f>
        <v>0</v>
      </c>
    </row>
    <row r="269" spans="1:16" ht="20.100000000000001" customHeight="1" x14ac:dyDescent="0.45">
      <c r="A269" s="156">
        <v>46091</v>
      </c>
      <c r="B269" s="152" t="s">
        <v>186</v>
      </c>
      <c r="C269" s="149" t="s">
        <v>59</v>
      </c>
      <c r="D269" s="159" t="s">
        <v>187</v>
      </c>
      <c r="E269" s="180"/>
      <c r="F269" s="458">
        <v>4</v>
      </c>
      <c r="G269" s="164"/>
      <c r="H269" s="169">
        <f t="shared" si="15"/>
        <v>0</v>
      </c>
      <c r="I269" s="173"/>
      <c r="J269" s="171"/>
      <c r="K269" s="149"/>
      <c r="L269" s="149"/>
      <c r="M269" s="159"/>
      <c r="N269" s="596">
        <f t="shared" si="16"/>
        <v>40</v>
      </c>
      <c r="O269" s="176"/>
      <c r="P269" s="179">
        <f>IF(A269&lt;&gt;"", Снабжения!H269 / VLOOKUP(A269, 'Курс валют'!$A:$D, 4, 0), "")</f>
        <v>0</v>
      </c>
    </row>
    <row r="270" spans="1:16" ht="20.100000000000001" customHeight="1" x14ac:dyDescent="0.45">
      <c r="A270" s="156">
        <v>46091</v>
      </c>
      <c r="B270" s="152" t="s">
        <v>188</v>
      </c>
      <c r="C270" s="149" t="s">
        <v>59</v>
      </c>
      <c r="D270" s="159" t="s">
        <v>187</v>
      </c>
      <c r="E270" s="180"/>
      <c r="F270" s="458">
        <v>5</v>
      </c>
      <c r="G270" s="164"/>
      <c r="H270" s="169">
        <f t="shared" si="15"/>
        <v>0</v>
      </c>
      <c r="I270" s="173"/>
      <c r="J270" s="171"/>
      <c r="K270" s="149"/>
      <c r="L270" s="149"/>
      <c r="M270" s="159"/>
      <c r="N270" s="596">
        <f t="shared" si="16"/>
        <v>20</v>
      </c>
      <c r="O270" s="176"/>
      <c r="P270" s="179">
        <f>IF(A270&lt;&gt;"", Снабжения!H270 / VLOOKUP(A270, 'Курс валют'!$A:$D, 4, 0), "")</f>
        <v>0</v>
      </c>
    </row>
    <row r="271" spans="1:16" ht="20.100000000000001" customHeight="1" x14ac:dyDescent="0.45">
      <c r="A271" s="156">
        <v>46092</v>
      </c>
      <c r="B271" s="152" t="s">
        <v>271</v>
      </c>
      <c r="C271" s="149" t="s">
        <v>69</v>
      </c>
      <c r="D271" s="159" t="s">
        <v>220</v>
      </c>
      <c r="E271" s="180"/>
      <c r="F271" s="458">
        <v>3</v>
      </c>
      <c r="G271" s="164"/>
      <c r="H271" s="169">
        <f t="shared" si="15"/>
        <v>0</v>
      </c>
      <c r="I271" s="173"/>
      <c r="J271" s="171"/>
      <c r="K271" s="149"/>
      <c r="L271" s="149"/>
      <c r="M271" s="159"/>
      <c r="N271" s="596">
        <f t="shared" si="16"/>
        <v>42</v>
      </c>
      <c r="O271" s="176"/>
      <c r="P271" s="179">
        <f>IF(A271&lt;&gt;"", Снабжения!H271 / VLOOKUP(A271, 'Курс валют'!$A:$D, 4, 0), "")</f>
        <v>0</v>
      </c>
    </row>
    <row r="272" spans="1:16" ht="20.100000000000001" customHeight="1" x14ac:dyDescent="0.45">
      <c r="A272" s="156">
        <v>46092</v>
      </c>
      <c r="B272" s="152" t="s">
        <v>221</v>
      </c>
      <c r="C272" s="149" t="s">
        <v>69</v>
      </c>
      <c r="D272" s="159" t="s">
        <v>220</v>
      </c>
      <c r="E272" s="180"/>
      <c r="F272" s="458">
        <v>3</v>
      </c>
      <c r="G272" s="164"/>
      <c r="H272" s="169">
        <f t="shared" si="15"/>
        <v>0</v>
      </c>
      <c r="I272" s="173"/>
      <c r="J272" s="171"/>
      <c r="K272" s="149"/>
      <c r="L272" s="149"/>
      <c r="M272" s="159"/>
      <c r="N272" s="596">
        <f t="shared" si="16"/>
        <v>87</v>
      </c>
      <c r="O272" s="176"/>
      <c r="P272" s="179">
        <f>IF(A272&lt;&gt;"", Снабжения!H272 / VLOOKUP(A272, 'Курс валют'!$A:$D, 4, 0), "")</f>
        <v>0</v>
      </c>
    </row>
    <row r="273" spans="1:16" ht="20.100000000000001" customHeight="1" x14ac:dyDescent="0.45">
      <c r="A273" s="156">
        <v>46092</v>
      </c>
      <c r="B273" s="152" t="s">
        <v>228</v>
      </c>
      <c r="C273" s="149" t="s">
        <v>59</v>
      </c>
      <c r="D273" s="159" t="s">
        <v>187</v>
      </c>
      <c r="E273" s="180"/>
      <c r="F273" s="458">
        <v>25</v>
      </c>
      <c r="G273" s="164"/>
      <c r="H273" s="169">
        <f t="shared" si="15"/>
        <v>0</v>
      </c>
      <c r="I273" s="173"/>
      <c r="J273" s="171"/>
      <c r="K273" s="149"/>
      <c r="L273" s="149"/>
      <c r="M273" s="159"/>
      <c r="N273" s="596">
        <f t="shared" si="16"/>
        <v>125</v>
      </c>
      <c r="O273" s="176"/>
      <c r="P273" s="179">
        <f>IF(A273&lt;&gt;"", Снабжения!H273 / VLOOKUP(A273, 'Курс валют'!$A:$D, 4, 0), "")</f>
        <v>0</v>
      </c>
    </row>
    <row r="274" spans="1:16" ht="20.100000000000001" customHeight="1" x14ac:dyDescent="0.45">
      <c r="A274" s="156">
        <v>46092</v>
      </c>
      <c r="B274" s="152" t="s">
        <v>263</v>
      </c>
      <c r="C274" s="149" t="s">
        <v>69</v>
      </c>
      <c r="D274" s="159" t="s">
        <v>220</v>
      </c>
      <c r="E274" s="180"/>
      <c r="F274" s="458">
        <v>1</v>
      </c>
      <c r="G274" s="164"/>
      <c r="H274" s="169">
        <f t="shared" si="15"/>
        <v>0</v>
      </c>
      <c r="I274" s="173"/>
      <c r="J274" s="171"/>
      <c r="K274" s="149"/>
      <c r="L274" s="149"/>
      <c r="M274" s="159"/>
      <c r="N274" s="596">
        <f t="shared" si="16"/>
        <v>18</v>
      </c>
      <c r="O274" s="176"/>
      <c r="P274" s="179">
        <f>IF(A274&lt;&gt;"", Снабжения!H274 / VLOOKUP(A274, 'Курс валют'!$A:$D, 4, 0), "")</f>
        <v>0</v>
      </c>
    </row>
    <row r="275" spans="1:16" ht="20.100000000000001" customHeight="1" x14ac:dyDescent="0.45">
      <c r="A275" s="156">
        <v>46092</v>
      </c>
      <c r="B275" s="152" t="s">
        <v>189</v>
      </c>
      <c r="C275" s="149" t="s">
        <v>69</v>
      </c>
      <c r="D275" s="159" t="s">
        <v>220</v>
      </c>
      <c r="E275" s="180"/>
      <c r="F275" s="458">
        <v>34</v>
      </c>
      <c r="G275" s="164"/>
      <c r="H275" s="169">
        <f t="shared" si="15"/>
        <v>0</v>
      </c>
      <c r="I275" s="173"/>
      <c r="J275" s="171"/>
      <c r="K275" s="149"/>
      <c r="L275" s="149"/>
      <c r="M275" s="159"/>
      <c r="N275" s="596">
        <f t="shared" si="16"/>
        <v>309</v>
      </c>
      <c r="O275" s="176"/>
      <c r="P275" s="179">
        <f>IF(A275&lt;&gt;"", Снабжения!H275 / VLOOKUP(A275, 'Курс валют'!$A:$D, 4, 0), "")</f>
        <v>0</v>
      </c>
    </row>
    <row r="276" spans="1:16" ht="20.100000000000001" customHeight="1" x14ac:dyDescent="0.45">
      <c r="A276" s="156">
        <v>46092</v>
      </c>
      <c r="B276" s="152" t="s">
        <v>219</v>
      </c>
      <c r="C276" s="149" t="s">
        <v>59</v>
      </c>
      <c r="D276" s="159" t="s">
        <v>220</v>
      </c>
      <c r="E276" s="180"/>
      <c r="F276" s="458">
        <v>2.5</v>
      </c>
      <c r="G276" s="164"/>
      <c r="H276" s="169">
        <f t="shared" si="15"/>
        <v>0</v>
      </c>
      <c r="I276" s="173"/>
      <c r="J276" s="171"/>
      <c r="K276" s="149"/>
      <c r="L276" s="149"/>
      <c r="M276" s="159"/>
      <c r="N276" s="596">
        <f t="shared" si="16"/>
        <v>41.5</v>
      </c>
      <c r="O276" s="176"/>
      <c r="P276" s="179">
        <f>IF(A276&lt;&gt;"", Снабжения!H276 / VLOOKUP(A276, 'Курс валют'!$A:$D, 4, 0), "")</f>
        <v>0</v>
      </c>
    </row>
    <row r="277" spans="1:16" ht="20.100000000000001" customHeight="1" x14ac:dyDescent="0.45">
      <c r="A277" s="156">
        <v>46093</v>
      </c>
      <c r="B277" s="151" t="s">
        <v>223</v>
      </c>
      <c r="C277" s="149" t="s">
        <v>69</v>
      </c>
      <c r="D277" s="159" t="s">
        <v>220</v>
      </c>
      <c r="E277" s="180"/>
      <c r="F277" s="458">
        <v>1</v>
      </c>
      <c r="G277" s="164"/>
      <c r="H277" s="169">
        <f t="shared" si="15"/>
        <v>0</v>
      </c>
      <c r="I277" s="173"/>
      <c r="J277" s="171"/>
      <c r="K277" s="149"/>
      <c r="L277" s="149"/>
      <c r="M277" s="159"/>
      <c r="N277" s="596">
        <f t="shared" si="16"/>
        <v>8</v>
      </c>
      <c r="O277" s="176"/>
      <c r="P277" s="179">
        <f>IF(A277&lt;&gt;"", Снабжения!H277 / VLOOKUP(A277, 'Курс валют'!$A:$D, 4, 0), "")</f>
        <v>0</v>
      </c>
    </row>
    <row r="278" spans="1:16" ht="20.100000000000001" customHeight="1" x14ac:dyDescent="0.45">
      <c r="A278" s="156">
        <v>46093</v>
      </c>
      <c r="B278" s="152" t="s">
        <v>209</v>
      </c>
      <c r="C278" s="149" t="s">
        <v>69</v>
      </c>
      <c r="D278" s="159" t="s">
        <v>220</v>
      </c>
      <c r="E278" s="180"/>
      <c r="F278" s="458">
        <v>4</v>
      </c>
      <c r="G278" s="164"/>
      <c r="H278" s="169">
        <f t="shared" si="15"/>
        <v>0</v>
      </c>
      <c r="I278" s="173"/>
      <c r="J278" s="171"/>
      <c r="K278" s="149"/>
      <c r="L278" s="149"/>
      <c r="M278" s="159"/>
      <c r="N278" s="596">
        <f t="shared" si="16"/>
        <v>128</v>
      </c>
      <c r="O278" s="176"/>
      <c r="P278" s="179">
        <f>IF(A278&lt;&gt;"", Снабжения!H278 / VLOOKUP(A278, 'Курс валют'!$A:$D, 4, 0), "")</f>
        <v>0</v>
      </c>
    </row>
    <row r="279" spans="1:16" ht="20.100000000000001" customHeight="1" x14ac:dyDescent="0.45">
      <c r="A279" s="156">
        <v>46093</v>
      </c>
      <c r="B279" s="152" t="s">
        <v>253</v>
      </c>
      <c r="C279" s="149" t="s">
        <v>69</v>
      </c>
      <c r="D279" s="159" t="s">
        <v>220</v>
      </c>
      <c r="E279" s="180"/>
      <c r="F279" s="458">
        <v>3</v>
      </c>
      <c r="G279" s="164"/>
      <c r="H279" s="169">
        <f t="shared" si="15"/>
        <v>0</v>
      </c>
      <c r="I279" s="173"/>
      <c r="J279" s="171"/>
      <c r="K279" s="149"/>
      <c r="L279" s="149"/>
      <c r="M279" s="159"/>
      <c r="N279" s="596">
        <f t="shared" si="16"/>
        <v>8</v>
      </c>
      <c r="O279" s="176"/>
      <c r="P279" s="179">
        <f>IF(A279&lt;&gt;"", Снабжения!H279 / VLOOKUP(A279, 'Курс валют'!$A:$D, 4, 0), "")</f>
        <v>0</v>
      </c>
    </row>
    <row r="280" spans="1:16" ht="20.100000000000001" customHeight="1" x14ac:dyDescent="0.45">
      <c r="A280" s="156">
        <v>46093</v>
      </c>
      <c r="B280" s="152" t="s">
        <v>190</v>
      </c>
      <c r="C280" s="149" t="s">
        <v>59</v>
      </c>
      <c r="D280" s="159" t="s">
        <v>187</v>
      </c>
      <c r="E280" s="180"/>
      <c r="F280" s="458">
        <v>8</v>
      </c>
      <c r="G280" s="164"/>
      <c r="H280" s="169">
        <f t="shared" si="15"/>
        <v>0</v>
      </c>
      <c r="I280" s="173"/>
      <c r="J280" s="171"/>
      <c r="K280" s="149"/>
      <c r="L280" s="149"/>
      <c r="M280" s="159"/>
      <c r="N280" s="596">
        <f t="shared" si="16"/>
        <v>80</v>
      </c>
      <c r="O280" s="176"/>
      <c r="P280" s="179">
        <f>IF(A280&lt;&gt;"", Снабжения!H280 / VLOOKUP(A280, 'Курс валют'!$A:$D, 4, 0), "")</f>
        <v>0</v>
      </c>
    </row>
    <row r="281" spans="1:16" ht="20.100000000000001" customHeight="1" x14ac:dyDescent="0.45">
      <c r="A281" s="156">
        <v>46093</v>
      </c>
      <c r="B281" s="152" t="s">
        <v>205</v>
      </c>
      <c r="C281" s="149" t="s">
        <v>69</v>
      </c>
      <c r="D281" s="159" t="s">
        <v>204</v>
      </c>
      <c r="E281" s="180"/>
      <c r="F281" s="458">
        <v>1</v>
      </c>
      <c r="G281" s="164"/>
      <c r="H281" s="169">
        <f t="shared" si="15"/>
        <v>0</v>
      </c>
      <c r="I281" s="173"/>
      <c r="J281" s="171"/>
      <c r="K281" s="149"/>
      <c r="L281" s="149"/>
      <c r="M281" s="159"/>
      <c r="N281" s="596">
        <f t="shared" si="16"/>
        <v>8</v>
      </c>
      <c r="O281" s="176"/>
      <c r="P281" s="179">
        <f>IF(A281&lt;&gt;"", Снабжения!H281 / VLOOKUP(A281, 'Курс валют'!$A:$D, 4, 0), "")</f>
        <v>0</v>
      </c>
    </row>
    <row r="282" spans="1:16" ht="20.100000000000001" customHeight="1" x14ac:dyDescent="0.45">
      <c r="A282" s="156">
        <v>46093</v>
      </c>
      <c r="B282" s="152" t="s">
        <v>254</v>
      </c>
      <c r="C282" s="149" t="s">
        <v>69</v>
      </c>
      <c r="D282" s="159" t="s">
        <v>220</v>
      </c>
      <c r="E282" s="180"/>
      <c r="F282" s="458">
        <v>7</v>
      </c>
      <c r="G282" s="164"/>
      <c r="H282" s="169">
        <f t="shared" si="15"/>
        <v>0</v>
      </c>
      <c r="I282" s="173"/>
      <c r="J282" s="171"/>
      <c r="K282" s="149"/>
      <c r="L282" s="149"/>
      <c r="M282" s="159"/>
      <c r="N282" s="596">
        <f t="shared" si="16"/>
        <v>33</v>
      </c>
      <c r="O282" s="176"/>
      <c r="P282" s="179">
        <f>IF(A282&lt;&gt;"", Снабжения!H282 / VLOOKUP(A282, 'Курс валют'!$A:$D, 4, 0), "")</f>
        <v>0</v>
      </c>
    </row>
    <row r="283" spans="1:16" ht="20.100000000000001" customHeight="1" x14ac:dyDescent="0.45">
      <c r="A283" s="156">
        <v>46093</v>
      </c>
      <c r="B283" s="152" t="s">
        <v>188</v>
      </c>
      <c r="C283" s="149" t="s">
        <v>59</v>
      </c>
      <c r="D283" s="159" t="s">
        <v>187</v>
      </c>
      <c r="E283" s="180"/>
      <c r="F283" s="458">
        <v>5.5</v>
      </c>
      <c r="G283" s="164"/>
      <c r="H283" s="169">
        <f t="shared" si="15"/>
        <v>0</v>
      </c>
      <c r="I283" s="173"/>
      <c r="J283" s="171"/>
      <c r="K283" s="149"/>
      <c r="L283" s="149"/>
      <c r="M283" s="159"/>
      <c r="N283" s="596">
        <f t="shared" si="16"/>
        <v>20</v>
      </c>
      <c r="O283" s="176"/>
      <c r="P283" s="179">
        <f>IF(A283&lt;&gt;"", Снабжения!H283 / VLOOKUP(A283, 'Курс валют'!$A:$D, 4, 0), "")</f>
        <v>0</v>
      </c>
    </row>
    <row r="284" spans="1:16" ht="20.100000000000001" customHeight="1" x14ac:dyDescent="0.45">
      <c r="A284" s="156">
        <v>46093</v>
      </c>
      <c r="B284" s="152" t="s">
        <v>228</v>
      </c>
      <c r="C284" s="149" t="s">
        <v>59</v>
      </c>
      <c r="D284" s="159" t="s">
        <v>187</v>
      </c>
      <c r="E284" s="180"/>
      <c r="F284" s="458">
        <v>5.5</v>
      </c>
      <c r="G284" s="164"/>
      <c r="H284" s="169">
        <f t="shared" si="15"/>
        <v>0</v>
      </c>
      <c r="I284" s="173"/>
      <c r="J284" s="171"/>
      <c r="K284" s="149"/>
      <c r="L284" s="149"/>
      <c r="M284" s="159"/>
      <c r="N284" s="596">
        <f t="shared" si="16"/>
        <v>125</v>
      </c>
      <c r="O284" s="176"/>
      <c r="P284" s="179">
        <f>IF(A284&lt;&gt;"", Снабжения!H284 / VLOOKUP(A284, 'Курс валют'!$A:$D, 4, 0), "")</f>
        <v>0</v>
      </c>
    </row>
    <row r="285" spans="1:16" ht="20.100000000000001" customHeight="1" x14ac:dyDescent="0.45">
      <c r="A285" s="156">
        <v>46093</v>
      </c>
      <c r="B285" s="152" t="s">
        <v>208</v>
      </c>
      <c r="C285" s="149" t="s">
        <v>69</v>
      </c>
      <c r="D285" s="159" t="s">
        <v>220</v>
      </c>
      <c r="E285" s="180"/>
      <c r="F285" s="458">
        <v>1</v>
      </c>
      <c r="G285" s="164"/>
      <c r="H285" s="169">
        <f t="shared" si="15"/>
        <v>0</v>
      </c>
      <c r="I285" s="173"/>
      <c r="J285" s="171"/>
      <c r="K285" s="149"/>
      <c r="L285" s="149"/>
      <c r="M285" s="159"/>
      <c r="N285" s="596">
        <f t="shared" si="16"/>
        <v>10</v>
      </c>
      <c r="O285" s="176"/>
      <c r="P285" s="179">
        <f>IF(A285&lt;&gt;"", Снабжения!H285 / VLOOKUP(A285, 'Курс валют'!$A:$D, 4, 0), "")</f>
        <v>0</v>
      </c>
    </row>
    <row r="286" spans="1:16" ht="20.100000000000001" customHeight="1" x14ac:dyDescent="0.45">
      <c r="A286" s="156">
        <v>46094</v>
      </c>
      <c r="B286" s="152" t="s">
        <v>209</v>
      </c>
      <c r="C286" s="149" t="s">
        <v>69</v>
      </c>
      <c r="D286" s="159" t="s">
        <v>220</v>
      </c>
      <c r="E286" s="180"/>
      <c r="F286" s="458">
        <v>2</v>
      </c>
      <c r="G286" s="164"/>
      <c r="H286" s="169">
        <f t="shared" si="15"/>
        <v>0</v>
      </c>
      <c r="I286" s="173"/>
      <c r="J286" s="171"/>
      <c r="K286" s="149"/>
      <c r="L286" s="149"/>
      <c r="M286" s="159"/>
      <c r="N286" s="596">
        <f t="shared" si="16"/>
        <v>128</v>
      </c>
      <c r="O286" s="176"/>
      <c r="P286" s="179">
        <f>IF(A286&lt;&gt;"", Снабжения!H286 / VLOOKUP(A286, 'Курс валют'!$A:$D, 4, 0), "")</f>
        <v>0</v>
      </c>
    </row>
    <row r="287" spans="1:16" ht="20.100000000000001" customHeight="1" x14ac:dyDescent="0.45">
      <c r="A287" s="156">
        <v>46094</v>
      </c>
      <c r="B287" s="151" t="s">
        <v>189</v>
      </c>
      <c r="C287" s="149" t="s">
        <v>69</v>
      </c>
      <c r="D287" s="159" t="s">
        <v>220</v>
      </c>
      <c r="E287" s="180"/>
      <c r="F287" s="458">
        <v>5</v>
      </c>
      <c r="G287" s="164"/>
      <c r="H287" s="169">
        <f t="shared" si="15"/>
        <v>0</v>
      </c>
      <c r="I287" s="173"/>
      <c r="J287" s="171"/>
      <c r="K287" s="149"/>
      <c r="L287" s="149"/>
      <c r="M287" s="159"/>
      <c r="N287" s="596">
        <f t="shared" si="16"/>
        <v>309</v>
      </c>
      <c r="O287" s="176"/>
      <c r="P287" s="179">
        <f>IF(A287&lt;&gt;"", Снабжения!H287 / VLOOKUP(A287, 'Курс валют'!$A:$D, 4, 0), "")</f>
        <v>0</v>
      </c>
    </row>
    <row r="288" spans="1:16" ht="20.100000000000001" customHeight="1" x14ac:dyDescent="0.45">
      <c r="A288" s="156">
        <v>46094</v>
      </c>
      <c r="B288" s="152" t="s">
        <v>219</v>
      </c>
      <c r="C288" s="149" t="s">
        <v>59</v>
      </c>
      <c r="D288" s="159" t="s">
        <v>220</v>
      </c>
      <c r="E288" s="180"/>
      <c r="F288" s="458">
        <v>2.5</v>
      </c>
      <c r="G288" s="164"/>
      <c r="H288" s="169">
        <f t="shared" si="15"/>
        <v>0</v>
      </c>
      <c r="I288" s="173"/>
      <c r="J288" s="171"/>
      <c r="K288" s="149"/>
      <c r="L288" s="149"/>
      <c r="M288" s="159"/>
      <c r="N288" s="596">
        <f t="shared" si="16"/>
        <v>41.5</v>
      </c>
      <c r="O288" s="176"/>
      <c r="P288" s="179">
        <f>IF(A288&lt;&gt;"", Снабжения!H288 / VLOOKUP(A288, 'Курс валют'!$A:$D, 4, 0), "")</f>
        <v>0</v>
      </c>
    </row>
    <row r="289" spans="1:16" ht="20.100000000000001" customHeight="1" x14ac:dyDescent="0.45">
      <c r="A289" s="156">
        <v>46094</v>
      </c>
      <c r="B289" s="152" t="s">
        <v>186</v>
      </c>
      <c r="C289" s="149" t="s">
        <v>59</v>
      </c>
      <c r="D289" s="159" t="s">
        <v>187</v>
      </c>
      <c r="E289" s="180"/>
      <c r="F289" s="458">
        <v>5</v>
      </c>
      <c r="G289" s="164"/>
      <c r="H289" s="169">
        <f t="shared" si="15"/>
        <v>0</v>
      </c>
      <c r="I289" s="173"/>
      <c r="J289" s="171"/>
      <c r="K289" s="149"/>
      <c r="L289" s="149"/>
      <c r="M289" s="159"/>
      <c r="N289" s="596">
        <f t="shared" si="16"/>
        <v>40</v>
      </c>
      <c r="O289" s="176"/>
      <c r="P289" s="179">
        <f>IF(A289&lt;&gt;"", Снабжения!H289 / VLOOKUP(A289, 'Курс валют'!$A:$D, 4, 0), "")</f>
        <v>0</v>
      </c>
    </row>
    <row r="290" spans="1:16" ht="20.100000000000001" customHeight="1" x14ac:dyDescent="0.45">
      <c r="A290" s="156">
        <v>46095</v>
      </c>
      <c r="B290" s="152" t="s">
        <v>209</v>
      </c>
      <c r="C290" s="149" t="s">
        <v>69</v>
      </c>
      <c r="D290" s="159" t="s">
        <v>220</v>
      </c>
      <c r="E290" s="180"/>
      <c r="F290" s="458">
        <v>2</v>
      </c>
      <c r="G290" s="164"/>
      <c r="H290" s="169">
        <f t="shared" si="15"/>
        <v>0</v>
      </c>
      <c r="I290" s="173"/>
      <c r="J290" s="171"/>
      <c r="K290" s="149"/>
      <c r="L290" s="149"/>
      <c r="M290" s="159"/>
      <c r="N290" s="596">
        <f t="shared" si="16"/>
        <v>128</v>
      </c>
      <c r="O290" s="176"/>
      <c r="P290" s="179">
        <f>IF(A290&lt;&gt;"", Снабжения!H290 / VLOOKUP(A290, 'Курс валют'!$A:$D, 4, 0), "")</f>
        <v>0</v>
      </c>
    </row>
    <row r="291" spans="1:16" ht="20.100000000000001" customHeight="1" x14ac:dyDescent="0.45">
      <c r="A291" s="156">
        <v>46095</v>
      </c>
      <c r="B291" s="152" t="s">
        <v>228</v>
      </c>
      <c r="C291" s="149" t="s">
        <v>59</v>
      </c>
      <c r="D291" s="159" t="s">
        <v>187</v>
      </c>
      <c r="E291" s="180"/>
      <c r="F291" s="458">
        <v>50</v>
      </c>
      <c r="G291" s="164"/>
      <c r="H291" s="169">
        <f t="shared" si="15"/>
        <v>0</v>
      </c>
      <c r="I291" s="173"/>
      <c r="J291" s="171"/>
      <c r="K291" s="149"/>
      <c r="L291" s="149"/>
      <c r="M291" s="159"/>
      <c r="N291" s="596">
        <f t="shared" si="16"/>
        <v>125</v>
      </c>
      <c r="O291" s="176"/>
      <c r="P291" s="179">
        <f>IF(A291&lt;&gt;"", Снабжения!H291 / VLOOKUP(A291, 'Курс валют'!$A:$D, 4, 0), "")</f>
        <v>0</v>
      </c>
    </row>
    <row r="292" spans="1:16" ht="20.100000000000001" customHeight="1" x14ac:dyDescent="0.45">
      <c r="A292" s="156">
        <v>46095</v>
      </c>
      <c r="B292" s="151" t="s">
        <v>230</v>
      </c>
      <c r="C292" s="149" t="s">
        <v>85</v>
      </c>
      <c r="D292" s="159" t="s">
        <v>220</v>
      </c>
      <c r="E292" s="180"/>
      <c r="F292" s="458">
        <v>100</v>
      </c>
      <c r="G292" s="164"/>
      <c r="H292" s="169">
        <f t="shared" si="15"/>
        <v>0</v>
      </c>
      <c r="I292" s="173"/>
      <c r="J292" s="171"/>
      <c r="K292" s="149"/>
      <c r="L292" s="149"/>
      <c r="M292" s="159"/>
      <c r="N292" s="596">
        <f t="shared" si="16"/>
        <v>400</v>
      </c>
      <c r="O292" s="176"/>
      <c r="P292" s="179">
        <f>IF(A292&lt;&gt;"", Снабжения!H292 / VLOOKUP(A292, 'Курс валют'!$A:$D, 4, 0), "")</f>
        <v>0</v>
      </c>
    </row>
    <row r="293" spans="1:16" ht="20.100000000000001" customHeight="1" x14ac:dyDescent="0.45">
      <c r="A293" s="156">
        <v>46095</v>
      </c>
      <c r="B293" s="152" t="s">
        <v>186</v>
      </c>
      <c r="C293" s="149" t="s">
        <v>59</v>
      </c>
      <c r="D293" s="159" t="s">
        <v>187</v>
      </c>
      <c r="E293" s="180"/>
      <c r="F293" s="458">
        <v>8.8000000000000007</v>
      </c>
      <c r="G293" s="164"/>
      <c r="H293" s="169">
        <f t="shared" si="15"/>
        <v>0</v>
      </c>
      <c r="I293" s="173"/>
      <c r="J293" s="171"/>
      <c r="K293" s="149"/>
      <c r="L293" s="149"/>
      <c r="M293" s="159"/>
      <c r="N293" s="596">
        <f t="shared" si="16"/>
        <v>40</v>
      </c>
      <c r="O293" s="176"/>
      <c r="P293" s="179">
        <f>IF(A293&lt;&gt;"", Снабжения!H293 / VLOOKUP(A293, 'Курс валют'!$A:$D, 4, 0), "")</f>
        <v>0</v>
      </c>
    </row>
    <row r="294" spans="1:16" ht="20.100000000000001" customHeight="1" x14ac:dyDescent="0.45">
      <c r="A294" s="156">
        <v>46095</v>
      </c>
      <c r="B294" s="152" t="s">
        <v>188</v>
      </c>
      <c r="C294" s="149" t="s">
        <v>59</v>
      </c>
      <c r="D294" s="159" t="s">
        <v>187</v>
      </c>
      <c r="E294" s="180"/>
      <c r="F294" s="458">
        <v>8</v>
      </c>
      <c r="G294" s="164"/>
      <c r="H294" s="169">
        <f t="shared" ref="H294:H360" si="17">G294*E294</f>
        <v>0</v>
      </c>
      <c r="I294" s="173"/>
      <c r="J294" s="171"/>
      <c r="K294" s="149"/>
      <c r="L294" s="149"/>
      <c r="M294" s="159"/>
      <c r="N294" s="596">
        <f t="shared" si="16"/>
        <v>20</v>
      </c>
      <c r="O294" s="176"/>
      <c r="P294" s="179">
        <f>IF(A294&lt;&gt;"", Снабжения!H294 / VLOOKUP(A294, 'Курс валют'!$A:$D, 4, 0), "")</f>
        <v>0</v>
      </c>
    </row>
    <row r="295" spans="1:16" ht="20.100000000000001" customHeight="1" x14ac:dyDescent="0.45">
      <c r="A295" s="156">
        <v>46095</v>
      </c>
      <c r="B295" s="152" t="s">
        <v>278</v>
      </c>
      <c r="C295" s="149" t="s">
        <v>69</v>
      </c>
      <c r="D295" s="159" t="s">
        <v>173</v>
      </c>
      <c r="E295" s="180">
        <v>1</v>
      </c>
      <c r="F295" s="458"/>
      <c r="G295" s="164">
        <v>1050000</v>
      </c>
      <c r="H295" s="169">
        <f t="shared" si="17"/>
        <v>1050000</v>
      </c>
      <c r="I295" s="173"/>
      <c r="J295" s="171"/>
      <c r="K295" s="149"/>
      <c r="L295" s="149"/>
      <c r="M295" s="159"/>
      <c r="N295" s="596">
        <f t="shared" si="16"/>
        <v>1</v>
      </c>
      <c r="O295" s="176"/>
      <c r="P295" s="179">
        <f>IF(A295&lt;&gt;"", Снабжения!H295 / VLOOKUP(A295, 'Курс валют'!$A:$D, 4, 0), "")</f>
        <v>87.5</v>
      </c>
    </row>
    <row r="296" spans="1:16" ht="20.100000000000001" customHeight="1" x14ac:dyDescent="0.45">
      <c r="A296" s="156">
        <v>46095</v>
      </c>
      <c r="B296" s="152" t="s">
        <v>279</v>
      </c>
      <c r="C296" s="149" t="s">
        <v>69</v>
      </c>
      <c r="D296" s="159" t="s">
        <v>193</v>
      </c>
      <c r="E296" s="180">
        <v>1</v>
      </c>
      <c r="F296" s="458"/>
      <c r="G296" s="164">
        <v>2900000</v>
      </c>
      <c r="H296" s="169">
        <f t="shared" si="17"/>
        <v>2900000</v>
      </c>
      <c r="I296" s="173"/>
      <c r="J296" s="171"/>
      <c r="K296" s="149"/>
      <c r="L296" s="149"/>
      <c r="M296" s="159"/>
      <c r="N296" s="596">
        <f t="shared" si="16"/>
        <v>1</v>
      </c>
      <c r="O296" s="176"/>
      <c r="P296" s="179">
        <f>IF(A296&lt;&gt;"", Снабжения!H296 / VLOOKUP(A296, 'Курс валют'!$A:$D, 4, 0), "")</f>
        <v>241.66666666666666</v>
      </c>
    </row>
    <row r="297" spans="1:16" ht="20.100000000000001" customHeight="1" x14ac:dyDescent="0.45">
      <c r="A297" s="156">
        <v>46095</v>
      </c>
      <c r="B297" s="151" t="s">
        <v>280</v>
      </c>
      <c r="C297" s="149" t="s">
        <v>69</v>
      </c>
      <c r="D297" s="159" t="s">
        <v>193</v>
      </c>
      <c r="E297" s="180">
        <v>1</v>
      </c>
      <c r="F297" s="458"/>
      <c r="G297" s="164">
        <v>900000</v>
      </c>
      <c r="H297" s="169">
        <f t="shared" si="17"/>
        <v>900000</v>
      </c>
      <c r="I297" s="173"/>
      <c r="J297" s="171"/>
      <c r="K297" s="149"/>
      <c r="L297" s="149"/>
      <c r="M297" s="159"/>
      <c r="N297" s="596">
        <f t="shared" si="16"/>
        <v>1</v>
      </c>
      <c r="O297" s="176"/>
      <c r="P297" s="179">
        <f>IF(A297&lt;&gt;"", Снабжения!H297 / VLOOKUP(A297, 'Курс валют'!$A:$D, 4, 0), "")</f>
        <v>75</v>
      </c>
    </row>
    <row r="298" spans="1:16" ht="20.100000000000001" customHeight="1" x14ac:dyDescent="0.45">
      <c r="A298" s="156">
        <v>46095</v>
      </c>
      <c r="B298" s="152" t="s">
        <v>281</v>
      </c>
      <c r="C298" s="149" t="s">
        <v>85</v>
      </c>
      <c r="D298" s="159" t="s">
        <v>204</v>
      </c>
      <c r="E298" s="180">
        <v>10</v>
      </c>
      <c r="F298" s="458">
        <v>10</v>
      </c>
      <c r="G298" s="164">
        <v>74000</v>
      </c>
      <c r="H298" s="169">
        <f t="shared" si="17"/>
        <v>740000</v>
      </c>
      <c r="I298" s="173"/>
      <c r="J298" s="171"/>
      <c r="K298" s="149"/>
      <c r="L298" s="149"/>
      <c r="M298" s="159"/>
      <c r="N298" s="596">
        <f t="shared" si="16"/>
        <v>0</v>
      </c>
      <c r="O298" s="176"/>
      <c r="P298" s="179">
        <f>IF(A298&lt;&gt;"", Снабжения!H298 / VLOOKUP(A298, 'Курс валют'!$A:$D, 4, 0), "")</f>
        <v>61.666666666666664</v>
      </c>
    </row>
    <row r="299" spans="1:16" ht="20.100000000000001" customHeight="1" x14ac:dyDescent="0.45">
      <c r="A299" s="156">
        <v>46095</v>
      </c>
      <c r="B299" s="152" t="s">
        <v>282</v>
      </c>
      <c r="C299" s="149" t="s">
        <v>69</v>
      </c>
      <c r="D299" s="159" t="s">
        <v>177</v>
      </c>
      <c r="E299" s="180">
        <v>1</v>
      </c>
      <c r="F299" s="458">
        <v>1</v>
      </c>
      <c r="G299" s="164">
        <v>410000</v>
      </c>
      <c r="H299" s="169">
        <f t="shared" si="17"/>
        <v>410000</v>
      </c>
      <c r="I299" s="173"/>
      <c r="J299" s="171"/>
      <c r="K299" s="149"/>
      <c r="L299" s="149"/>
      <c r="M299" s="159"/>
      <c r="N299" s="596">
        <f t="shared" si="16"/>
        <v>0</v>
      </c>
      <c r="O299" s="176"/>
      <c r="P299" s="179">
        <f>IF(A299&lt;&gt;"", Снабжения!H299 / VLOOKUP(A299, 'Курс валют'!$A:$D, 4, 0), "")</f>
        <v>34.166666666666664</v>
      </c>
    </row>
    <row r="300" spans="1:16" ht="20.100000000000001" customHeight="1" x14ac:dyDescent="0.45">
      <c r="A300" s="156">
        <v>46096</v>
      </c>
      <c r="B300" s="152" t="s">
        <v>189</v>
      </c>
      <c r="C300" s="149" t="s">
        <v>69</v>
      </c>
      <c r="D300" s="159" t="s">
        <v>220</v>
      </c>
      <c r="E300" s="180"/>
      <c r="F300" s="458">
        <v>30</v>
      </c>
      <c r="G300" s="164"/>
      <c r="H300" s="169">
        <f t="shared" si="17"/>
        <v>0</v>
      </c>
      <c r="I300" s="173"/>
      <c r="J300" s="171"/>
      <c r="K300" s="149"/>
      <c r="L300" s="149"/>
      <c r="M300" s="159"/>
      <c r="N300" s="596">
        <f t="shared" si="16"/>
        <v>309</v>
      </c>
      <c r="O300" s="176"/>
      <c r="P300" s="179">
        <f>IF(A300&lt;&gt;"", Снабжения!H300 / VLOOKUP(A300, 'Курс валют'!$A:$D, 4, 0), "")</f>
        <v>0</v>
      </c>
    </row>
    <row r="301" spans="1:16" ht="20.100000000000001" customHeight="1" x14ac:dyDescent="0.45">
      <c r="A301" s="156">
        <v>46096</v>
      </c>
      <c r="B301" s="152" t="s">
        <v>253</v>
      </c>
      <c r="C301" s="149" t="s">
        <v>69</v>
      </c>
      <c r="D301" s="159" t="s">
        <v>220</v>
      </c>
      <c r="E301" s="180"/>
      <c r="F301" s="458">
        <v>2</v>
      </c>
      <c r="G301" s="164"/>
      <c r="H301" s="169">
        <f t="shared" si="17"/>
        <v>0</v>
      </c>
      <c r="I301" s="173"/>
      <c r="J301" s="171"/>
      <c r="K301" s="149"/>
      <c r="L301" s="149"/>
      <c r="M301" s="159"/>
      <c r="N301" s="596">
        <f t="shared" si="16"/>
        <v>8</v>
      </c>
      <c r="O301" s="176"/>
      <c r="P301" s="179">
        <f>IF(A301&lt;&gt;"", Снабжения!H301 / VLOOKUP(A301, 'Курс валют'!$A:$D, 4, 0), "")</f>
        <v>0</v>
      </c>
    </row>
    <row r="302" spans="1:16" ht="20.100000000000001" customHeight="1" x14ac:dyDescent="0.45">
      <c r="A302" s="156">
        <v>46096</v>
      </c>
      <c r="B302" s="152" t="s">
        <v>271</v>
      </c>
      <c r="C302" s="149" t="s">
        <v>69</v>
      </c>
      <c r="D302" s="159" t="s">
        <v>220</v>
      </c>
      <c r="E302" s="180"/>
      <c r="F302" s="458">
        <v>2</v>
      </c>
      <c r="G302" s="164"/>
      <c r="H302" s="169">
        <f t="shared" si="17"/>
        <v>0</v>
      </c>
      <c r="I302" s="173"/>
      <c r="J302" s="171"/>
      <c r="K302" s="149"/>
      <c r="L302" s="149"/>
      <c r="M302" s="159"/>
      <c r="N302" s="596">
        <f t="shared" si="16"/>
        <v>42</v>
      </c>
      <c r="O302" s="176"/>
      <c r="P302" s="179">
        <f>IF(A302&lt;&gt;"", Снабжения!H302 / VLOOKUP(A302, 'Курс валют'!$A:$D, 4, 0), "")</f>
        <v>0</v>
      </c>
    </row>
    <row r="303" spans="1:16" ht="20.100000000000001" customHeight="1" x14ac:dyDescent="0.45">
      <c r="A303" s="156">
        <v>46096</v>
      </c>
      <c r="B303" s="152" t="s">
        <v>219</v>
      </c>
      <c r="C303" s="149" t="s">
        <v>59</v>
      </c>
      <c r="D303" s="159" t="s">
        <v>220</v>
      </c>
      <c r="E303" s="180"/>
      <c r="F303" s="458">
        <v>2.5</v>
      </c>
      <c r="G303" s="164"/>
      <c r="H303" s="169">
        <f t="shared" si="17"/>
        <v>0</v>
      </c>
      <c r="I303" s="173"/>
      <c r="J303" s="171"/>
      <c r="K303" s="149"/>
      <c r="L303" s="149"/>
      <c r="M303" s="159"/>
      <c r="N303" s="596">
        <f t="shared" si="16"/>
        <v>41.5</v>
      </c>
      <c r="O303" s="176"/>
      <c r="P303" s="179">
        <f>IF(A303&lt;&gt;"", Снабжения!H303 / VLOOKUP(A303, 'Курс валют'!$A:$D, 4, 0), "")</f>
        <v>0</v>
      </c>
    </row>
    <row r="304" spans="1:16" ht="20.100000000000001" customHeight="1" x14ac:dyDescent="0.45">
      <c r="A304" s="156">
        <v>46096</v>
      </c>
      <c r="B304" s="152" t="s">
        <v>208</v>
      </c>
      <c r="C304" s="149" t="s">
        <v>69</v>
      </c>
      <c r="D304" s="159" t="s">
        <v>220</v>
      </c>
      <c r="E304" s="180"/>
      <c r="F304" s="458">
        <v>1</v>
      </c>
      <c r="G304" s="164"/>
      <c r="H304" s="169">
        <f t="shared" si="17"/>
        <v>0</v>
      </c>
      <c r="I304" s="173"/>
      <c r="J304" s="171"/>
      <c r="K304" s="149"/>
      <c r="L304" s="149"/>
      <c r="M304" s="159"/>
      <c r="N304" s="596">
        <f t="shared" si="16"/>
        <v>10</v>
      </c>
      <c r="O304" s="176"/>
      <c r="P304" s="179">
        <f>IF(A304&lt;&gt;"", Снабжения!H304 / VLOOKUP(A304, 'Курс валют'!$A:$D, 4, 0), "")</f>
        <v>0</v>
      </c>
    </row>
    <row r="305" spans="1:16" ht="20.100000000000001" customHeight="1" x14ac:dyDescent="0.45">
      <c r="A305" s="156">
        <v>46096</v>
      </c>
      <c r="B305" s="152" t="s">
        <v>186</v>
      </c>
      <c r="C305" s="149" t="s">
        <v>59</v>
      </c>
      <c r="D305" s="159" t="s">
        <v>187</v>
      </c>
      <c r="E305" s="180"/>
      <c r="F305" s="458">
        <v>7.5</v>
      </c>
      <c r="G305" s="164"/>
      <c r="H305" s="169">
        <f t="shared" si="17"/>
        <v>0</v>
      </c>
      <c r="I305" s="173"/>
      <c r="J305" s="171"/>
      <c r="K305" s="149"/>
      <c r="L305" s="149"/>
      <c r="M305" s="159"/>
      <c r="N305" s="596">
        <f t="shared" si="16"/>
        <v>40</v>
      </c>
      <c r="O305" s="176"/>
      <c r="P305" s="179">
        <f>IF(A305&lt;&gt;"", Снабжения!H305 / VLOOKUP(A305, 'Курс валют'!$A:$D, 4, 0), "")</f>
        <v>0</v>
      </c>
    </row>
    <row r="306" spans="1:16" ht="20.100000000000001" customHeight="1" x14ac:dyDescent="0.45">
      <c r="A306" s="156">
        <v>46096</v>
      </c>
      <c r="B306" s="152" t="s">
        <v>188</v>
      </c>
      <c r="C306" s="149" t="s">
        <v>59</v>
      </c>
      <c r="D306" s="159" t="s">
        <v>187</v>
      </c>
      <c r="E306" s="180"/>
      <c r="F306" s="458">
        <v>12</v>
      </c>
      <c r="G306" s="164"/>
      <c r="H306" s="169">
        <f t="shared" si="17"/>
        <v>0</v>
      </c>
      <c r="I306" s="173"/>
      <c r="J306" s="171"/>
      <c r="K306" s="149"/>
      <c r="L306" s="149"/>
      <c r="M306" s="159"/>
      <c r="N306" s="596">
        <f t="shared" si="16"/>
        <v>20</v>
      </c>
      <c r="O306" s="176"/>
      <c r="P306" s="179">
        <f>IF(A306&lt;&gt;"", Снабжения!H306 / VLOOKUP(A306, 'Курс валют'!$A:$D, 4, 0), "")</f>
        <v>0</v>
      </c>
    </row>
    <row r="307" spans="1:16" ht="20.100000000000001" customHeight="1" x14ac:dyDescent="0.45">
      <c r="A307" s="156">
        <v>46096</v>
      </c>
      <c r="B307" s="151" t="s">
        <v>223</v>
      </c>
      <c r="C307" s="149" t="s">
        <v>69</v>
      </c>
      <c r="D307" s="159" t="s">
        <v>220</v>
      </c>
      <c r="E307" s="180"/>
      <c r="F307" s="458">
        <v>4</v>
      </c>
      <c r="G307" s="164"/>
      <c r="H307" s="169">
        <f t="shared" si="17"/>
        <v>0</v>
      </c>
      <c r="I307" s="173"/>
      <c r="J307" s="171"/>
      <c r="K307" s="149"/>
      <c r="L307" s="149"/>
      <c r="M307" s="159"/>
      <c r="N307" s="596">
        <f t="shared" si="16"/>
        <v>8</v>
      </c>
      <c r="O307" s="176"/>
      <c r="P307" s="179">
        <f>IF(A307&lt;&gt;"", Снабжения!H307 / VLOOKUP(A307, 'Курс валют'!$A:$D, 4, 0), "")</f>
        <v>0</v>
      </c>
    </row>
    <row r="308" spans="1:16" ht="20.100000000000001" customHeight="1" x14ac:dyDescent="0.45">
      <c r="A308" s="156">
        <v>46096</v>
      </c>
      <c r="B308" s="152" t="s">
        <v>190</v>
      </c>
      <c r="C308" s="149" t="s">
        <v>59</v>
      </c>
      <c r="D308" s="159" t="s">
        <v>187</v>
      </c>
      <c r="E308" s="180"/>
      <c r="F308" s="458">
        <v>20</v>
      </c>
      <c r="G308" s="164"/>
      <c r="H308" s="169">
        <f t="shared" si="17"/>
        <v>0</v>
      </c>
      <c r="I308" s="173"/>
      <c r="J308" s="171"/>
      <c r="K308" s="149"/>
      <c r="L308" s="149"/>
      <c r="M308" s="159"/>
      <c r="N308" s="596">
        <f t="shared" si="16"/>
        <v>80</v>
      </c>
      <c r="O308" s="176"/>
      <c r="P308" s="179">
        <f>IF(A308&lt;&gt;"", Снабжения!H308 / VLOOKUP(A308, 'Курс валют'!$A:$D, 4, 0), "")</f>
        <v>0</v>
      </c>
    </row>
    <row r="309" spans="1:16" ht="20.100000000000001" customHeight="1" x14ac:dyDescent="0.45">
      <c r="A309" s="156">
        <v>46096</v>
      </c>
      <c r="B309" s="152" t="s">
        <v>259</v>
      </c>
      <c r="C309" s="149" t="s">
        <v>97</v>
      </c>
      <c r="D309" s="159" t="s">
        <v>173</v>
      </c>
      <c r="E309" s="180"/>
      <c r="F309" s="458">
        <v>40</v>
      </c>
      <c r="G309" s="164"/>
      <c r="H309" s="169">
        <f t="shared" si="17"/>
        <v>0</v>
      </c>
      <c r="I309" s="173"/>
      <c r="J309" s="171"/>
      <c r="K309" s="149"/>
      <c r="L309" s="149"/>
      <c r="M309" s="159"/>
      <c r="N309" s="596">
        <f t="shared" si="16"/>
        <v>40</v>
      </c>
      <c r="O309" s="176"/>
      <c r="P309" s="179">
        <f>IF(A309&lt;&gt;"", Снабжения!H309 / VLOOKUP(A309, 'Курс валют'!$A:$D, 4, 0), "")</f>
        <v>0</v>
      </c>
    </row>
    <row r="310" spans="1:16" ht="20.100000000000001" customHeight="1" x14ac:dyDescent="0.45">
      <c r="A310" s="156">
        <v>46096</v>
      </c>
      <c r="B310" s="152" t="s">
        <v>228</v>
      </c>
      <c r="C310" s="149" t="s">
        <v>59</v>
      </c>
      <c r="D310" s="159" t="s">
        <v>187</v>
      </c>
      <c r="E310" s="180"/>
      <c r="F310" s="458">
        <v>75</v>
      </c>
      <c r="G310" s="164"/>
      <c r="H310" s="169">
        <f t="shared" si="17"/>
        <v>0</v>
      </c>
      <c r="I310" s="173"/>
      <c r="J310" s="171"/>
      <c r="K310" s="149"/>
      <c r="L310" s="149"/>
      <c r="M310" s="159"/>
      <c r="N310" s="596">
        <f t="shared" si="16"/>
        <v>125</v>
      </c>
      <c r="O310" s="176"/>
      <c r="P310" s="179">
        <f>IF(A310&lt;&gt;"", Снабжения!H310 / VLOOKUP(A310, 'Курс валют'!$A:$D, 4, 0), "")</f>
        <v>0</v>
      </c>
    </row>
    <row r="311" spans="1:16" ht="20.100000000000001" customHeight="1" x14ac:dyDescent="0.45">
      <c r="A311" s="156">
        <v>46098</v>
      </c>
      <c r="B311" s="152" t="s">
        <v>283</v>
      </c>
      <c r="C311" s="149" t="s">
        <v>127</v>
      </c>
      <c r="D311" s="159" t="s">
        <v>220</v>
      </c>
      <c r="E311" s="180">
        <v>10</v>
      </c>
      <c r="F311" s="458"/>
      <c r="G311" s="164">
        <v>430000</v>
      </c>
      <c r="H311" s="169">
        <f t="shared" si="17"/>
        <v>4300000</v>
      </c>
      <c r="I311" s="173"/>
      <c r="J311" s="171"/>
      <c r="K311" s="149"/>
      <c r="L311" s="149"/>
      <c r="M311" s="159"/>
      <c r="N311" s="596">
        <f t="shared" si="16"/>
        <v>18</v>
      </c>
      <c r="O311" s="176"/>
      <c r="P311" s="179">
        <f>IF(A311&lt;&gt;"", Снабжения!H311 / VLOOKUP(A311, 'Курс валют'!$A:$D, 4, 0), "")</f>
        <v>357.14285714285717</v>
      </c>
    </row>
    <row r="312" spans="1:16" ht="20.100000000000001" customHeight="1" x14ac:dyDescent="0.45">
      <c r="A312" s="156">
        <v>46098</v>
      </c>
      <c r="B312" s="152" t="s">
        <v>91</v>
      </c>
      <c r="C312" s="149" t="s">
        <v>65</v>
      </c>
      <c r="D312" s="159"/>
      <c r="E312" s="180"/>
      <c r="F312" s="458"/>
      <c r="G312" s="164"/>
      <c r="H312" s="169">
        <v>80000</v>
      </c>
      <c r="I312" s="173"/>
      <c r="J312" s="171"/>
      <c r="K312" s="149"/>
      <c r="L312" s="149"/>
      <c r="M312" s="159"/>
      <c r="N312" s="596">
        <f t="shared" si="16"/>
        <v>8</v>
      </c>
      <c r="O312" s="176"/>
      <c r="P312" s="179">
        <f>IF(A312&lt;&gt;"", Снабжения!H312 / VLOOKUP(A312, 'Курс валют'!$A:$D, 4, 0), "")</f>
        <v>6.6445182724252492</v>
      </c>
    </row>
    <row r="313" spans="1:16" ht="20.100000000000001" customHeight="1" x14ac:dyDescent="0.45">
      <c r="A313" s="156">
        <v>46097</v>
      </c>
      <c r="B313" s="152" t="s">
        <v>228</v>
      </c>
      <c r="C313" s="149" t="s">
        <v>59</v>
      </c>
      <c r="D313" s="159" t="s">
        <v>187</v>
      </c>
      <c r="E313" s="180"/>
      <c r="F313" s="458">
        <v>50</v>
      </c>
      <c r="G313" s="164"/>
      <c r="H313" s="169">
        <f t="shared" si="17"/>
        <v>0</v>
      </c>
      <c r="I313" s="173"/>
      <c r="J313" s="171"/>
      <c r="K313" s="149"/>
      <c r="L313" s="149"/>
      <c r="M313" s="159"/>
      <c r="N313" s="596">
        <f t="shared" si="16"/>
        <v>125</v>
      </c>
      <c r="O313" s="176"/>
      <c r="P313" s="179">
        <f>IF(A313&lt;&gt;"", Снабжения!H313 / VLOOKUP(A313, 'Курс валют'!$A:$D, 4, 0), "")</f>
        <v>0</v>
      </c>
    </row>
    <row r="314" spans="1:16" ht="20.100000000000001" customHeight="1" x14ac:dyDescent="0.45">
      <c r="A314" s="156">
        <v>46097</v>
      </c>
      <c r="B314" s="152" t="s">
        <v>263</v>
      </c>
      <c r="C314" s="149" t="s">
        <v>69</v>
      </c>
      <c r="D314" s="159" t="s">
        <v>220</v>
      </c>
      <c r="E314" s="180"/>
      <c r="F314" s="458">
        <v>3</v>
      </c>
      <c r="G314" s="164"/>
      <c r="H314" s="169">
        <f t="shared" si="17"/>
        <v>0</v>
      </c>
      <c r="I314" s="173"/>
      <c r="J314" s="171"/>
      <c r="K314" s="149"/>
      <c r="L314" s="149"/>
      <c r="M314" s="159"/>
      <c r="N314" s="596">
        <f t="shared" si="16"/>
        <v>18</v>
      </c>
      <c r="O314" s="176"/>
      <c r="P314" s="179">
        <f>IF(A314&lt;&gt;"", Снабжения!H314 / VLOOKUP(A314, 'Курс валют'!$A:$D, 4, 0), "")</f>
        <v>0</v>
      </c>
    </row>
    <row r="315" spans="1:16" ht="20.100000000000001" customHeight="1" x14ac:dyDescent="0.45">
      <c r="A315" s="156">
        <v>46097</v>
      </c>
      <c r="B315" s="151" t="s">
        <v>230</v>
      </c>
      <c r="C315" s="149" t="s">
        <v>85</v>
      </c>
      <c r="D315" s="159" t="s">
        <v>220</v>
      </c>
      <c r="E315" s="180"/>
      <c r="F315" s="458">
        <v>100</v>
      </c>
      <c r="G315" s="164"/>
      <c r="H315" s="169">
        <f t="shared" si="17"/>
        <v>0</v>
      </c>
      <c r="I315" s="173"/>
      <c r="J315" s="171"/>
      <c r="K315" s="149"/>
      <c r="L315" s="149"/>
      <c r="M315" s="159"/>
      <c r="N315" s="596">
        <f t="shared" si="16"/>
        <v>400</v>
      </c>
      <c r="O315" s="176"/>
      <c r="P315" s="179">
        <f>IF(A315&lt;&gt;"", Снабжения!H315 / VLOOKUP(A315, 'Курс валют'!$A:$D, 4, 0), "")</f>
        <v>0</v>
      </c>
    </row>
    <row r="316" spans="1:16" ht="20.100000000000001" customHeight="1" x14ac:dyDescent="0.45">
      <c r="A316" s="156">
        <v>46097</v>
      </c>
      <c r="B316" s="152" t="s">
        <v>186</v>
      </c>
      <c r="C316" s="149" t="s">
        <v>59</v>
      </c>
      <c r="D316" s="159" t="s">
        <v>187</v>
      </c>
      <c r="E316" s="180"/>
      <c r="F316" s="458">
        <v>4</v>
      </c>
      <c r="G316" s="164"/>
      <c r="H316" s="169">
        <f t="shared" si="17"/>
        <v>0</v>
      </c>
      <c r="I316" s="173"/>
      <c r="J316" s="171"/>
      <c r="K316" s="149"/>
      <c r="L316" s="149"/>
      <c r="M316" s="159"/>
      <c r="N316" s="596">
        <f t="shared" si="16"/>
        <v>40</v>
      </c>
      <c r="O316" s="176"/>
      <c r="P316" s="179">
        <f>IF(A316&lt;&gt;"", Снабжения!H316 / VLOOKUP(A316, 'Курс валют'!$A:$D, 4, 0), "")</f>
        <v>0</v>
      </c>
    </row>
    <row r="317" spans="1:16" ht="20.100000000000001" customHeight="1" x14ac:dyDescent="0.45">
      <c r="A317" s="156">
        <v>46097</v>
      </c>
      <c r="B317" s="152" t="s">
        <v>223</v>
      </c>
      <c r="C317" s="149" t="s">
        <v>69</v>
      </c>
      <c r="D317" s="159" t="s">
        <v>220</v>
      </c>
      <c r="E317" s="180"/>
      <c r="F317" s="458">
        <v>2</v>
      </c>
      <c r="G317" s="164"/>
      <c r="H317" s="169">
        <f t="shared" si="17"/>
        <v>0</v>
      </c>
      <c r="I317" s="173"/>
      <c r="J317" s="171"/>
      <c r="K317" s="149"/>
      <c r="L317" s="149"/>
      <c r="M317" s="159"/>
      <c r="N317" s="596">
        <f t="shared" ref="N317:N380" si="18">SUMIF(B:B,B317,E:E)-SUMIF(B:B,B317,F:F)</f>
        <v>8</v>
      </c>
      <c r="O317" s="176"/>
      <c r="P317" s="179">
        <f>IF(A317&lt;&gt;"", Снабжения!H317 / VLOOKUP(A317, 'Курс валют'!$A:$D, 4, 0), "")</f>
        <v>0</v>
      </c>
    </row>
    <row r="318" spans="1:16" ht="20.100000000000001" customHeight="1" x14ac:dyDescent="0.45">
      <c r="A318" s="156">
        <v>46097</v>
      </c>
      <c r="B318" s="151" t="s">
        <v>240</v>
      </c>
      <c r="C318" s="149" t="s">
        <v>69</v>
      </c>
      <c r="D318" s="159" t="s">
        <v>220</v>
      </c>
      <c r="E318" s="180"/>
      <c r="F318" s="458">
        <v>3</v>
      </c>
      <c r="G318" s="164"/>
      <c r="H318" s="169">
        <f t="shared" si="17"/>
        <v>0</v>
      </c>
      <c r="I318" s="173"/>
      <c r="J318" s="171"/>
      <c r="K318" s="149"/>
      <c r="L318" s="149"/>
      <c r="M318" s="159"/>
      <c r="N318" s="596">
        <f t="shared" si="18"/>
        <v>9</v>
      </c>
      <c r="O318" s="176"/>
      <c r="P318" s="179">
        <f>IF(A318&lt;&gt;"", Снабжения!H318 / VLOOKUP(A318, 'Курс валют'!$A:$D, 4, 0), "")</f>
        <v>0</v>
      </c>
    </row>
    <row r="319" spans="1:16" ht="20.100000000000001" customHeight="1" x14ac:dyDescent="0.45">
      <c r="A319" s="156">
        <v>46097</v>
      </c>
      <c r="B319" s="152" t="s">
        <v>189</v>
      </c>
      <c r="C319" s="149" t="s">
        <v>69</v>
      </c>
      <c r="D319" s="159" t="s">
        <v>220</v>
      </c>
      <c r="E319" s="180"/>
      <c r="F319" s="458">
        <v>2</v>
      </c>
      <c r="G319" s="164"/>
      <c r="H319" s="169">
        <f t="shared" si="17"/>
        <v>0</v>
      </c>
      <c r="I319" s="173"/>
      <c r="J319" s="171"/>
      <c r="K319" s="149"/>
      <c r="L319" s="149"/>
      <c r="M319" s="159"/>
      <c r="N319" s="596">
        <f t="shared" si="18"/>
        <v>309</v>
      </c>
      <c r="O319" s="176"/>
      <c r="P319" s="179">
        <f>IF(A319&lt;&gt;"", Снабжения!H319 / VLOOKUP(A319, 'Курс валют'!$A:$D, 4, 0), "")</f>
        <v>0</v>
      </c>
    </row>
    <row r="320" spans="1:16" ht="20.100000000000001" customHeight="1" x14ac:dyDescent="0.45">
      <c r="A320" s="156">
        <v>46097</v>
      </c>
      <c r="B320" s="152" t="s">
        <v>209</v>
      </c>
      <c r="C320" s="149" t="s">
        <v>69</v>
      </c>
      <c r="D320" s="159" t="s">
        <v>220</v>
      </c>
      <c r="E320" s="180"/>
      <c r="F320" s="458">
        <v>2</v>
      </c>
      <c r="G320" s="164"/>
      <c r="H320" s="169">
        <f t="shared" si="17"/>
        <v>0</v>
      </c>
      <c r="I320" s="173"/>
      <c r="J320" s="171"/>
      <c r="K320" s="149"/>
      <c r="L320" s="149"/>
      <c r="M320" s="159"/>
      <c r="N320" s="596">
        <f t="shared" si="18"/>
        <v>128</v>
      </c>
      <c r="O320" s="176"/>
      <c r="P320" s="179">
        <f>IF(A320&lt;&gt;"", Снабжения!H320 / VLOOKUP(A320, 'Курс валют'!$A:$D, 4, 0), "")</f>
        <v>0</v>
      </c>
    </row>
    <row r="321" spans="1:16" ht="20.100000000000001" customHeight="1" x14ac:dyDescent="0.45">
      <c r="A321" s="156">
        <v>46097</v>
      </c>
      <c r="B321" s="152" t="s">
        <v>210</v>
      </c>
      <c r="C321" s="149" t="s">
        <v>69</v>
      </c>
      <c r="D321" s="159" t="s">
        <v>220</v>
      </c>
      <c r="E321" s="180"/>
      <c r="F321" s="458">
        <v>100</v>
      </c>
      <c r="G321" s="164"/>
      <c r="H321" s="169">
        <f t="shared" si="17"/>
        <v>0</v>
      </c>
      <c r="I321" s="173"/>
      <c r="J321" s="171"/>
      <c r="K321" s="149"/>
      <c r="L321" s="149"/>
      <c r="M321" s="159"/>
      <c r="N321" s="596">
        <f t="shared" si="18"/>
        <v>405</v>
      </c>
      <c r="O321" s="176"/>
      <c r="P321" s="179">
        <f>IF(A321&lt;&gt;"", Снабжения!H321 / VLOOKUP(A321, 'Курс валют'!$A:$D, 4, 0), "")</f>
        <v>0</v>
      </c>
    </row>
    <row r="322" spans="1:16" ht="20.100000000000001" customHeight="1" x14ac:dyDescent="0.45">
      <c r="A322" s="156">
        <v>46098</v>
      </c>
      <c r="B322" s="152" t="s">
        <v>189</v>
      </c>
      <c r="C322" s="149" t="s">
        <v>69</v>
      </c>
      <c r="D322" s="159" t="s">
        <v>220</v>
      </c>
      <c r="E322" s="180"/>
      <c r="F322" s="458">
        <v>32</v>
      </c>
      <c r="G322" s="164"/>
      <c r="H322" s="169">
        <f t="shared" si="17"/>
        <v>0</v>
      </c>
      <c r="I322" s="173"/>
      <c r="J322" s="171"/>
      <c r="K322" s="149"/>
      <c r="L322" s="149"/>
      <c r="M322" s="159"/>
      <c r="N322" s="596">
        <f t="shared" si="18"/>
        <v>309</v>
      </c>
      <c r="O322" s="176"/>
      <c r="P322" s="179">
        <f>IF(A322&lt;&gt;"", Снабжения!H322 / VLOOKUP(A322, 'Курс валют'!$A:$D, 4, 0), "")</f>
        <v>0</v>
      </c>
    </row>
    <row r="323" spans="1:16" ht="20.100000000000001" customHeight="1" x14ac:dyDescent="0.45">
      <c r="A323" s="156">
        <v>46098</v>
      </c>
      <c r="B323" s="152" t="s">
        <v>228</v>
      </c>
      <c r="C323" s="149" t="s">
        <v>59</v>
      </c>
      <c r="D323" s="159" t="s">
        <v>187</v>
      </c>
      <c r="E323" s="180"/>
      <c r="F323" s="458">
        <v>75</v>
      </c>
      <c r="G323" s="164"/>
      <c r="H323" s="169">
        <f t="shared" si="17"/>
        <v>0</v>
      </c>
      <c r="I323" s="173"/>
      <c r="J323" s="171"/>
      <c r="K323" s="149"/>
      <c r="L323" s="149"/>
      <c r="M323" s="159"/>
      <c r="N323" s="596">
        <f t="shared" si="18"/>
        <v>125</v>
      </c>
      <c r="O323" s="176"/>
      <c r="P323" s="179">
        <f>IF(A323&lt;&gt;"", Снабжения!H323 / VLOOKUP(A323, 'Курс валют'!$A:$D, 4, 0), "")</f>
        <v>0</v>
      </c>
    </row>
    <row r="324" spans="1:16" ht="20.100000000000001" customHeight="1" x14ac:dyDescent="0.45">
      <c r="A324" s="156">
        <v>46098</v>
      </c>
      <c r="B324" s="152" t="s">
        <v>274</v>
      </c>
      <c r="C324" s="149" t="s">
        <v>69</v>
      </c>
      <c r="D324" s="159" t="s">
        <v>220</v>
      </c>
      <c r="E324" s="180"/>
      <c r="F324" s="458">
        <v>3</v>
      </c>
      <c r="G324" s="164"/>
      <c r="H324" s="169">
        <f t="shared" si="17"/>
        <v>0</v>
      </c>
      <c r="I324" s="173"/>
      <c r="J324" s="171"/>
      <c r="K324" s="149"/>
      <c r="L324" s="149"/>
      <c r="M324" s="159"/>
      <c r="N324" s="596">
        <f t="shared" si="18"/>
        <v>7</v>
      </c>
      <c r="O324" s="176"/>
      <c r="P324" s="179">
        <f>IF(A324&lt;&gt;"", Снабжения!H324 / VLOOKUP(A324, 'Курс валют'!$A:$D, 4, 0), "")</f>
        <v>0</v>
      </c>
    </row>
    <row r="325" spans="1:16" ht="20.100000000000001" customHeight="1" x14ac:dyDescent="0.45">
      <c r="A325" s="156">
        <v>46098</v>
      </c>
      <c r="B325" s="152" t="s">
        <v>186</v>
      </c>
      <c r="C325" s="149" t="s">
        <v>59</v>
      </c>
      <c r="D325" s="159" t="s">
        <v>187</v>
      </c>
      <c r="E325" s="180"/>
      <c r="F325" s="458">
        <v>4.5</v>
      </c>
      <c r="G325" s="164"/>
      <c r="H325" s="169">
        <f t="shared" si="17"/>
        <v>0</v>
      </c>
      <c r="I325" s="173"/>
      <c r="J325" s="171"/>
      <c r="K325" s="149"/>
      <c r="L325" s="149"/>
      <c r="M325" s="159"/>
      <c r="N325" s="596">
        <f t="shared" si="18"/>
        <v>40</v>
      </c>
      <c r="O325" s="176"/>
      <c r="P325" s="179">
        <f>IF(A325&lt;&gt;"", Снабжения!H325 / VLOOKUP(A325, 'Курс валют'!$A:$D, 4, 0), "")</f>
        <v>0</v>
      </c>
    </row>
    <row r="326" spans="1:16" ht="20.100000000000001" customHeight="1" x14ac:dyDescent="0.45">
      <c r="A326" s="156">
        <v>46098</v>
      </c>
      <c r="B326" s="152" t="s">
        <v>188</v>
      </c>
      <c r="C326" s="149" t="s">
        <v>59</v>
      </c>
      <c r="D326" s="159" t="s">
        <v>187</v>
      </c>
      <c r="E326" s="180"/>
      <c r="F326" s="458">
        <v>4</v>
      </c>
      <c r="G326" s="164"/>
      <c r="H326" s="169">
        <f t="shared" si="17"/>
        <v>0</v>
      </c>
      <c r="I326" s="173"/>
      <c r="J326" s="171"/>
      <c r="K326" s="149"/>
      <c r="L326" s="149"/>
      <c r="M326" s="159"/>
      <c r="N326" s="596">
        <f t="shared" si="18"/>
        <v>20</v>
      </c>
      <c r="O326" s="176"/>
      <c r="P326" s="179">
        <f>IF(A326&lt;&gt;"", Снабжения!H326 / VLOOKUP(A326, 'Курс валют'!$A:$D, 4, 0), "")</f>
        <v>0</v>
      </c>
    </row>
    <row r="327" spans="1:16" ht="20.100000000000001" customHeight="1" x14ac:dyDescent="0.45">
      <c r="A327" s="156">
        <v>46098</v>
      </c>
      <c r="B327" s="152" t="s">
        <v>254</v>
      </c>
      <c r="C327" s="149" t="s">
        <v>69</v>
      </c>
      <c r="D327" s="159" t="s">
        <v>220</v>
      </c>
      <c r="E327" s="180"/>
      <c r="F327" s="458">
        <v>3</v>
      </c>
      <c r="G327" s="164"/>
      <c r="H327" s="169">
        <f t="shared" si="17"/>
        <v>0</v>
      </c>
      <c r="I327" s="173"/>
      <c r="J327" s="171"/>
      <c r="K327" s="149"/>
      <c r="L327" s="149"/>
      <c r="M327" s="159"/>
      <c r="N327" s="596">
        <f t="shared" si="18"/>
        <v>33</v>
      </c>
      <c r="O327" s="176"/>
      <c r="P327" s="179">
        <f>IF(A327&lt;&gt;"", Снабжения!H327 / VLOOKUP(A327, 'Курс валют'!$A:$D, 4, 0), "")</f>
        <v>0</v>
      </c>
    </row>
    <row r="328" spans="1:16" ht="20.100000000000001" customHeight="1" x14ac:dyDescent="0.45">
      <c r="A328" s="156">
        <v>46098</v>
      </c>
      <c r="B328" s="151" t="s">
        <v>240</v>
      </c>
      <c r="C328" s="149" t="s">
        <v>69</v>
      </c>
      <c r="D328" s="159" t="s">
        <v>220</v>
      </c>
      <c r="E328" s="180"/>
      <c r="F328" s="458">
        <v>2</v>
      </c>
      <c r="G328" s="164"/>
      <c r="H328" s="169">
        <f t="shared" si="17"/>
        <v>0</v>
      </c>
      <c r="I328" s="173"/>
      <c r="J328" s="171"/>
      <c r="K328" s="149"/>
      <c r="L328" s="149"/>
      <c r="M328" s="159"/>
      <c r="N328" s="596">
        <f t="shared" si="18"/>
        <v>9</v>
      </c>
      <c r="O328" s="176"/>
      <c r="P328" s="179">
        <f>IF(A328&lt;&gt;"", Снабжения!H328 / VLOOKUP(A328, 'Курс валют'!$A:$D, 4, 0), "")</f>
        <v>0</v>
      </c>
    </row>
    <row r="329" spans="1:16" ht="20.100000000000001" customHeight="1" x14ac:dyDescent="0.45">
      <c r="A329" s="156">
        <v>46098</v>
      </c>
      <c r="B329" s="152" t="s">
        <v>223</v>
      </c>
      <c r="C329" s="149" t="s">
        <v>69</v>
      </c>
      <c r="D329" s="159" t="s">
        <v>220</v>
      </c>
      <c r="E329" s="180"/>
      <c r="F329" s="458">
        <v>4</v>
      </c>
      <c r="G329" s="164"/>
      <c r="H329" s="169">
        <f t="shared" si="17"/>
        <v>0</v>
      </c>
      <c r="I329" s="173"/>
      <c r="J329" s="171"/>
      <c r="K329" s="149"/>
      <c r="L329" s="149"/>
      <c r="M329" s="159"/>
      <c r="N329" s="596">
        <f t="shared" si="18"/>
        <v>8</v>
      </c>
      <c r="O329" s="176"/>
      <c r="P329" s="179">
        <f>IF(A329&lt;&gt;"", Снабжения!H329 / VLOOKUP(A329, 'Курс валют'!$A:$D, 4, 0), "")</f>
        <v>0</v>
      </c>
    </row>
    <row r="330" spans="1:16" ht="20.100000000000001" customHeight="1" x14ac:dyDescent="0.45">
      <c r="A330" s="156">
        <v>46098</v>
      </c>
      <c r="B330" s="152" t="s">
        <v>209</v>
      </c>
      <c r="C330" s="149" t="s">
        <v>69</v>
      </c>
      <c r="D330" s="159" t="s">
        <v>220</v>
      </c>
      <c r="E330" s="180"/>
      <c r="F330" s="458">
        <v>4</v>
      </c>
      <c r="G330" s="164"/>
      <c r="H330" s="169">
        <f t="shared" si="17"/>
        <v>0</v>
      </c>
      <c r="I330" s="173"/>
      <c r="J330" s="171"/>
      <c r="K330" s="149"/>
      <c r="L330" s="149"/>
      <c r="M330" s="159"/>
      <c r="N330" s="596">
        <f t="shared" si="18"/>
        <v>128</v>
      </c>
      <c r="O330" s="176"/>
      <c r="P330" s="179">
        <f>IF(A330&lt;&gt;"", Снабжения!H330 / VLOOKUP(A330, 'Курс валют'!$A:$D, 4, 0), "")</f>
        <v>0</v>
      </c>
    </row>
    <row r="331" spans="1:16" ht="20.100000000000001" customHeight="1" x14ac:dyDescent="0.45">
      <c r="A331" s="156">
        <v>46099</v>
      </c>
      <c r="B331" s="152" t="s">
        <v>189</v>
      </c>
      <c r="C331" s="149" t="s">
        <v>69</v>
      </c>
      <c r="D331" s="159" t="s">
        <v>220</v>
      </c>
      <c r="E331" s="180"/>
      <c r="F331" s="458">
        <v>2</v>
      </c>
      <c r="G331" s="164"/>
      <c r="H331" s="169">
        <f t="shared" si="17"/>
        <v>0</v>
      </c>
      <c r="I331" s="173"/>
      <c r="J331" s="171"/>
      <c r="K331" s="149"/>
      <c r="L331" s="149"/>
      <c r="M331" s="159"/>
      <c r="N331" s="596">
        <f t="shared" si="18"/>
        <v>309</v>
      </c>
      <c r="O331" s="176"/>
      <c r="P331" s="179">
        <f>IF(A331&lt;&gt;"", Снабжения!H331 / VLOOKUP(A331, 'Курс валют'!$A:$D, 4, 0), "")</f>
        <v>0</v>
      </c>
    </row>
    <row r="332" spans="1:16" ht="20.100000000000001" customHeight="1" x14ac:dyDescent="0.45">
      <c r="A332" s="156">
        <v>46099</v>
      </c>
      <c r="B332" s="152" t="s">
        <v>208</v>
      </c>
      <c r="C332" s="149" t="s">
        <v>69</v>
      </c>
      <c r="D332" s="159" t="s">
        <v>220</v>
      </c>
      <c r="E332" s="180"/>
      <c r="F332" s="458">
        <v>2</v>
      </c>
      <c r="G332" s="164"/>
      <c r="H332" s="169">
        <f t="shared" si="17"/>
        <v>0</v>
      </c>
      <c r="I332" s="173"/>
      <c r="J332" s="171"/>
      <c r="K332" s="149"/>
      <c r="L332" s="149"/>
      <c r="M332" s="159"/>
      <c r="N332" s="596">
        <f t="shared" si="18"/>
        <v>10</v>
      </c>
      <c r="O332" s="176"/>
      <c r="P332" s="179">
        <f>IF(A332&lt;&gt;"", Снабжения!H332 / VLOOKUP(A332, 'Курс валют'!$A:$D, 4, 0), "")</f>
        <v>0</v>
      </c>
    </row>
    <row r="333" spans="1:16" ht="20.100000000000001" customHeight="1" x14ac:dyDescent="0.45">
      <c r="A333" s="156">
        <v>46099</v>
      </c>
      <c r="B333" s="152" t="s">
        <v>186</v>
      </c>
      <c r="C333" s="149" t="s">
        <v>59</v>
      </c>
      <c r="D333" s="159" t="s">
        <v>187</v>
      </c>
      <c r="E333" s="180"/>
      <c r="F333" s="458">
        <v>4.5</v>
      </c>
      <c r="G333" s="164"/>
      <c r="H333" s="169">
        <f t="shared" si="17"/>
        <v>0</v>
      </c>
      <c r="I333" s="173"/>
      <c r="J333" s="171"/>
      <c r="K333" s="149"/>
      <c r="L333" s="149"/>
      <c r="M333" s="159"/>
      <c r="N333" s="596">
        <f t="shared" si="18"/>
        <v>40</v>
      </c>
      <c r="O333" s="176"/>
      <c r="P333" s="179">
        <f>IF(A333&lt;&gt;"", Снабжения!H333 / VLOOKUP(A333, 'Курс валют'!$A:$D, 4, 0), "")</f>
        <v>0</v>
      </c>
    </row>
    <row r="334" spans="1:16" ht="20.100000000000001" customHeight="1" x14ac:dyDescent="0.45">
      <c r="A334" s="156">
        <v>46099</v>
      </c>
      <c r="B334" s="152" t="s">
        <v>188</v>
      </c>
      <c r="C334" s="149" t="s">
        <v>59</v>
      </c>
      <c r="D334" s="159" t="s">
        <v>187</v>
      </c>
      <c r="E334" s="180"/>
      <c r="F334" s="458">
        <v>4.5</v>
      </c>
      <c r="G334" s="164"/>
      <c r="H334" s="169">
        <f t="shared" si="17"/>
        <v>0</v>
      </c>
      <c r="I334" s="173"/>
      <c r="J334" s="171"/>
      <c r="K334" s="149"/>
      <c r="L334" s="149"/>
      <c r="M334" s="159"/>
      <c r="N334" s="596">
        <f t="shared" si="18"/>
        <v>20</v>
      </c>
      <c r="O334" s="176"/>
      <c r="P334" s="179">
        <f>IF(A334&lt;&gt;"", Снабжения!H334 / VLOOKUP(A334, 'Курс валют'!$A:$D, 4, 0), "")</f>
        <v>0</v>
      </c>
    </row>
    <row r="335" spans="1:16" ht="20.100000000000001" customHeight="1" x14ac:dyDescent="0.45">
      <c r="A335" s="156">
        <v>46099</v>
      </c>
      <c r="B335" s="152" t="s">
        <v>190</v>
      </c>
      <c r="C335" s="149" t="s">
        <v>59</v>
      </c>
      <c r="D335" s="159" t="s">
        <v>187</v>
      </c>
      <c r="E335" s="180"/>
      <c r="F335" s="458">
        <v>4.5</v>
      </c>
      <c r="G335" s="164"/>
      <c r="H335" s="169">
        <f t="shared" si="17"/>
        <v>0</v>
      </c>
      <c r="I335" s="173"/>
      <c r="J335" s="171"/>
      <c r="K335" s="149"/>
      <c r="L335" s="149"/>
      <c r="M335" s="159"/>
      <c r="N335" s="596">
        <f t="shared" si="18"/>
        <v>80</v>
      </c>
      <c r="O335" s="176"/>
      <c r="P335" s="179">
        <f>IF(A335&lt;&gt;"", Снабжения!H335 / VLOOKUP(A335, 'Курс валют'!$A:$D, 4, 0), "")</f>
        <v>0</v>
      </c>
    </row>
    <row r="336" spans="1:16" ht="20.100000000000001" customHeight="1" x14ac:dyDescent="0.45">
      <c r="A336" s="156">
        <v>46099</v>
      </c>
      <c r="B336" s="152" t="s">
        <v>212</v>
      </c>
      <c r="C336" s="149" t="s">
        <v>85</v>
      </c>
      <c r="D336" s="159" t="s">
        <v>204</v>
      </c>
      <c r="E336" s="180"/>
      <c r="F336" s="458">
        <v>5.5</v>
      </c>
      <c r="G336" s="164"/>
      <c r="H336" s="169">
        <f t="shared" si="17"/>
        <v>0</v>
      </c>
      <c r="I336" s="173"/>
      <c r="J336" s="171"/>
      <c r="K336" s="149"/>
      <c r="L336" s="149"/>
      <c r="M336" s="159"/>
      <c r="N336" s="596">
        <f t="shared" si="18"/>
        <v>74.5</v>
      </c>
      <c r="O336" s="176"/>
      <c r="P336" s="179">
        <f>IF(A336&lt;&gt;"", Снабжения!H336 / VLOOKUP(A336, 'Курс валют'!$A:$D, 4, 0), "")</f>
        <v>0</v>
      </c>
    </row>
    <row r="337" spans="1:16" ht="20.100000000000001" customHeight="1" x14ac:dyDescent="0.45">
      <c r="A337" s="156">
        <v>46100</v>
      </c>
      <c r="B337" s="152" t="s">
        <v>189</v>
      </c>
      <c r="C337" s="149" t="s">
        <v>69</v>
      </c>
      <c r="D337" s="159" t="s">
        <v>220</v>
      </c>
      <c r="E337" s="180">
        <v>100</v>
      </c>
      <c r="F337" s="458"/>
      <c r="G337" s="164">
        <v>4392</v>
      </c>
      <c r="H337" s="169">
        <f t="shared" si="17"/>
        <v>439200</v>
      </c>
      <c r="I337" s="173"/>
      <c r="J337" s="171"/>
      <c r="K337" s="149"/>
      <c r="L337" s="149"/>
      <c r="M337" s="159"/>
      <c r="N337" s="596">
        <f t="shared" si="18"/>
        <v>309</v>
      </c>
      <c r="O337" s="176"/>
      <c r="P337" s="179">
        <f>IF(A337&lt;&gt;"", Снабжения!H337 / VLOOKUP(A337, 'Курс валют'!$A:$D, 4, 0), "")</f>
        <v>36.148148148148145</v>
      </c>
    </row>
    <row r="338" spans="1:16" ht="20.100000000000001" customHeight="1" x14ac:dyDescent="0.45">
      <c r="A338" s="156">
        <v>46100</v>
      </c>
      <c r="B338" s="151" t="s">
        <v>284</v>
      </c>
      <c r="C338" s="149" t="s">
        <v>69</v>
      </c>
      <c r="D338" s="159" t="s">
        <v>220</v>
      </c>
      <c r="E338" s="180">
        <v>10</v>
      </c>
      <c r="F338" s="458"/>
      <c r="G338" s="164">
        <v>31302.7</v>
      </c>
      <c r="H338" s="169">
        <f t="shared" si="17"/>
        <v>313027</v>
      </c>
      <c r="I338" s="173"/>
      <c r="J338" s="171"/>
      <c r="K338" s="149"/>
      <c r="L338" s="149"/>
      <c r="M338" s="159"/>
      <c r="N338" s="596">
        <f t="shared" si="18"/>
        <v>1</v>
      </c>
      <c r="O338" s="176"/>
      <c r="P338" s="179">
        <f>IF(A338&lt;&gt;"", Снабжения!H338 / VLOOKUP(A338, 'Курс валют'!$A:$D, 4, 0), "")</f>
        <v>25.763539094650206</v>
      </c>
    </row>
    <row r="339" spans="1:16" ht="20.100000000000001" customHeight="1" x14ac:dyDescent="0.45">
      <c r="A339" s="156">
        <v>46100</v>
      </c>
      <c r="B339" s="152" t="s">
        <v>219</v>
      </c>
      <c r="C339" s="149" t="s">
        <v>59</v>
      </c>
      <c r="D339" s="159" t="s">
        <v>220</v>
      </c>
      <c r="E339" s="180">
        <v>20</v>
      </c>
      <c r="F339" s="458"/>
      <c r="G339" s="164">
        <v>40000</v>
      </c>
      <c r="H339" s="169">
        <f t="shared" si="17"/>
        <v>800000</v>
      </c>
      <c r="I339" s="173"/>
      <c r="J339" s="171"/>
      <c r="K339" s="149"/>
      <c r="L339" s="149"/>
      <c r="M339" s="159"/>
      <c r="N339" s="596">
        <f t="shared" si="18"/>
        <v>41.5</v>
      </c>
      <c r="O339" s="176"/>
      <c r="P339" s="179">
        <f>IF(A339&lt;&gt;"", Снабжения!H339 / VLOOKUP(A339, 'Курс валют'!$A:$D, 4, 0), "")</f>
        <v>65.843621399176953</v>
      </c>
    </row>
    <row r="340" spans="1:16" ht="20.100000000000001" customHeight="1" x14ac:dyDescent="0.45">
      <c r="A340" s="156">
        <v>46100</v>
      </c>
      <c r="B340" s="152" t="s">
        <v>188</v>
      </c>
      <c r="C340" s="149" t="s">
        <v>59</v>
      </c>
      <c r="D340" s="159" t="s">
        <v>187</v>
      </c>
      <c r="E340" s="180">
        <v>40</v>
      </c>
      <c r="F340" s="458"/>
      <c r="G340" s="164">
        <v>10250</v>
      </c>
      <c r="H340" s="169">
        <f t="shared" si="17"/>
        <v>410000</v>
      </c>
      <c r="I340" s="173"/>
      <c r="J340" s="171"/>
      <c r="K340" s="149"/>
      <c r="L340" s="149"/>
      <c r="M340" s="159"/>
      <c r="N340" s="596">
        <f t="shared" si="18"/>
        <v>20</v>
      </c>
      <c r="O340" s="176"/>
      <c r="P340" s="179">
        <f>IF(A340&lt;&gt;"", Снабжения!H340 / VLOOKUP(A340, 'Курс валют'!$A:$D, 4, 0), "")</f>
        <v>33.744855967078188</v>
      </c>
    </row>
    <row r="341" spans="1:16" ht="20.100000000000001" customHeight="1" x14ac:dyDescent="0.45">
      <c r="A341" s="156">
        <v>46100</v>
      </c>
      <c r="B341" s="152" t="s">
        <v>254</v>
      </c>
      <c r="C341" s="149" t="s">
        <v>69</v>
      </c>
      <c r="D341" s="159" t="s">
        <v>220</v>
      </c>
      <c r="E341" s="180">
        <v>36</v>
      </c>
      <c r="F341" s="458"/>
      <c r="G341" s="164">
        <v>54000</v>
      </c>
      <c r="H341" s="169">
        <f t="shared" si="17"/>
        <v>1944000</v>
      </c>
      <c r="I341" s="173"/>
      <c r="J341" s="171"/>
      <c r="K341" s="149"/>
      <c r="L341" s="149"/>
      <c r="M341" s="159"/>
      <c r="N341" s="596">
        <f t="shared" si="18"/>
        <v>33</v>
      </c>
      <c r="O341" s="176"/>
      <c r="P341" s="179">
        <f>IF(A341&lt;&gt;"", Снабжения!H341 / VLOOKUP(A341, 'Курс валют'!$A:$D, 4, 0), "")</f>
        <v>160</v>
      </c>
    </row>
    <row r="342" spans="1:16" ht="20.100000000000001" customHeight="1" x14ac:dyDescent="0.45">
      <c r="A342" s="156">
        <v>46100</v>
      </c>
      <c r="B342" s="151" t="s">
        <v>230</v>
      </c>
      <c r="C342" s="149" t="s">
        <v>85</v>
      </c>
      <c r="D342" s="159" t="s">
        <v>220</v>
      </c>
      <c r="E342" s="180">
        <v>200</v>
      </c>
      <c r="F342" s="458"/>
      <c r="G342" s="164">
        <v>3750</v>
      </c>
      <c r="H342" s="169">
        <f t="shared" si="17"/>
        <v>750000</v>
      </c>
      <c r="I342" s="173"/>
      <c r="J342" s="171"/>
      <c r="K342" s="149"/>
      <c r="L342" s="149"/>
      <c r="M342" s="159"/>
      <c r="N342" s="596">
        <f t="shared" si="18"/>
        <v>400</v>
      </c>
      <c r="O342" s="176"/>
      <c r="P342" s="179">
        <f>IF(A342&lt;&gt;"", Снабжения!H342 / VLOOKUP(A342, 'Курс валют'!$A:$D, 4, 0), "")</f>
        <v>61.728395061728392</v>
      </c>
    </row>
    <row r="343" spans="1:16" ht="20.100000000000001" customHeight="1" x14ac:dyDescent="0.45">
      <c r="A343" s="156">
        <v>46100</v>
      </c>
      <c r="B343" s="152" t="s">
        <v>285</v>
      </c>
      <c r="C343" s="149" t="s">
        <v>69</v>
      </c>
      <c r="D343" s="159" t="s">
        <v>193</v>
      </c>
      <c r="E343" s="180">
        <v>1</v>
      </c>
      <c r="F343" s="458"/>
      <c r="G343" s="164">
        <v>698000</v>
      </c>
      <c r="H343" s="169">
        <f t="shared" si="17"/>
        <v>698000</v>
      </c>
      <c r="I343" s="173"/>
      <c r="J343" s="171"/>
      <c r="K343" s="149"/>
      <c r="L343" s="149"/>
      <c r="M343" s="159"/>
      <c r="N343" s="596">
        <f t="shared" si="18"/>
        <v>1</v>
      </c>
      <c r="O343" s="176"/>
      <c r="P343" s="179">
        <f>IF(A343&lt;&gt;"", Снабжения!H343 / VLOOKUP(A343, 'Курс валют'!$A:$D, 4, 0), "")</f>
        <v>57.44855967078189</v>
      </c>
    </row>
    <row r="344" spans="1:16" ht="20.100000000000001" customHeight="1" x14ac:dyDescent="0.45">
      <c r="A344" s="156">
        <v>46100</v>
      </c>
      <c r="B344" s="152" t="s">
        <v>195</v>
      </c>
      <c r="C344" s="149" t="s">
        <v>69</v>
      </c>
      <c r="D344" s="159" t="s">
        <v>193</v>
      </c>
      <c r="E344" s="180">
        <v>1</v>
      </c>
      <c r="F344" s="458"/>
      <c r="G344" s="164">
        <v>738000</v>
      </c>
      <c r="H344" s="169">
        <f t="shared" si="17"/>
        <v>738000</v>
      </c>
      <c r="I344" s="173"/>
      <c r="J344" s="171"/>
      <c r="K344" s="149"/>
      <c r="L344" s="149"/>
      <c r="M344" s="159"/>
      <c r="N344" s="596">
        <f t="shared" si="18"/>
        <v>3</v>
      </c>
      <c r="O344" s="176"/>
      <c r="P344" s="179">
        <f>IF(A344&lt;&gt;"", Снабжения!H344 / VLOOKUP(A344, 'Курс валют'!$A:$D, 4, 0), "")</f>
        <v>60.74074074074074</v>
      </c>
    </row>
    <row r="345" spans="1:16" ht="20.100000000000001" customHeight="1" x14ac:dyDescent="0.45">
      <c r="A345" s="156">
        <v>46100</v>
      </c>
      <c r="B345" s="152" t="s">
        <v>91</v>
      </c>
      <c r="C345" s="149" t="s">
        <v>65</v>
      </c>
      <c r="D345" s="159"/>
      <c r="E345" s="180"/>
      <c r="F345" s="458"/>
      <c r="G345" s="164"/>
      <c r="H345" s="169">
        <v>200000</v>
      </c>
      <c r="I345" s="173"/>
      <c r="J345" s="171"/>
      <c r="K345" s="149"/>
      <c r="L345" s="149"/>
      <c r="M345" s="159"/>
      <c r="N345" s="596">
        <f t="shared" si="18"/>
        <v>8</v>
      </c>
      <c r="O345" s="176"/>
      <c r="P345" s="179">
        <f>IF(A345&lt;&gt;"", Снабжения!H345 / VLOOKUP(A345, 'Курс валют'!$A:$D, 4, 0), "")</f>
        <v>16.460905349794238</v>
      </c>
    </row>
    <row r="346" spans="1:16" ht="20.100000000000001" customHeight="1" x14ac:dyDescent="0.45">
      <c r="A346" s="156">
        <v>46100</v>
      </c>
      <c r="B346" s="152" t="s">
        <v>209</v>
      </c>
      <c r="C346" s="149" t="s">
        <v>69</v>
      </c>
      <c r="D346" s="159" t="s">
        <v>220</v>
      </c>
      <c r="E346" s="180"/>
      <c r="F346" s="458">
        <v>1</v>
      </c>
      <c r="G346" s="164"/>
      <c r="H346" s="169">
        <f t="shared" si="17"/>
        <v>0</v>
      </c>
      <c r="I346" s="173"/>
      <c r="J346" s="171"/>
      <c r="K346" s="149"/>
      <c r="L346" s="149"/>
      <c r="M346" s="159"/>
      <c r="N346" s="596">
        <f t="shared" si="18"/>
        <v>128</v>
      </c>
      <c r="O346" s="176"/>
      <c r="P346" s="179">
        <f>IF(A346&lt;&gt;"", Снабжения!H346 / VLOOKUP(A346, 'Курс валют'!$A:$D, 4, 0), "")</f>
        <v>0</v>
      </c>
    </row>
    <row r="347" spans="1:16" ht="20.100000000000001" customHeight="1" x14ac:dyDescent="0.45">
      <c r="A347" s="156">
        <v>46100</v>
      </c>
      <c r="B347" s="152" t="s">
        <v>189</v>
      </c>
      <c r="C347" s="149" t="s">
        <v>69</v>
      </c>
      <c r="D347" s="159" t="s">
        <v>220</v>
      </c>
      <c r="E347" s="180"/>
      <c r="F347" s="458">
        <v>5</v>
      </c>
      <c r="G347" s="164"/>
      <c r="H347" s="169">
        <f t="shared" si="17"/>
        <v>0</v>
      </c>
      <c r="I347" s="173"/>
      <c r="J347" s="171"/>
      <c r="K347" s="149"/>
      <c r="L347" s="149"/>
      <c r="M347" s="159"/>
      <c r="N347" s="596">
        <f t="shared" si="18"/>
        <v>309</v>
      </c>
      <c r="O347" s="176"/>
      <c r="P347" s="179">
        <f>IF(A347&lt;&gt;"", Снабжения!H347 / VLOOKUP(A347, 'Курс валют'!$A:$D, 4, 0), "")</f>
        <v>0</v>
      </c>
    </row>
    <row r="348" spans="1:16" ht="20.100000000000001" customHeight="1" x14ac:dyDescent="0.45">
      <c r="A348" s="156">
        <v>46100</v>
      </c>
      <c r="B348" s="152" t="s">
        <v>188</v>
      </c>
      <c r="C348" s="149" t="s">
        <v>59</v>
      </c>
      <c r="D348" s="159" t="s">
        <v>187</v>
      </c>
      <c r="E348" s="180"/>
      <c r="F348" s="458">
        <v>31.5</v>
      </c>
      <c r="G348" s="164"/>
      <c r="H348" s="169">
        <f t="shared" si="17"/>
        <v>0</v>
      </c>
      <c r="I348" s="173"/>
      <c r="J348" s="171"/>
      <c r="K348" s="149"/>
      <c r="L348" s="149"/>
      <c r="M348" s="159"/>
      <c r="N348" s="596">
        <f t="shared" si="18"/>
        <v>20</v>
      </c>
      <c r="O348" s="176"/>
      <c r="P348" s="179">
        <f>IF(A348&lt;&gt;"", Снабжения!H348 / VLOOKUP(A348, 'Курс валют'!$A:$D, 4, 0), "")</f>
        <v>0</v>
      </c>
    </row>
    <row r="349" spans="1:16" ht="20.100000000000001" customHeight="1" x14ac:dyDescent="0.45">
      <c r="A349" s="156">
        <v>46100</v>
      </c>
      <c r="B349" s="151" t="s">
        <v>263</v>
      </c>
      <c r="C349" s="149" t="s">
        <v>69</v>
      </c>
      <c r="D349" s="159" t="s">
        <v>220</v>
      </c>
      <c r="E349" s="180"/>
      <c r="F349" s="458">
        <v>3</v>
      </c>
      <c r="G349" s="164"/>
      <c r="H349" s="169">
        <f t="shared" si="17"/>
        <v>0</v>
      </c>
      <c r="I349" s="173"/>
      <c r="J349" s="171"/>
      <c r="K349" s="149"/>
      <c r="L349" s="149"/>
      <c r="M349" s="159"/>
      <c r="N349" s="596">
        <f t="shared" si="18"/>
        <v>18</v>
      </c>
      <c r="O349" s="176"/>
      <c r="P349" s="179">
        <f>IF(A349&lt;&gt;"", Снабжения!H349 / VLOOKUP(A349, 'Курс валют'!$A:$D, 4, 0), "")</f>
        <v>0</v>
      </c>
    </row>
    <row r="350" spans="1:16" ht="20.100000000000001" customHeight="1" x14ac:dyDescent="0.45">
      <c r="A350" s="156">
        <v>46100</v>
      </c>
      <c r="B350" s="152" t="s">
        <v>186</v>
      </c>
      <c r="C350" s="149" t="s">
        <v>59</v>
      </c>
      <c r="D350" s="159" t="s">
        <v>187</v>
      </c>
      <c r="E350" s="180"/>
      <c r="F350" s="458">
        <v>20</v>
      </c>
      <c r="G350" s="164"/>
      <c r="H350" s="169">
        <f t="shared" si="17"/>
        <v>0</v>
      </c>
      <c r="I350" s="173"/>
      <c r="J350" s="171"/>
      <c r="K350" s="149"/>
      <c r="L350" s="149"/>
      <c r="M350" s="159"/>
      <c r="N350" s="596">
        <f t="shared" si="18"/>
        <v>40</v>
      </c>
      <c r="O350" s="176"/>
      <c r="P350" s="179">
        <f>IF(A350&lt;&gt;"", Снабжения!H350 / VLOOKUP(A350, 'Курс валют'!$A:$D, 4, 0), "")</f>
        <v>0</v>
      </c>
    </row>
    <row r="351" spans="1:16" ht="20.100000000000001" customHeight="1" x14ac:dyDescent="0.45">
      <c r="A351" s="156">
        <v>46100</v>
      </c>
      <c r="B351" s="152" t="s">
        <v>228</v>
      </c>
      <c r="C351" s="149" t="s">
        <v>59</v>
      </c>
      <c r="D351" s="159" t="s">
        <v>187</v>
      </c>
      <c r="E351" s="180"/>
      <c r="F351" s="458">
        <v>17</v>
      </c>
      <c r="G351" s="164"/>
      <c r="H351" s="169">
        <f t="shared" si="17"/>
        <v>0</v>
      </c>
      <c r="I351" s="173"/>
      <c r="J351" s="171"/>
      <c r="K351" s="149"/>
      <c r="L351" s="149"/>
      <c r="M351" s="159"/>
      <c r="N351" s="596">
        <f t="shared" si="18"/>
        <v>125</v>
      </c>
      <c r="O351" s="176"/>
      <c r="P351" s="179">
        <f>IF(A351&lt;&gt;"", Снабжения!H351 / VLOOKUP(A351, 'Курс валют'!$A:$D, 4, 0), "")</f>
        <v>0</v>
      </c>
    </row>
    <row r="352" spans="1:16" ht="20.100000000000001" customHeight="1" x14ac:dyDescent="0.45">
      <c r="A352" s="156">
        <v>46100</v>
      </c>
      <c r="B352" s="152" t="s">
        <v>259</v>
      </c>
      <c r="C352" s="149" t="s">
        <v>97</v>
      </c>
      <c r="D352" s="159" t="s">
        <v>220</v>
      </c>
      <c r="E352" s="180"/>
      <c r="F352" s="458">
        <v>40</v>
      </c>
      <c r="G352" s="164"/>
      <c r="H352" s="169">
        <f t="shared" si="17"/>
        <v>0</v>
      </c>
      <c r="I352" s="173"/>
      <c r="J352" s="171"/>
      <c r="K352" s="149"/>
      <c r="L352" s="149"/>
      <c r="M352" s="159"/>
      <c r="N352" s="596">
        <f t="shared" si="18"/>
        <v>40</v>
      </c>
      <c r="O352" s="176"/>
      <c r="P352" s="179">
        <f>IF(A352&lt;&gt;"", Снабжения!H352 / VLOOKUP(A352, 'Курс валют'!$A:$D, 4, 0), "")</f>
        <v>0</v>
      </c>
    </row>
    <row r="353" spans="1:16" ht="20.100000000000001" customHeight="1" x14ac:dyDescent="0.45">
      <c r="A353" s="156">
        <v>46100</v>
      </c>
      <c r="B353" s="152" t="s">
        <v>240</v>
      </c>
      <c r="C353" s="149" t="s">
        <v>69</v>
      </c>
      <c r="D353" s="159" t="s">
        <v>220</v>
      </c>
      <c r="E353" s="180"/>
      <c r="F353" s="458">
        <v>1</v>
      </c>
      <c r="G353" s="164"/>
      <c r="H353" s="169">
        <f t="shared" si="17"/>
        <v>0</v>
      </c>
      <c r="I353" s="173"/>
      <c r="J353" s="171"/>
      <c r="K353" s="149"/>
      <c r="L353" s="149"/>
      <c r="M353" s="159"/>
      <c r="N353" s="596">
        <f t="shared" si="18"/>
        <v>9</v>
      </c>
      <c r="O353" s="176"/>
      <c r="P353" s="179">
        <f>IF(A353&lt;&gt;"", Снабжения!H353 / VLOOKUP(A353, 'Курс валют'!$A:$D, 4, 0), "")</f>
        <v>0</v>
      </c>
    </row>
    <row r="354" spans="1:16" ht="20.100000000000001" customHeight="1" x14ac:dyDescent="0.45">
      <c r="A354" s="156">
        <v>46100</v>
      </c>
      <c r="B354" s="152" t="s">
        <v>223</v>
      </c>
      <c r="C354" s="149" t="s">
        <v>69</v>
      </c>
      <c r="D354" s="159" t="s">
        <v>220</v>
      </c>
      <c r="E354" s="180"/>
      <c r="F354" s="458">
        <v>1</v>
      </c>
      <c r="G354" s="164"/>
      <c r="H354" s="169">
        <f>G354*E354</f>
        <v>0</v>
      </c>
      <c r="I354" s="173"/>
      <c r="J354" s="171"/>
      <c r="K354" s="149"/>
      <c r="L354" s="149"/>
      <c r="M354" s="159"/>
      <c r="N354" s="596">
        <f t="shared" si="18"/>
        <v>8</v>
      </c>
      <c r="O354" s="176"/>
      <c r="P354" s="179">
        <f>IF(A354&lt;&gt;"", Снабжения!H354 / VLOOKUP(A354, 'Курс валют'!$A:$D, 4, 0), "")</f>
        <v>0</v>
      </c>
    </row>
    <row r="355" spans="1:16" ht="20.100000000000001" customHeight="1" x14ac:dyDescent="0.45">
      <c r="A355" s="156">
        <v>46102</v>
      </c>
      <c r="B355" s="152" t="s">
        <v>189</v>
      </c>
      <c r="C355" s="149" t="s">
        <v>69</v>
      </c>
      <c r="D355" s="159" t="s">
        <v>220</v>
      </c>
      <c r="E355" s="180"/>
      <c r="F355" s="458">
        <v>30</v>
      </c>
      <c r="G355" s="164"/>
      <c r="H355" s="169">
        <f t="shared" si="17"/>
        <v>0</v>
      </c>
      <c r="I355" s="173"/>
      <c r="J355" s="171"/>
      <c r="K355" s="149"/>
      <c r="L355" s="149"/>
      <c r="M355" s="159"/>
      <c r="N355" s="596">
        <f t="shared" si="18"/>
        <v>309</v>
      </c>
      <c r="O355" s="176"/>
      <c r="P355" s="179">
        <f>IF(A355&lt;&gt;"", Снабжения!H355 / VLOOKUP(A355, 'Курс валют'!$A:$D, 4, 0), "")</f>
        <v>0</v>
      </c>
    </row>
    <row r="356" spans="1:16" ht="20.100000000000001" customHeight="1" x14ac:dyDescent="0.45">
      <c r="A356" s="156">
        <v>46102</v>
      </c>
      <c r="B356" s="152" t="s">
        <v>191</v>
      </c>
      <c r="C356" s="149" t="s">
        <v>69</v>
      </c>
      <c r="D356" s="159" t="s">
        <v>220</v>
      </c>
      <c r="E356" s="180"/>
      <c r="F356" s="458">
        <v>1</v>
      </c>
      <c r="G356" s="164"/>
      <c r="H356" s="169">
        <f t="shared" si="17"/>
        <v>0</v>
      </c>
      <c r="I356" s="173"/>
      <c r="J356" s="171"/>
      <c r="K356" s="149"/>
      <c r="L356" s="149"/>
      <c r="M356" s="159"/>
      <c r="N356" s="596">
        <f t="shared" si="18"/>
        <v>2</v>
      </c>
      <c r="O356" s="176"/>
      <c r="P356" s="179">
        <f>IF(A356&lt;&gt;"", Снабжения!H356 / VLOOKUP(A356, 'Курс валют'!$A:$D, 4, 0), "")</f>
        <v>0</v>
      </c>
    </row>
    <row r="357" spans="1:16" ht="20.100000000000001" customHeight="1" x14ac:dyDescent="0.45">
      <c r="A357" s="156">
        <v>46102</v>
      </c>
      <c r="B357" s="152" t="s">
        <v>219</v>
      </c>
      <c r="C357" s="149" t="s">
        <v>59</v>
      </c>
      <c r="D357" s="159" t="s">
        <v>220</v>
      </c>
      <c r="E357" s="180"/>
      <c r="F357" s="458">
        <v>2.5</v>
      </c>
      <c r="G357" s="164"/>
      <c r="H357" s="169">
        <f t="shared" si="17"/>
        <v>0</v>
      </c>
      <c r="I357" s="173"/>
      <c r="J357" s="171"/>
      <c r="K357" s="149"/>
      <c r="L357" s="149"/>
      <c r="M357" s="159"/>
      <c r="N357" s="596">
        <f t="shared" si="18"/>
        <v>41.5</v>
      </c>
      <c r="O357" s="176"/>
      <c r="P357" s="179">
        <f>IF(A357&lt;&gt;"", Снабжения!H357 / VLOOKUP(A357, 'Курс валют'!$A:$D, 4, 0), "")</f>
        <v>0</v>
      </c>
    </row>
    <row r="358" spans="1:16" ht="20.100000000000001" customHeight="1" x14ac:dyDescent="0.45">
      <c r="A358" s="156">
        <v>46102</v>
      </c>
      <c r="B358" s="152" t="s">
        <v>253</v>
      </c>
      <c r="C358" s="149" t="s">
        <v>69</v>
      </c>
      <c r="D358" s="159" t="s">
        <v>220</v>
      </c>
      <c r="E358" s="180"/>
      <c r="F358" s="458">
        <v>1</v>
      </c>
      <c r="G358" s="164"/>
      <c r="H358" s="169">
        <f t="shared" si="17"/>
        <v>0</v>
      </c>
      <c r="I358" s="173"/>
      <c r="J358" s="171"/>
      <c r="K358" s="149"/>
      <c r="L358" s="149"/>
      <c r="M358" s="159"/>
      <c r="N358" s="596">
        <f t="shared" si="18"/>
        <v>8</v>
      </c>
      <c r="O358" s="176"/>
      <c r="P358" s="179">
        <f>IF(A358&lt;&gt;"", Снабжения!H358 / VLOOKUP(A358, 'Курс валют'!$A:$D, 4, 0), "")</f>
        <v>0</v>
      </c>
    </row>
    <row r="359" spans="1:16" ht="20.100000000000001" customHeight="1" x14ac:dyDescent="0.45">
      <c r="A359" s="156">
        <v>46102</v>
      </c>
      <c r="B359" s="152" t="s">
        <v>228</v>
      </c>
      <c r="C359" s="149" t="s">
        <v>59</v>
      </c>
      <c r="D359" s="159" t="s">
        <v>187</v>
      </c>
      <c r="E359" s="180"/>
      <c r="F359" s="458">
        <v>50</v>
      </c>
      <c r="G359" s="164"/>
      <c r="H359" s="169">
        <f t="shared" si="17"/>
        <v>0</v>
      </c>
      <c r="I359" s="173"/>
      <c r="J359" s="171"/>
      <c r="K359" s="149"/>
      <c r="L359" s="149"/>
      <c r="M359" s="159"/>
      <c r="N359" s="596">
        <f t="shared" si="18"/>
        <v>125</v>
      </c>
      <c r="O359" s="176"/>
      <c r="P359" s="179">
        <f>IF(A359&lt;&gt;"", Снабжения!H359 / VLOOKUP(A359, 'Курс валют'!$A:$D, 4, 0), "")</f>
        <v>0</v>
      </c>
    </row>
    <row r="360" spans="1:16" ht="20.100000000000001" customHeight="1" x14ac:dyDescent="0.45">
      <c r="A360" s="156">
        <v>46102</v>
      </c>
      <c r="B360" s="151" t="s">
        <v>203</v>
      </c>
      <c r="C360" s="149" t="s">
        <v>69</v>
      </c>
      <c r="D360" s="159" t="s">
        <v>204</v>
      </c>
      <c r="E360" s="180"/>
      <c r="F360" s="458">
        <v>1</v>
      </c>
      <c r="G360" s="164"/>
      <c r="H360" s="169">
        <f t="shared" si="17"/>
        <v>0</v>
      </c>
      <c r="I360" s="173"/>
      <c r="J360" s="171"/>
      <c r="K360" s="149"/>
      <c r="L360" s="149"/>
      <c r="M360" s="159"/>
      <c r="N360" s="596">
        <f t="shared" si="18"/>
        <v>11</v>
      </c>
      <c r="O360" s="176"/>
      <c r="P360" s="179">
        <f>IF(A360&lt;&gt;"", Снабжения!H360 / VLOOKUP(A360, 'Курс валют'!$A:$D, 4, 0), "")</f>
        <v>0</v>
      </c>
    </row>
    <row r="361" spans="1:16" ht="20.100000000000001" customHeight="1" x14ac:dyDescent="0.45">
      <c r="A361" s="156">
        <v>46102</v>
      </c>
      <c r="B361" s="152" t="s">
        <v>205</v>
      </c>
      <c r="C361" s="149" t="s">
        <v>69</v>
      </c>
      <c r="D361" s="159" t="s">
        <v>204</v>
      </c>
      <c r="E361" s="180"/>
      <c r="F361" s="458">
        <v>1</v>
      </c>
      <c r="G361" s="164"/>
      <c r="H361" s="169">
        <f t="shared" ref="H361:H423" si="19">G361*E361</f>
        <v>0</v>
      </c>
      <c r="I361" s="173"/>
      <c r="J361" s="171"/>
      <c r="K361" s="149"/>
      <c r="L361" s="149"/>
      <c r="M361" s="159"/>
      <c r="N361" s="596">
        <f t="shared" si="18"/>
        <v>8</v>
      </c>
      <c r="O361" s="176"/>
      <c r="P361" s="179">
        <f>IF(A361&lt;&gt;"", Снабжения!H361 / VLOOKUP(A361, 'Курс валют'!$A:$D, 4, 0), "")</f>
        <v>0</v>
      </c>
    </row>
    <row r="362" spans="1:16" ht="20.100000000000001" customHeight="1" x14ac:dyDescent="0.45">
      <c r="A362" s="156">
        <v>46102</v>
      </c>
      <c r="B362" s="151" t="s">
        <v>230</v>
      </c>
      <c r="C362" s="149" t="s">
        <v>85</v>
      </c>
      <c r="D362" s="159" t="s">
        <v>220</v>
      </c>
      <c r="E362" s="180"/>
      <c r="F362" s="458">
        <v>100</v>
      </c>
      <c r="G362" s="164"/>
      <c r="H362" s="169">
        <f t="shared" si="19"/>
        <v>0</v>
      </c>
      <c r="I362" s="173"/>
      <c r="J362" s="171"/>
      <c r="K362" s="149"/>
      <c r="L362" s="149"/>
      <c r="M362" s="159"/>
      <c r="N362" s="596">
        <f t="shared" si="18"/>
        <v>400</v>
      </c>
      <c r="O362" s="176"/>
      <c r="P362" s="179">
        <f>IF(A362&lt;&gt;"", Снабжения!H362 / VLOOKUP(A362, 'Курс валют'!$A:$D, 4, 0), "")</f>
        <v>0</v>
      </c>
    </row>
    <row r="363" spans="1:16" ht="20.100000000000001" customHeight="1" x14ac:dyDescent="0.45">
      <c r="A363" s="156">
        <v>46104</v>
      </c>
      <c r="B363" s="152" t="s">
        <v>210</v>
      </c>
      <c r="C363" s="149" t="s">
        <v>69</v>
      </c>
      <c r="D363" s="159" t="s">
        <v>220</v>
      </c>
      <c r="E363" s="180"/>
      <c r="F363" s="458">
        <v>50</v>
      </c>
      <c r="G363" s="164"/>
      <c r="H363" s="169">
        <f t="shared" si="19"/>
        <v>0</v>
      </c>
      <c r="I363" s="173"/>
      <c r="J363" s="171"/>
      <c r="K363" s="149"/>
      <c r="L363" s="149"/>
      <c r="M363" s="159"/>
      <c r="N363" s="596">
        <f t="shared" si="18"/>
        <v>405</v>
      </c>
      <c r="O363" s="176"/>
      <c r="P363" s="179">
        <f>IF(A363&lt;&gt;"", Снабжения!H363 / VLOOKUP(A363, 'Курс валют'!$A:$D, 4, 0), "")</f>
        <v>0</v>
      </c>
    </row>
    <row r="364" spans="1:16" ht="20.100000000000001" customHeight="1" x14ac:dyDescent="0.45">
      <c r="A364" s="156">
        <v>46104</v>
      </c>
      <c r="B364" s="152" t="s">
        <v>188</v>
      </c>
      <c r="C364" s="149" t="s">
        <v>59</v>
      </c>
      <c r="D364" s="159" t="s">
        <v>187</v>
      </c>
      <c r="E364" s="180"/>
      <c r="F364" s="458">
        <v>3</v>
      </c>
      <c r="G364" s="164"/>
      <c r="H364" s="169">
        <f t="shared" si="19"/>
        <v>0</v>
      </c>
      <c r="I364" s="173"/>
      <c r="J364" s="171"/>
      <c r="K364" s="149"/>
      <c r="L364" s="149"/>
      <c r="M364" s="159"/>
      <c r="N364" s="596">
        <f t="shared" si="18"/>
        <v>20</v>
      </c>
      <c r="O364" s="176"/>
      <c r="P364" s="179">
        <f>IF(A364&lt;&gt;"", Снабжения!H364 / VLOOKUP(A364, 'Курс валют'!$A:$D, 4, 0), "")</f>
        <v>0</v>
      </c>
    </row>
    <row r="365" spans="1:16" ht="20.100000000000001" customHeight="1" x14ac:dyDescent="0.45">
      <c r="A365" s="156">
        <v>46104</v>
      </c>
      <c r="B365" s="152" t="s">
        <v>254</v>
      </c>
      <c r="C365" s="149" t="s">
        <v>69</v>
      </c>
      <c r="D365" s="159" t="s">
        <v>220</v>
      </c>
      <c r="E365" s="180"/>
      <c r="F365" s="458">
        <v>9</v>
      </c>
      <c r="G365" s="164"/>
      <c r="H365" s="169">
        <f t="shared" si="19"/>
        <v>0</v>
      </c>
      <c r="I365" s="173"/>
      <c r="J365" s="171"/>
      <c r="K365" s="149"/>
      <c r="L365" s="149"/>
      <c r="M365" s="159"/>
      <c r="N365" s="596">
        <f t="shared" si="18"/>
        <v>33</v>
      </c>
      <c r="O365" s="176"/>
      <c r="P365" s="179">
        <f>IF(A365&lt;&gt;"", Снабжения!H365 / VLOOKUP(A365, 'Курс валют'!$A:$D, 4, 0), "")</f>
        <v>0</v>
      </c>
    </row>
    <row r="366" spans="1:16" ht="20.100000000000001" customHeight="1" x14ac:dyDescent="0.45">
      <c r="A366" s="156">
        <v>46104</v>
      </c>
      <c r="B366" s="152" t="s">
        <v>186</v>
      </c>
      <c r="C366" s="149" t="s">
        <v>59</v>
      </c>
      <c r="D366" s="159" t="s">
        <v>187</v>
      </c>
      <c r="E366" s="180"/>
      <c r="F366" s="458">
        <v>3</v>
      </c>
      <c r="G366" s="164"/>
      <c r="H366" s="169">
        <f t="shared" si="19"/>
        <v>0</v>
      </c>
      <c r="I366" s="173"/>
      <c r="J366" s="171"/>
      <c r="K366" s="149"/>
      <c r="L366" s="149"/>
      <c r="M366" s="159"/>
      <c r="N366" s="596">
        <f t="shared" si="18"/>
        <v>40</v>
      </c>
      <c r="O366" s="176"/>
      <c r="P366" s="179">
        <f>IF(A366&lt;&gt;"", Снабжения!H366 / VLOOKUP(A366, 'Курс валют'!$A:$D, 4, 0), "")</f>
        <v>0</v>
      </c>
    </row>
    <row r="367" spans="1:16" ht="20.100000000000001" customHeight="1" x14ac:dyDescent="0.45">
      <c r="A367" s="156">
        <v>46104</v>
      </c>
      <c r="B367" s="152" t="s">
        <v>221</v>
      </c>
      <c r="C367" s="149" t="s">
        <v>69</v>
      </c>
      <c r="D367" s="159" t="s">
        <v>220</v>
      </c>
      <c r="E367" s="180"/>
      <c r="F367" s="458">
        <v>2</v>
      </c>
      <c r="G367" s="164"/>
      <c r="H367" s="169">
        <f t="shared" si="19"/>
        <v>0</v>
      </c>
      <c r="I367" s="173"/>
      <c r="J367" s="171"/>
      <c r="K367" s="149"/>
      <c r="L367" s="149"/>
      <c r="M367" s="159"/>
      <c r="N367" s="596">
        <f t="shared" si="18"/>
        <v>87</v>
      </c>
      <c r="O367" s="176"/>
      <c r="P367" s="179">
        <f>IF(A367&lt;&gt;"", Снабжения!H367 / VLOOKUP(A367, 'Курс валют'!$A:$D, 4, 0), "")</f>
        <v>0</v>
      </c>
    </row>
    <row r="368" spans="1:16" ht="20.100000000000001" customHeight="1" x14ac:dyDescent="0.45">
      <c r="A368" s="156">
        <v>46104</v>
      </c>
      <c r="B368" s="152" t="s">
        <v>271</v>
      </c>
      <c r="C368" s="149" t="s">
        <v>69</v>
      </c>
      <c r="D368" s="159" t="s">
        <v>220</v>
      </c>
      <c r="E368" s="180"/>
      <c r="F368" s="458">
        <v>2</v>
      </c>
      <c r="G368" s="164"/>
      <c r="H368" s="169">
        <f t="shared" si="19"/>
        <v>0</v>
      </c>
      <c r="I368" s="173"/>
      <c r="J368" s="171"/>
      <c r="K368" s="149"/>
      <c r="L368" s="149"/>
      <c r="M368" s="159"/>
      <c r="N368" s="596">
        <f t="shared" si="18"/>
        <v>42</v>
      </c>
      <c r="O368" s="176"/>
      <c r="P368" s="179">
        <f>IF(A368&lt;&gt;"", Снабжения!H368 / VLOOKUP(A368, 'Курс валют'!$A:$D, 4, 0), "")</f>
        <v>0</v>
      </c>
    </row>
    <row r="369" spans="1:16" ht="20.100000000000001" customHeight="1" x14ac:dyDescent="0.45">
      <c r="A369" s="156">
        <v>46104</v>
      </c>
      <c r="B369" s="152" t="s">
        <v>283</v>
      </c>
      <c r="C369" s="149" t="s">
        <v>69</v>
      </c>
      <c r="D369" s="159" t="s">
        <v>220</v>
      </c>
      <c r="E369" s="180"/>
      <c r="F369" s="458">
        <v>2</v>
      </c>
      <c r="G369" s="164"/>
      <c r="H369" s="169">
        <f t="shared" si="19"/>
        <v>0</v>
      </c>
      <c r="I369" s="173"/>
      <c r="J369" s="171"/>
      <c r="K369" s="149"/>
      <c r="L369" s="149"/>
      <c r="M369" s="159"/>
      <c r="N369" s="596">
        <f t="shared" si="18"/>
        <v>18</v>
      </c>
      <c r="O369" s="176"/>
      <c r="P369" s="179">
        <f>IF(A369&lt;&gt;"", Снабжения!H369 / VLOOKUP(A369, 'Курс валют'!$A:$D, 4, 0), "")</f>
        <v>0</v>
      </c>
    </row>
    <row r="370" spans="1:16" ht="20.100000000000001" customHeight="1" x14ac:dyDescent="0.45">
      <c r="A370" s="156">
        <v>46105</v>
      </c>
      <c r="B370" s="151" t="s">
        <v>189</v>
      </c>
      <c r="C370" s="149" t="s">
        <v>69</v>
      </c>
      <c r="D370" s="159" t="s">
        <v>220</v>
      </c>
      <c r="E370" s="180"/>
      <c r="F370" s="458">
        <v>32</v>
      </c>
      <c r="G370" s="164"/>
      <c r="H370" s="169">
        <f t="shared" si="19"/>
        <v>0</v>
      </c>
      <c r="I370" s="173"/>
      <c r="J370" s="171"/>
      <c r="K370" s="149"/>
      <c r="L370" s="149"/>
      <c r="M370" s="159"/>
      <c r="N370" s="596">
        <f t="shared" si="18"/>
        <v>309</v>
      </c>
      <c r="O370" s="176"/>
      <c r="P370" s="179">
        <f>IF(A370&lt;&gt;"", Снабжения!H370 / VLOOKUP(A370, 'Курс валют'!$A:$D, 4, 0), "")</f>
        <v>0</v>
      </c>
    </row>
    <row r="371" spans="1:16" ht="20.100000000000001" customHeight="1" x14ac:dyDescent="0.45">
      <c r="A371" s="156">
        <v>46105</v>
      </c>
      <c r="B371" s="152" t="s">
        <v>228</v>
      </c>
      <c r="C371" s="149" t="s">
        <v>59</v>
      </c>
      <c r="D371" s="159" t="s">
        <v>187</v>
      </c>
      <c r="E371" s="180"/>
      <c r="F371" s="458">
        <v>2.5</v>
      </c>
      <c r="G371" s="164"/>
      <c r="H371" s="169">
        <f t="shared" si="19"/>
        <v>0</v>
      </c>
      <c r="I371" s="173"/>
      <c r="J371" s="171"/>
      <c r="K371" s="149"/>
      <c r="L371" s="149"/>
      <c r="M371" s="159"/>
      <c r="N371" s="596">
        <f t="shared" si="18"/>
        <v>125</v>
      </c>
      <c r="O371" s="176"/>
      <c r="P371" s="179">
        <f>IF(A371&lt;&gt;"", Снабжения!H371 / VLOOKUP(A371, 'Курс валют'!$A:$D, 4, 0), "")</f>
        <v>0</v>
      </c>
    </row>
    <row r="372" spans="1:16" ht="20.100000000000001" customHeight="1" x14ac:dyDescent="0.45">
      <c r="A372" s="156">
        <v>46105</v>
      </c>
      <c r="B372" s="152" t="s">
        <v>226</v>
      </c>
      <c r="C372" s="149" t="s">
        <v>69</v>
      </c>
      <c r="D372" s="159" t="s">
        <v>220</v>
      </c>
      <c r="E372" s="180"/>
      <c r="F372" s="458">
        <v>2</v>
      </c>
      <c r="G372" s="164"/>
      <c r="H372" s="169">
        <f t="shared" si="19"/>
        <v>0</v>
      </c>
      <c r="I372" s="173"/>
      <c r="J372" s="171"/>
      <c r="K372" s="149"/>
      <c r="L372" s="149"/>
      <c r="M372" s="159"/>
      <c r="N372" s="596">
        <f t="shared" si="18"/>
        <v>43</v>
      </c>
      <c r="O372" s="176"/>
      <c r="P372" s="179">
        <f>IF(A372&lt;&gt;"", Снабжения!H372 / VLOOKUP(A372, 'Курс валют'!$A:$D, 4, 0), "")</f>
        <v>0</v>
      </c>
    </row>
    <row r="373" spans="1:16" ht="20.100000000000001" customHeight="1" x14ac:dyDescent="0.45">
      <c r="A373" s="156">
        <v>46105</v>
      </c>
      <c r="B373" s="152" t="s">
        <v>254</v>
      </c>
      <c r="C373" s="149" t="s">
        <v>69</v>
      </c>
      <c r="D373" s="159" t="s">
        <v>220</v>
      </c>
      <c r="E373" s="180"/>
      <c r="F373" s="458">
        <v>15</v>
      </c>
      <c r="G373" s="164"/>
      <c r="H373" s="169">
        <f t="shared" si="19"/>
        <v>0</v>
      </c>
      <c r="I373" s="173"/>
      <c r="J373" s="171"/>
      <c r="K373" s="149"/>
      <c r="L373" s="149"/>
      <c r="M373" s="159"/>
      <c r="N373" s="596">
        <f t="shared" si="18"/>
        <v>33</v>
      </c>
      <c r="O373" s="176"/>
      <c r="P373" s="179">
        <f>IF(A373&lt;&gt;"", Снабжения!H373 / VLOOKUP(A373, 'Курс валют'!$A:$D, 4, 0), "")</f>
        <v>0</v>
      </c>
    </row>
    <row r="374" spans="1:16" ht="20.100000000000001" customHeight="1" x14ac:dyDescent="0.45">
      <c r="A374" s="156">
        <v>46105</v>
      </c>
      <c r="B374" s="152" t="s">
        <v>186</v>
      </c>
      <c r="C374" s="149" t="s">
        <v>59</v>
      </c>
      <c r="D374" s="159" t="s">
        <v>187</v>
      </c>
      <c r="E374" s="180"/>
      <c r="F374" s="458">
        <v>3.5</v>
      </c>
      <c r="G374" s="164"/>
      <c r="H374" s="169">
        <f t="shared" si="19"/>
        <v>0</v>
      </c>
      <c r="I374" s="173"/>
      <c r="J374" s="171"/>
      <c r="K374" s="149"/>
      <c r="L374" s="149"/>
      <c r="M374" s="159"/>
      <c r="N374" s="596">
        <f t="shared" si="18"/>
        <v>40</v>
      </c>
      <c r="O374" s="176"/>
      <c r="P374" s="179">
        <f>IF(A374&lt;&gt;"", Снабжения!H374 / VLOOKUP(A374, 'Курс валют'!$A:$D, 4, 0), "")</f>
        <v>0</v>
      </c>
    </row>
    <row r="375" spans="1:16" ht="20.100000000000001" customHeight="1" x14ac:dyDescent="0.45">
      <c r="A375" s="156">
        <v>46105</v>
      </c>
      <c r="B375" s="152" t="s">
        <v>209</v>
      </c>
      <c r="C375" s="149" t="s">
        <v>69</v>
      </c>
      <c r="D375" s="159" t="s">
        <v>220</v>
      </c>
      <c r="E375" s="180"/>
      <c r="F375" s="458">
        <v>1</v>
      </c>
      <c r="G375" s="164"/>
      <c r="H375" s="169">
        <f t="shared" si="19"/>
        <v>0</v>
      </c>
      <c r="I375" s="173"/>
      <c r="J375" s="171"/>
      <c r="K375" s="149"/>
      <c r="L375" s="149"/>
      <c r="M375" s="159"/>
      <c r="N375" s="596">
        <f t="shared" si="18"/>
        <v>128</v>
      </c>
      <c r="O375" s="176"/>
      <c r="P375" s="179">
        <f>IF(A375&lt;&gt;"", Снабжения!H375 / VLOOKUP(A375, 'Курс валют'!$A:$D, 4, 0), "")</f>
        <v>0</v>
      </c>
    </row>
    <row r="376" spans="1:16" ht="20.100000000000001" customHeight="1" x14ac:dyDescent="0.45">
      <c r="A376" s="156">
        <v>46105</v>
      </c>
      <c r="B376" s="152" t="s">
        <v>276</v>
      </c>
      <c r="C376" s="149" t="s">
        <v>85</v>
      </c>
      <c r="D376" s="159" t="s">
        <v>220</v>
      </c>
      <c r="E376" s="180"/>
      <c r="F376" s="458">
        <v>50</v>
      </c>
      <c r="G376" s="164"/>
      <c r="H376" s="169">
        <f t="shared" si="19"/>
        <v>0</v>
      </c>
      <c r="I376" s="173"/>
      <c r="J376" s="171"/>
      <c r="K376" s="149"/>
      <c r="L376" s="149"/>
      <c r="M376" s="159"/>
      <c r="N376" s="596">
        <f t="shared" si="18"/>
        <v>20</v>
      </c>
      <c r="O376" s="176"/>
      <c r="P376" s="179">
        <f>IF(A376&lt;&gt;"", Снабжения!H376 / VLOOKUP(A376, 'Курс валют'!$A:$D, 4, 0), "")</f>
        <v>0</v>
      </c>
    </row>
    <row r="377" spans="1:16" ht="20.100000000000001" customHeight="1" x14ac:dyDescent="0.45">
      <c r="A377" s="156">
        <v>46105</v>
      </c>
      <c r="B377" s="152" t="s">
        <v>259</v>
      </c>
      <c r="C377" s="149" t="s">
        <v>97</v>
      </c>
      <c r="D377" s="159" t="s">
        <v>220</v>
      </c>
      <c r="E377" s="180"/>
      <c r="F377" s="458">
        <v>40</v>
      </c>
      <c r="G377" s="164"/>
      <c r="H377" s="169">
        <f t="shared" si="19"/>
        <v>0</v>
      </c>
      <c r="I377" s="173"/>
      <c r="J377" s="171"/>
      <c r="K377" s="149"/>
      <c r="L377" s="149"/>
      <c r="M377" s="159"/>
      <c r="N377" s="596">
        <f t="shared" si="18"/>
        <v>40</v>
      </c>
      <c r="O377" s="176"/>
      <c r="P377" s="179">
        <f>IF(A377&lt;&gt;"", Снабжения!H377 / VLOOKUP(A377, 'Курс валют'!$A:$D, 4, 0), "")</f>
        <v>0</v>
      </c>
    </row>
    <row r="378" spans="1:16" ht="20.100000000000001" customHeight="1" x14ac:dyDescent="0.45">
      <c r="A378" s="156">
        <v>46106</v>
      </c>
      <c r="B378" s="152" t="s">
        <v>286</v>
      </c>
      <c r="C378" s="149" t="s">
        <v>59</v>
      </c>
      <c r="D378" s="159" t="s">
        <v>187</v>
      </c>
      <c r="E378" s="180"/>
      <c r="F378" s="458">
        <v>75</v>
      </c>
      <c r="G378" s="164"/>
      <c r="H378" s="169">
        <f t="shared" si="19"/>
        <v>0</v>
      </c>
      <c r="I378" s="173"/>
      <c r="J378" s="171"/>
      <c r="K378" s="149"/>
      <c r="L378" s="149"/>
      <c r="M378" s="159"/>
      <c r="N378" s="596">
        <f t="shared" si="18"/>
        <v>125</v>
      </c>
      <c r="O378" s="176"/>
      <c r="P378" s="179">
        <f>IF(A378&lt;&gt;"", Снабжения!H378 / VLOOKUP(A378, 'Курс валют'!$A:$D, 4, 0), "")</f>
        <v>0</v>
      </c>
    </row>
    <row r="379" spans="1:16" ht="20.100000000000001" customHeight="1" x14ac:dyDescent="0.45">
      <c r="A379" s="156">
        <v>46106</v>
      </c>
      <c r="B379" s="151" t="s">
        <v>230</v>
      </c>
      <c r="C379" s="149" t="s">
        <v>85</v>
      </c>
      <c r="D379" s="159" t="s">
        <v>220</v>
      </c>
      <c r="E379" s="180"/>
      <c r="F379" s="458">
        <v>100</v>
      </c>
      <c r="G379" s="164"/>
      <c r="H379" s="169">
        <f t="shared" si="19"/>
        <v>0</v>
      </c>
      <c r="I379" s="173"/>
      <c r="J379" s="171"/>
      <c r="K379" s="149"/>
      <c r="L379" s="149"/>
      <c r="M379" s="159"/>
      <c r="N379" s="596">
        <f t="shared" si="18"/>
        <v>400</v>
      </c>
      <c r="O379" s="176"/>
      <c r="P379" s="179">
        <f>IF(A379&lt;&gt;"", Снабжения!H379 / VLOOKUP(A379, 'Курс валют'!$A:$D, 4, 0), "")</f>
        <v>0</v>
      </c>
    </row>
    <row r="380" spans="1:16" ht="20.100000000000001" customHeight="1" x14ac:dyDescent="0.45">
      <c r="A380" s="156">
        <v>46106</v>
      </c>
      <c r="B380" s="152" t="s">
        <v>209</v>
      </c>
      <c r="C380" s="149" t="s">
        <v>69</v>
      </c>
      <c r="D380" s="159" t="s">
        <v>220</v>
      </c>
      <c r="E380" s="180"/>
      <c r="F380" s="458">
        <v>3</v>
      </c>
      <c r="G380" s="164"/>
      <c r="H380" s="169">
        <f t="shared" si="19"/>
        <v>0</v>
      </c>
      <c r="I380" s="173"/>
      <c r="J380" s="171"/>
      <c r="K380" s="149"/>
      <c r="L380" s="149"/>
      <c r="M380" s="159"/>
      <c r="N380" s="596">
        <f t="shared" si="18"/>
        <v>128</v>
      </c>
      <c r="O380" s="176"/>
      <c r="P380" s="179">
        <f>IF(A380&lt;&gt;"", Снабжения!H380 / VLOOKUP(A380, 'Курс валют'!$A:$D, 4, 0), "")</f>
        <v>0</v>
      </c>
    </row>
    <row r="381" spans="1:16" ht="20.100000000000001" customHeight="1" x14ac:dyDescent="0.45">
      <c r="A381" s="156">
        <v>46106</v>
      </c>
      <c r="B381" s="152" t="s">
        <v>182</v>
      </c>
      <c r="C381" s="149" t="s">
        <v>69</v>
      </c>
      <c r="D381" s="159" t="s">
        <v>220</v>
      </c>
      <c r="E381" s="180"/>
      <c r="F381" s="458">
        <v>3</v>
      </c>
      <c r="G381" s="164"/>
      <c r="H381" s="169">
        <f t="shared" si="19"/>
        <v>0</v>
      </c>
      <c r="I381" s="173"/>
      <c r="J381" s="171"/>
      <c r="K381" s="149"/>
      <c r="L381" s="149"/>
      <c r="M381" s="159"/>
      <c r="N381" s="596">
        <f t="shared" ref="N381:N396" si="20">SUMIF(B:B,B381,E:E)-SUMIF(B:B,B381,F:F)</f>
        <v>22</v>
      </c>
      <c r="O381" s="176"/>
      <c r="P381" s="179">
        <f>IF(A381&lt;&gt;"", Снабжения!H381 / VLOOKUP(A381, 'Курс валют'!$A:$D, 4, 0), "")</f>
        <v>0</v>
      </c>
    </row>
    <row r="382" spans="1:16" ht="20.100000000000001" customHeight="1" x14ac:dyDescent="0.45">
      <c r="A382" s="156">
        <v>46106</v>
      </c>
      <c r="B382" s="152" t="s">
        <v>219</v>
      </c>
      <c r="C382" s="149" t="s">
        <v>59</v>
      </c>
      <c r="D382" s="159" t="s">
        <v>220</v>
      </c>
      <c r="E382" s="180"/>
      <c r="F382" s="458">
        <v>2.5</v>
      </c>
      <c r="G382" s="164"/>
      <c r="H382" s="169">
        <f t="shared" si="19"/>
        <v>0</v>
      </c>
      <c r="I382" s="173"/>
      <c r="J382" s="171"/>
      <c r="K382" s="149"/>
      <c r="L382" s="149"/>
      <c r="M382" s="159"/>
      <c r="N382" s="596">
        <f t="shared" si="20"/>
        <v>41.5</v>
      </c>
      <c r="O382" s="176"/>
      <c r="P382" s="179">
        <f>IF(A382&lt;&gt;"", Снабжения!H382 / VLOOKUP(A382, 'Курс валют'!$A:$D, 4, 0), "")</f>
        <v>0</v>
      </c>
    </row>
    <row r="383" spans="1:16" ht="20.100000000000001" customHeight="1" x14ac:dyDescent="0.45">
      <c r="A383" s="156">
        <v>46106</v>
      </c>
      <c r="B383" s="152" t="s">
        <v>186</v>
      </c>
      <c r="C383" s="149" t="s">
        <v>59</v>
      </c>
      <c r="D383" s="159" t="s">
        <v>187</v>
      </c>
      <c r="E383" s="180"/>
      <c r="F383" s="458">
        <v>3</v>
      </c>
      <c r="G383" s="164"/>
      <c r="H383" s="169">
        <f t="shared" si="19"/>
        <v>0</v>
      </c>
      <c r="I383" s="173"/>
      <c r="J383" s="171"/>
      <c r="K383" s="149"/>
      <c r="L383" s="149"/>
      <c r="M383" s="159"/>
      <c r="N383" s="596">
        <f t="shared" si="20"/>
        <v>40</v>
      </c>
      <c r="O383" s="176"/>
      <c r="P383" s="179">
        <f>IF(A383&lt;&gt;"", Снабжения!H383 / VLOOKUP(A383, 'Курс валют'!$A:$D, 4, 0), "")</f>
        <v>0</v>
      </c>
    </row>
    <row r="384" spans="1:16" ht="20.100000000000001" customHeight="1" x14ac:dyDescent="0.45">
      <c r="A384" s="156">
        <v>46106</v>
      </c>
      <c r="B384" s="152" t="s">
        <v>188</v>
      </c>
      <c r="C384" s="149" t="s">
        <v>59</v>
      </c>
      <c r="D384" s="159" t="s">
        <v>187</v>
      </c>
      <c r="E384" s="180"/>
      <c r="F384" s="458">
        <v>4</v>
      </c>
      <c r="G384" s="164"/>
      <c r="H384" s="169">
        <f t="shared" si="19"/>
        <v>0</v>
      </c>
      <c r="I384" s="173"/>
      <c r="J384" s="171"/>
      <c r="K384" s="149"/>
      <c r="L384" s="149"/>
      <c r="M384" s="159"/>
      <c r="N384" s="596">
        <f t="shared" si="20"/>
        <v>20</v>
      </c>
      <c r="O384" s="176"/>
      <c r="P384" s="179">
        <f>IF(A384&lt;&gt;"", Снабжения!H384 / VLOOKUP(A384, 'Курс валют'!$A:$D, 4, 0), "")</f>
        <v>0</v>
      </c>
    </row>
    <row r="385" spans="1:16" ht="20.100000000000001" customHeight="1" x14ac:dyDescent="0.45">
      <c r="A385" s="156">
        <v>46106</v>
      </c>
      <c r="B385" s="152" t="s">
        <v>189</v>
      </c>
      <c r="C385" s="149" t="s">
        <v>69</v>
      </c>
      <c r="D385" s="159" t="s">
        <v>220</v>
      </c>
      <c r="E385" s="180"/>
      <c r="F385" s="458">
        <v>3</v>
      </c>
      <c r="G385" s="164"/>
      <c r="H385" s="169">
        <f t="shared" si="19"/>
        <v>0</v>
      </c>
      <c r="I385" s="173"/>
      <c r="J385" s="171"/>
      <c r="K385" s="149"/>
      <c r="L385" s="149"/>
      <c r="M385" s="159"/>
      <c r="N385" s="596">
        <f t="shared" si="20"/>
        <v>309</v>
      </c>
      <c r="O385" s="176"/>
      <c r="P385" s="179">
        <f>IF(A385&lt;&gt;"", Снабжения!H385 / VLOOKUP(A385, 'Курс валют'!$A:$D, 4, 0), "")</f>
        <v>0</v>
      </c>
    </row>
    <row r="386" spans="1:16" ht="20.100000000000001" customHeight="1" x14ac:dyDescent="0.45">
      <c r="A386" s="156">
        <v>46107</v>
      </c>
      <c r="B386" s="152" t="s">
        <v>189</v>
      </c>
      <c r="C386" s="149" t="s">
        <v>69</v>
      </c>
      <c r="D386" s="159" t="s">
        <v>220</v>
      </c>
      <c r="E386" s="180"/>
      <c r="F386" s="458">
        <v>5</v>
      </c>
      <c r="G386" s="164"/>
      <c r="H386" s="169">
        <f t="shared" si="19"/>
        <v>0</v>
      </c>
      <c r="I386" s="173"/>
      <c r="J386" s="171"/>
      <c r="K386" s="149"/>
      <c r="L386" s="149"/>
      <c r="M386" s="159"/>
      <c r="N386" s="596">
        <f t="shared" si="20"/>
        <v>309</v>
      </c>
      <c r="O386" s="176"/>
      <c r="P386" s="179">
        <f>IF(A386&lt;&gt;"", Снабжения!H386 / VLOOKUP(A386, 'Курс валют'!$A:$D, 4, 0), "")</f>
        <v>0</v>
      </c>
    </row>
    <row r="387" spans="1:16" ht="20.100000000000001" customHeight="1" x14ac:dyDescent="0.45">
      <c r="A387" s="156">
        <v>46107</v>
      </c>
      <c r="B387" s="152" t="s">
        <v>209</v>
      </c>
      <c r="C387" s="149" t="s">
        <v>69</v>
      </c>
      <c r="D387" s="159" t="s">
        <v>220</v>
      </c>
      <c r="E387" s="180"/>
      <c r="F387" s="458">
        <v>2</v>
      </c>
      <c r="G387" s="164"/>
      <c r="H387" s="169">
        <f t="shared" si="19"/>
        <v>0</v>
      </c>
      <c r="I387" s="173"/>
      <c r="J387" s="171"/>
      <c r="K387" s="149"/>
      <c r="L387" s="149"/>
      <c r="M387" s="159"/>
      <c r="N387" s="596">
        <f t="shared" si="20"/>
        <v>128</v>
      </c>
      <c r="O387" s="176"/>
      <c r="P387" s="179">
        <f>IF(A387&lt;&gt;"", Снабжения!H387 / VLOOKUP(A387, 'Курс валют'!$A:$D, 4, 0), "")</f>
        <v>0</v>
      </c>
    </row>
    <row r="388" spans="1:16" ht="20.100000000000001" customHeight="1" x14ac:dyDescent="0.45">
      <c r="A388" s="156">
        <v>46108</v>
      </c>
      <c r="B388" s="152" t="s">
        <v>228</v>
      </c>
      <c r="C388" s="149" t="s">
        <v>59</v>
      </c>
      <c r="D388" s="159" t="s">
        <v>187</v>
      </c>
      <c r="E388" s="180"/>
      <c r="F388" s="458">
        <v>75</v>
      </c>
      <c r="G388" s="164"/>
      <c r="H388" s="169">
        <f t="shared" si="19"/>
        <v>0</v>
      </c>
      <c r="I388" s="173"/>
      <c r="J388" s="171"/>
      <c r="K388" s="149"/>
      <c r="L388" s="149"/>
      <c r="M388" s="159"/>
      <c r="N388" s="596">
        <f t="shared" si="20"/>
        <v>125</v>
      </c>
      <c r="O388" s="176"/>
      <c r="P388" s="179">
        <f>IF(A388&lt;&gt;"", Снабжения!H388 / VLOOKUP(A388, 'Курс валют'!$A:$D, 4, 0), "")</f>
        <v>0</v>
      </c>
    </row>
    <row r="389" spans="1:16" ht="20.100000000000001" customHeight="1" x14ac:dyDescent="0.45">
      <c r="A389" s="156">
        <v>46108</v>
      </c>
      <c r="B389" s="152" t="s">
        <v>189</v>
      </c>
      <c r="C389" s="149" t="s">
        <v>69</v>
      </c>
      <c r="D389" s="159" t="s">
        <v>220</v>
      </c>
      <c r="E389" s="180"/>
      <c r="F389" s="458">
        <v>36</v>
      </c>
      <c r="G389" s="164"/>
      <c r="H389" s="169">
        <f t="shared" si="19"/>
        <v>0</v>
      </c>
      <c r="I389" s="173"/>
      <c r="J389" s="171"/>
      <c r="K389" s="149"/>
      <c r="L389" s="149"/>
      <c r="M389" s="159"/>
      <c r="N389" s="596">
        <f t="shared" si="20"/>
        <v>309</v>
      </c>
      <c r="O389" s="176"/>
      <c r="P389" s="179">
        <f>IF(A389&lt;&gt;"", Снабжения!H389 / VLOOKUP(A389, 'Курс валют'!$A:$D, 4, 0), "")</f>
        <v>0</v>
      </c>
    </row>
    <row r="390" spans="1:16" ht="20.100000000000001" customHeight="1" x14ac:dyDescent="0.45">
      <c r="A390" s="156">
        <v>46108</v>
      </c>
      <c r="B390" s="152" t="s">
        <v>186</v>
      </c>
      <c r="C390" s="149" t="s">
        <v>59</v>
      </c>
      <c r="D390" s="159" t="s">
        <v>187</v>
      </c>
      <c r="E390" s="180"/>
      <c r="F390" s="458">
        <v>2.5</v>
      </c>
      <c r="G390" s="164"/>
      <c r="H390" s="169">
        <f t="shared" si="19"/>
        <v>0</v>
      </c>
      <c r="I390" s="173"/>
      <c r="J390" s="171"/>
      <c r="K390" s="149"/>
      <c r="L390" s="149"/>
      <c r="M390" s="159"/>
      <c r="N390" s="596">
        <f t="shared" si="20"/>
        <v>40</v>
      </c>
      <c r="O390" s="176"/>
      <c r="P390" s="179">
        <f>IF(A390&lt;&gt;"", Снабжения!H390 / VLOOKUP(A390, 'Курс валют'!$A:$D, 4, 0), "")</f>
        <v>0</v>
      </c>
    </row>
    <row r="391" spans="1:16" ht="20.100000000000001" customHeight="1" x14ac:dyDescent="0.45">
      <c r="A391" s="156">
        <v>46108</v>
      </c>
      <c r="B391" s="152" t="s">
        <v>240</v>
      </c>
      <c r="C391" s="149" t="s">
        <v>69</v>
      </c>
      <c r="D391" s="159" t="s">
        <v>220</v>
      </c>
      <c r="E391" s="180"/>
      <c r="F391" s="458">
        <v>2</v>
      </c>
      <c r="G391" s="164"/>
      <c r="H391" s="169">
        <f t="shared" si="19"/>
        <v>0</v>
      </c>
      <c r="I391" s="173"/>
      <c r="J391" s="171"/>
      <c r="K391" s="149"/>
      <c r="L391" s="149"/>
      <c r="M391" s="159"/>
      <c r="N391" s="596">
        <f t="shared" si="20"/>
        <v>9</v>
      </c>
      <c r="O391" s="176"/>
      <c r="P391" s="179">
        <f>IF(A391&lt;&gt;"", Снабжения!H391 / VLOOKUP(A391, 'Курс валют'!$A:$D, 4, 0), "")</f>
        <v>0</v>
      </c>
    </row>
    <row r="392" spans="1:16" ht="20.100000000000001" customHeight="1" x14ac:dyDescent="0.45">
      <c r="A392" s="156">
        <v>46108</v>
      </c>
      <c r="B392" s="152" t="s">
        <v>263</v>
      </c>
      <c r="C392" s="149" t="s">
        <v>69</v>
      </c>
      <c r="D392" s="159" t="s">
        <v>220</v>
      </c>
      <c r="E392" s="180"/>
      <c r="F392" s="458">
        <v>4</v>
      </c>
      <c r="G392" s="164"/>
      <c r="H392" s="169">
        <f t="shared" si="19"/>
        <v>0</v>
      </c>
      <c r="I392" s="173"/>
      <c r="J392" s="171"/>
      <c r="K392" s="149"/>
      <c r="L392" s="149"/>
      <c r="M392" s="159"/>
      <c r="N392" s="596">
        <f t="shared" si="20"/>
        <v>18</v>
      </c>
      <c r="O392" s="176"/>
      <c r="P392" s="179">
        <f>IF(A392&lt;&gt;"", Снабжения!H392 / VLOOKUP(A392, 'Курс валют'!$A:$D, 4, 0), "")</f>
        <v>0</v>
      </c>
    </row>
    <row r="393" spans="1:16" ht="20.100000000000001" customHeight="1" x14ac:dyDescent="0.45">
      <c r="A393" s="156">
        <v>46108</v>
      </c>
      <c r="B393" s="151" t="s">
        <v>230</v>
      </c>
      <c r="C393" s="149" t="s">
        <v>85</v>
      </c>
      <c r="D393" s="159" t="s">
        <v>220</v>
      </c>
      <c r="E393" s="180"/>
      <c r="F393" s="458">
        <v>100</v>
      </c>
      <c r="G393" s="164"/>
      <c r="H393" s="169">
        <f t="shared" si="19"/>
        <v>0</v>
      </c>
      <c r="I393" s="173"/>
      <c r="J393" s="171"/>
      <c r="K393" s="149"/>
      <c r="L393" s="149"/>
      <c r="M393" s="159"/>
      <c r="N393" s="596">
        <f t="shared" si="20"/>
        <v>400</v>
      </c>
      <c r="O393" s="176"/>
      <c r="P393" s="179">
        <f>IF(A393&lt;&gt;"", Снабжения!H393 / VLOOKUP(A393, 'Курс валют'!$A:$D, 4, 0), "")</f>
        <v>0</v>
      </c>
    </row>
    <row r="394" spans="1:16" ht="20.100000000000001" customHeight="1" x14ac:dyDescent="0.45">
      <c r="A394" s="156">
        <v>46108</v>
      </c>
      <c r="B394" s="152" t="s">
        <v>208</v>
      </c>
      <c r="C394" s="149" t="s">
        <v>69</v>
      </c>
      <c r="D394" s="159" t="s">
        <v>220</v>
      </c>
      <c r="E394" s="180"/>
      <c r="F394" s="458">
        <v>2</v>
      </c>
      <c r="G394" s="164"/>
      <c r="H394" s="169">
        <f t="shared" si="19"/>
        <v>0</v>
      </c>
      <c r="I394" s="173"/>
      <c r="J394" s="171"/>
      <c r="K394" s="149"/>
      <c r="L394" s="149"/>
      <c r="M394" s="159"/>
      <c r="N394" s="596">
        <f t="shared" si="20"/>
        <v>10</v>
      </c>
      <c r="O394" s="176"/>
      <c r="P394" s="179">
        <f>IF(A394&lt;&gt;"", Снабжения!H394 / VLOOKUP(A394, 'Курс валют'!$A:$D, 4, 0), "")</f>
        <v>0</v>
      </c>
    </row>
    <row r="395" spans="1:16" ht="20.100000000000001" customHeight="1" x14ac:dyDescent="0.45">
      <c r="A395" s="156">
        <v>46108</v>
      </c>
      <c r="B395" s="152" t="s">
        <v>271</v>
      </c>
      <c r="C395" s="149" t="s">
        <v>69</v>
      </c>
      <c r="D395" s="159" t="s">
        <v>220</v>
      </c>
      <c r="E395" s="180"/>
      <c r="F395" s="458">
        <v>10</v>
      </c>
      <c r="G395" s="164"/>
      <c r="H395" s="169">
        <f t="shared" si="19"/>
        <v>0</v>
      </c>
      <c r="I395" s="173"/>
      <c r="J395" s="171"/>
      <c r="K395" s="149"/>
      <c r="L395" s="149"/>
      <c r="M395" s="159"/>
      <c r="N395" s="596">
        <f t="shared" si="20"/>
        <v>42</v>
      </c>
      <c r="O395" s="176"/>
      <c r="P395" s="179">
        <f>IF(A395&lt;&gt;"", Снабжения!H395 / VLOOKUP(A395, 'Курс валют'!$A:$D, 4, 0), "")</f>
        <v>0</v>
      </c>
    </row>
    <row r="396" spans="1:16" ht="20.100000000000001" customHeight="1" x14ac:dyDescent="0.45">
      <c r="A396" s="156">
        <v>46109</v>
      </c>
      <c r="B396" s="152" t="s">
        <v>263</v>
      </c>
      <c r="C396" s="149" t="s">
        <v>69</v>
      </c>
      <c r="D396" s="159" t="s">
        <v>220</v>
      </c>
      <c r="E396" s="180"/>
      <c r="F396" s="458">
        <v>2</v>
      </c>
      <c r="G396" s="164"/>
      <c r="H396" s="169">
        <f t="shared" si="19"/>
        <v>0</v>
      </c>
      <c r="I396" s="173"/>
      <c r="J396" s="171"/>
      <c r="K396" s="149"/>
      <c r="L396" s="149"/>
      <c r="M396" s="159"/>
      <c r="N396" s="596">
        <f t="shared" si="20"/>
        <v>18</v>
      </c>
      <c r="O396" s="176"/>
      <c r="P396" s="179">
        <f>IF(A396&lt;&gt;"", Снабжения!H396 / VLOOKUP(A396, 'Курс валют'!$A:$D, 4, 0), "")</f>
        <v>0</v>
      </c>
    </row>
    <row r="397" spans="1:16" ht="20.100000000000001" customHeight="1" x14ac:dyDescent="0.45">
      <c r="A397" s="156">
        <v>46109</v>
      </c>
      <c r="B397" s="152" t="s">
        <v>259</v>
      </c>
      <c r="C397" s="149" t="s">
        <v>97</v>
      </c>
      <c r="D397" s="159" t="s">
        <v>220</v>
      </c>
      <c r="E397" s="180"/>
      <c r="F397" s="458">
        <v>40</v>
      </c>
      <c r="G397" s="164"/>
      <c r="H397" s="169">
        <f t="shared" si="19"/>
        <v>0</v>
      </c>
      <c r="I397" s="173"/>
      <c r="J397" s="171"/>
      <c r="K397" s="149"/>
      <c r="L397" s="149"/>
      <c r="M397" s="159"/>
      <c r="N397" s="596" t="s">
        <v>287</v>
      </c>
      <c r="O397" s="176"/>
      <c r="P397" s="179">
        <f>IF(A397&lt;&gt;"", Снабжения!H397 / VLOOKUP(A397, 'Курс валют'!$A:$D, 4, 0), "")</f>
        <v>0</v>
      </c>
    </row>
    <row r="398" spans="1:16" ht="20.100000000000001" customHeight="1" x14ac:dyDescent="0.45">
      <c r="A398" s="156">
        <v>46109</v>
      </c>
      <c r="B398" s="152" t="s">
        <v>253</v>
      </c>
      <c r="C398" s="149" t="s">
        <v>69</v>
      </c>
      <c r="D398" s="159" t="s">
        <v>220</v>
      </c>
      <c r="E398" s="180"/>
      <c r="F398" s="458">
        <v>1</v>
      </c>
      <c r="G398" s="164"/>
      <c r="H398" s="169">
        <f t="shared" si="19"/>
        <v>0</v>
      </c>
      <c r="I398" s="173"/>
      <c r="J398" s="171"/>
      <c r="K398" s="149"/>
      <c r="L398" s="149"/>
      <c r="M398" s="159"/>
      <c r="N398" s="596">
        <f t="shared" ref="N398:N461" si="21">SUMIF(B:B,B398,E:E)-SUMIF(B:B,B398,F:F)</f>
        <v>8</v>
      </c>
      <c r="O398" s="176"/>
      <c r="P398" s="179">
        <f>IF(A398&lt;&gt;"", Снабжения!H398 / VLOOKUP(A398, 'Курс валют'!$A:$D, 4, 0), "")</f>
        <v>0</v>
      </c>
    </row>
    <row r="399" spans="1:16" ht="20.100000000000001" customHeight="1" x14ac:dyDescent="0.45">
      <c r="A399" s="156">
        <v>46109</v>
      </c>
      <c r="B399" s="152" t="s">
        <v>208</v>
      </c>
      <c r="C399" s="149" t="s">
        <v>69</v>
      </c>
      <c r="D399" s="159" t="s">
        <v>220</v>
      </c>
      <c r="E399" s="180"/>
      <c r="F399" s="458">
        <v>1</v>
      </c>
      <c r="G399" s="164"/>
      <c r="H399" s="169">
        <f t="shared" si="19"/>
        <v>0</v>
      </c>
      <c r="I399" s="173"/>
      <c r="J399" s="171"/>
      <c r="K399" s="149"/>
      <c r="L399" s="149"/>
      <c r="M399" s="159"/>
      <c r="N399" s="596">
        <f t="shared" si="21"/>
        <v>10</v>
      </c>
      <c r="O399" s="176"/>
      <c r="P399" s="179">
        <f>IF(A399&lt;&gt;"", Снабжения!H399 / VLOOKUP(A399, 'Курс валют'!$A:$D, 4, 0), "")</f>
        <v>0</v>
      </c>
    </row>
    <row r="400" spans="1:16" ht="20.100000000000001" customHeight="1" x14ac:dyDescent="0.45">
      <c r="A400" s="156">
        <v>46109</v>
      </c>
      <c r="B400" s="152" t="s">
        <v>283</v>
      </c>
      <c r="C400" s="149" t="s">
        <v>127</v>
      </c>
      <c r="D400" s="159" t="s">
        <v>220</v>
      </c>
      <c r="E400" s="180"/>
      <c r="F400" s="458">
        <v>3</v>
      </c>
      <c r="G400" s="164"/>
      <c r="H400" s="169">
        <f t="shared" si="19"/>
        <v>0</v>
      </c>
      <c r="I400" s="173"/>
      <c r="J400" s="171"/>
      <c r="K400" s="149"/>
      <c r="L400" s="149"/>
      <c r="M400" s="159"/>
      <c r="N400" s="596">
        <f t="shared" si="21"/>
        <v>18</v>
      </c>
      <c r="O400" s="176"/>
      <c r="P400" s="179">
        <f>IF(A400&lt;&gt;"", Снабжения!H400 / VLOOKUP(A400, 'Курс валют'!$A:$D, 4, 0), "")</f>
        <v>0</v>
      </c>
    </row>
    <row r="401" spans="1:16" ht="20.100000000000001" customHeight="1" x14ac:dyDescent="0.45">
      <c r="A401" s="156">
        <v>46109</v>
      </c>
      <c r="B401" s="152" t="s">
        <v>228</v>
      </c>
      <c r="C401" s="149" t="s">
        <v>59</v>
      </c>
      <c r="D401" s="159" t="s">
        <v>187</v>
      </c>
      <c r="E401" s="180"/>
      <c r="F401" s="458">
        <v>75</v>
      </c>
      <c r="G401" s="164"/>
      <c r="H401" s="169">
        <f t="shared" si="19"/>
        <v>0</v>
      </c>
      <c r="I401" s="173"/>
      <c r="J401" s="171"/>
      <c r="K401" s="149"/>
      <c r="L401" s="149"/>
      <c r="M401" s="159"/>
      <c r="N401" s="596">
        <f t="shared" si="21"/>
        <v>125</v>
      </c>
      <c r="O401" s="176"/>
      <c r="P401" s="179">
        <f>IF(A401&lt;&gt;"", Снабжения!H401 / VLOOKUP(A401, 'Курс валют'!$A:$D, 4, 0), "")</f>
        <v>0</v>
      </c>
    </row>
    <row r="402" spans="1:16" ht="20.100000000000001" customHeight="1" x14ac:dyDescent="0.45">
      <c r="A402" s="156">
        <v>46109</v>
      </c>
      <c r="B402" s="152" t="s">
        <v>254</v>
      </c>
      <c r="C402" s="149" t="s">
        <v>69</v>
      </c>
      <c r="D402" s="159" t="s">
        <v>220</v>
      </c>
      <c r="E402" s="180">
        <v>48</v>
      </c>
      <c r="F402" s="458"/>
      <c r="G402" s="164">
        <v>45000</v>
      </c>
      <c r="H402" s="169">
        <f t="shared" si="19"/>
        <v>2160000</v>
      </c>
      <c r="I402" s="173"/>
      <c r="J402" s="171"/>
      <c r="K402" s="149"/>
      <c r="L402" s="149"/>
      <c r="M402" s="159"/>
      <c r="N402" s="596">
        <f t="shared" si="21"/>
        <v>33</v>
      </c>
      <c r="O402" s="176"/>
      <c r="P402" s="179">
        <f>IF(A402&lt;&gt;"", Снабжения!H402 / VLOOKUP(A402, 'Курс валют'!$A:$D, 4, 0), "")</f>
        <v>180</v>
      </c>
    </row>
    <row r="403" spans="1:16" ht="20.100000000000001" customHeight="1" x14ac:dyDescent="0.45">
      <c r="A403" s="156">
        <v>46109</v>
      </c>
      <c r="B403" s="152" t="s">
        <v>91</v>
      </c>
      <c r="C403" s="149" t="s">
        <v>65</v>
      </c>
      <c r="D403" s="159"/>
      <c r="E403" s="180"/>
      <c r="F403" s="458"/>
      <c r="G403" s="164"/>
      <c r="H403" s="169">
        <v>100000</v>
      </c>
      <c r="I403" s="173"/>
      <c r="J403" s="171"/>
      <c r="K403" s="149"/>
      <c r="L403" s="149"/>
      <c r="M403" s="159"/>
      <c r="N403" s="596">
        <f t="shared" si="21"/>
        <v>8</v>
      </c>
      <c r="O403" s="176"/>
      <c r="P403" s="179">
        <f>IF(A403&lt;&gt;"", Снабжения!H403 / VLOOKUP(A403, 'Курс валют'!$A:$D, 4, 0), "")</f>
        <v>8.3333333333333339</v>
      </c>
    </row>
    <row r="404" spans="1:16" ht="20.100000000000001" customHeight="1" x14ac:dyDescent="0.45">
      <c r="A404" s="156">
        <v>46110</v>
      </c>
      <c r="B404" s="152" t="s">
        <v>189</v>
      </c>
      <c r="C404" s="149" t="s">
        <v>69</v>
      </c>
      <c r="D404" s="159" t="s">
        <v>220</v>
      </c>
      <c r="E404" s="180"/>
      <c r="F404" s="458">
        <v>1</v>
      </c>
      <c r="G404" s="164"/>
      <c r="H404" s="169">
        <f t="shared" si="19"/>
        <v>0</v>
      </c>
      <c r="I404" s="173"/>
      <c r="J404" s="171"/>
      <c r="K404" s="149"/>
      <c r="L404" s="149"/>
      <c r="M404" s="159"/>
      <c r="N404" s="596">
        <f t="shared" si="21"/>
        <v>309</v>
      </c>
      <c r="O404" s="176"/>
      <c r="P404" s="179">
        <f>IF(A404&lt;&gt;"", Снабжения!H404 / VLOOKUP(A404, 'Курс валют'!$A:$D, 4, 0), "")</f>
        <v>0</v>
      </c>
    </row>
    <row r="405" spans="1:16" ht="20.100000000000001" customHeight="1" x14ac:dyDescent="0.45">
      <c r="A405" s="156">
        <v>46110</v>
      </c>
      <c r="B405" s="152" t="s">
        <v>219</v>
      </c>
      <c r="C405" s="149" t="s">
        <v>59</v>
      </c>
      <c r="D405" s="159" t="s">
        <v>220</v>
      </c>
      <c r="E405" s="180"/>
      <c r="F405" s="458">
        <v>2.5</v>
      </c>
      <c r="G405" s="164"/>
      <c r="H405" s="169">
        <f t="shared" si="19"/>
        <v>0</v>
      </c>
      <c r="I405" s="173"/>
      <c r="J405" s="171"/>
      <c r="K405" s="149"/>
      <c r="L405" s="149"/>
      <c r="M405" s="159"/>
      <c r="N405" s="596">
        <f t="shared" si="21"/>
        <v>41.5</v>
      </c>
      <c r="O405" s="176"/>
      <c r="P405" s="179">
        <f>IF(A405&lt;&gt;"", Снабжения!H405 / VLOOKUP(A405, 'Курс валют'!$A:$D, 4, 0), "")</f>
        <v>0</v>
      </c>
    </row>
    <row r="406" spans="1:16" ht="20.100000000000001" customHeight="1" x14ac:dyDescent="0.45">
      <c r="A406" s="156">
        <v>46111</v>
      </c>
      <c r="B406" s="152" t="s">
        <v>189</v>
      </c>
      <c r="C406" s="149" t="s">
        <v>69</v>
      </c>
      <c r="D406" s="159" t="s">
        <v>220</v>
      </c>
      <c r="E406" s="180"/>
      <c r="F406" s="458">
        <v>32</v>
      </c>
      <c r="G406" s="164"/>
      <c r="H406" s="169">
        <f t="shared" si="19"/>
        <v>0</v>
      </c>
      <c r="I406" s="173"/>
      <c r="J406" s="171"/>
      <c r="K406" s="149"/>
      <c r="L406" s="149"/>
      <c r="M406" s="159"/>
      <c r="N406" s="596">
        <f t="shared" si="21"/>
        <v>309</v>
      </c>
      <c r="O406" s="176"/>
      <c r="P406" s="179">
        <f>IF(A406&lt;&gt;"", Снабжения!H406 / VLOOKUP(A406, 'Курс валют'!$A:$D, 4, 0), "")</f>
        <v>0</v>
      </c>
    </row>
    <row r="407" spans="1:16" ht="20.100000000000001" customHeight="1" x14ac:dyDescent="0.45">
      <c r="A407" s="156">
        <v>46111</v>
      </c>
      <c r="B407" s="152" t="s">
        <v>228</v>
      </c>
      <c r="C407" s="149" t="s">
        <v>59</v>
      </c>
      <c r="D407" s="159" t="s">
        <v>187</v>
      </c>
      <c r="E407" s="180"/>
      <c r="F407" s="458">
        <v>100</v>
      </c>
      <c r="G407" s="164"/>
      <c r="H407" s="169">
        <f t="shared" si="19"/>
        <v>0</v>
      </c>
      <c r="I407" s="173"/>
      <c r="J407" s="171"/>
      <c r="K407" s="149"/>
      <c r="L407" s="149"/>
      <c r="M407" s="159"/>
      <c r="N407" s="596">
        <f t="shared" si="21"/>
        <v>125</v>
      </c>
      <c r="O407" s="176"/>
      <c r="P407" s="179">
        <f>IF(A407&lt;&gt;"", Снабжения!H407 / VLOOKUP(A407, 'Курс валют'!$A:$D, 4, 0), "")</f>
        <v>0</v>
      </c>
    </row>
    <row r="408" spans="1:16" ht="20.100000000000001" customHeight="1" x14ac:dyDescent="0.45">
      <c r="A408" s="156">
        <v>46111</v>
      </c>
      <c r="B408" s="152" t="s">
        <v>253</v>
      </c>
      <c r="C408" s="149" t="s">
        <v>69</v>
      </c>
      <c r="D408" s="159" t="s">
        <v>220</v>
      </c>
      <c r="E408" s="180"/>
      <c r="F408" s="458">
        <v>1</v>
      </c>
      <c r="G408" s="164"/>
      <c r="H408" s="169">
        <f t="shared" si="19"/>
        <v>0</v>
      </c>
      <c r="I408" s="173"/>
      <c r="J408" s="171"/>
      <c r="K408" s="149"/>
      <c r="L408" s="149"/>
      <c r="M408" s="159"/>
      <c r="N408" s="596">
        <f t="shared" si="21"/>
        <v>8</v>
      </c>
      <c r="O408" s="176"/>
      <c r="P408" s="179">
        <f>IF(A408&lt;&gt;"", Снабжения!H408 / VLOOKUP(A408, 'Курс валют'!$A:$D, 4, 0), "")</f>
        <v>0</v>
      </c>
    </row>
    <row r="409" spans="1:16" ht="20.100000000000001" customHeight="1" x14ac:dyDescent="0.45">
      <c r="A409" s="156">
        <v>46111</v>
      </c>
      <c r="B409" s="152" t="s">
        <v>182</v>
      </c>
      <c r="C409" s="149" t="s">
        <v>69</v>
      </c>
      <c r="D409" s="159" t="s">
        <v>220</v>
      </c>
      <c r="E409" s="180"/>
      <c r="F409" s="458">
        <v>2</v>
      </c>
      <c r="G409" s="164"/>
      <c r="H409" s="169">
        <f t="shared" si="19"/>
        <v>0</v>
      </c>
      <c r="I409" s="173"/>
      <c r="J409" s="171"/>
      <c r="K409" s="149"/>
      <c r="L409" s="149"/>
      <c r="M409" s="159"/>
      <c r="N409" s="596">
        <f t="shared" si="21"/>
        <v>22</v>
      </c>
      <c r="O409" s="176"/>
      <c r="P409" s="179">
        <f>IF(A409&lt;&gt;"", Снабжения!H409 / VLOOKUP(A409, 'Курс валют'!$A:$D, 4, 0), "")</f>
        <v>0</v>
      </c>
    </row>
    <row r="410" spans="1:16" ht="20.100000000000001" customHeight="1" x14ac:dyDescent="0.45">
      <c r="A410" s="156">
        <v>46111</v>
      </c>
      <c r="B410" s="152" t="s">
        <v>209</v>
      </c>
      <c r="C410" s="149" t="s">
        <v>69</v>
      </c>
      <c r="D410" s="159" t="s">
        <v>220</v>
      </c>
      <c r="E410" s="180"/>
      <c r="F410" s="458">
        <v>1</v>
      </c>
      <c r="G410" s="164"/>
      <c r="H410" s="169">
        <f t="shared" si="19"/>
        <v>0</v>
      </c>
      <c r="I410" s="173"/>
      <c r="J410" s="171"/>
      <c r="K410" s="149"/>
      <c r="L410" s="149"/>
      <c r="M410" s="159"/>
      <c r="N410" s="596">
        <f t="shared" si="21"/>
        <v>128</v>
      </c>
      <c r="O410" s="176"/>
      <c r="P410" s="179">
        <f>IF(A410&lt;&gt;"", Снабжения!H410 / VLOOKUP(A410, 'Курс валют'!$A:$D, 4, 0), "")</f>
        <v>0</v>
      </c>
    </row>
    <row r="411" spans="1:16" ht="20.100000000000001" customHeight="1" x14ac:dyDescent="0.45">
      <c r="A411" s="156">
        <v>46111</v>
      </c>
      <c r="B411" s="152" t="s">
        <v>271</v>
      </c>
      <c r="C411" s="149" t="s">
        <v>69</v>
      </c>
      <c r="D411" s="159" t="s">
        <v>220</v>
      </c>
      <c r="E411" s="180"/>
      <c r="F411" s="458">
        <v>8</v>
      </c>
      <c r="G411" s="164"/>
      <c r="H411" s="169">
        <f t="shared" si="19"/>
        <v>0</v>
      </c>
      <c r="I411" s="173"/>
      <c r="J411" s="171"/>
      <c r="K411" s="149"/>
      <c r="L411" s="149"/>
      <c r="M411" s="159"/>
      <c r="N411" s="596">
        <f t="shared" si="21"/>
        <v>42</v>
      </c>
      <c r="O411" s="176"/>
      <c r="P411" s="179">
        <f>IF(A411&lt;&gt;"", Снабжения!H411 / VLOOKUP(A411, 'Курс валют'!$A:$D, 4, 0), "")</f>
        <v>0</v>
      </c>
    </row>
    <row r="412" spans="1:16" ht="20.100000000000001" customHeight="1" x14ac:dyDescent="0.45">
      <c r="A412" s="156">
        <v>46111</v>
      </c>
      <c r="B412" s="152" t="s">
        <v>190</v>
      </c>
      <c r="C412" s="149" t="s">
        <v>59</v>
      </c>
      <c r="D412" s="159" t="s">
        <v>187</v>
      </c>
      <c r="E412" s="180"/>
      <c r="F412" s="458">
        <v>9</v>
      </c>
      <c r="G412" s="164"/>
      <c r="H412" s="169">
        <f t="shared" si="19"/>
        <v>0</v>
      </c>
      <c r="I412" s="173"/>
      <c r="J412" s="171"/>
      <c r="K412" s="149"/>
      <c r="L412" s="149"/>
      <c r="M412" s="159"/>
      <c r="N412" s="596">
        <f t="shared" si="21"/>
        <v>80</v>
      </c>
      <c r="O412" s="176"/>
      <c r="P412" s="179">
        <f>IF(A412&lt;&gt;"", Снабжения!H412 / VLOOKUP(A412, 'Курс валют'!$A:$D, 4, 0), "")</f>
        <v>0</v>
      </c>
    </row>
    <row r="413" spans="1:16" ht="20.100000000000001" customHeight="1" x14ac:dyDescent="0.45">
      <c r="A413" s="156">
        <v>46111</v>
      </c>
      <c r="B413" s="152" t="s">
        <v>188</v>
      </c>
      <c r="C413" s="149" t="s">
        <v>59</v>
      </c>
      <c r="D413" s="159" t="s">
        <v>187</v>
      </c>
      <c r="E413" s="180"/>
      <c r="F413" s="458">
        <v>4</v>
      </c>
      <c r="G413" s="164"/>
      <c r="H413" s="169">
        <f t="shared" si="19"/>
        <v>0</v>
      </c>
      <c r="I413" s="173"/>
      <c r="J413" s="171"/>
      <c r="K413" s="149"/>
      <c r="L413" s="149"/>
      <c r="M413" s="159"/>
      <c r="N413" s="596">
        <f t="shared" si="21"/>
        <v>20</v>
      </c>
      <c r="O413" s="176"/>
      <c r="P413" s="179">
        <f>IF(A413&lt;&gt;"", Снабжения!H413 / VLOOKUP(A413, 'Курс валют'!$A:$D, 4, 0), "")</f>
        <v>0</v>
      </c>
    </row>
    <row r="414" spans="1:16" ht="20.100000000000001" customHeight="1" x14ac:dyDescent="0.45">
      <c r="A414" s="156">
        <v>46112</v>
      </c>
      <c r="B414" s="152" t="s">
        <v>189</v>
      </c>
      <c r="C414" s="149" t="s">
        <v>69</v>
      </c>
      <c r="D414" s="159" t="s">
        <v>220</v>
      </c>
      <c r="E414" s="180"/>
      <c r="F414" s="458">
        <v>5</v>
      </c>
      <c r="G414" s="164"/>
      <c r="H414" s="169">
        <f t="shared" si="19"/>
        <v>0</v>
      </c>
      <c r="I414" s="173"/>
      <c r="J414" s="171"/>
      <c r="K414" s="149"/>
      <c r="L414" s="149"/>
      <c r="M414" s="159"/>
      <c r="N414" s="596">
        <f t="shared" si="21"/>
        <v>309</v>
      </c>
      <c r="O414" s="176"/>
      <c r="P414" s="179">
        <f>IF(A414&lt;&gt;"", Снабжения!H414 / VLOOKUP(A414, 'Курс валют'!$A:$D, 4, 0), "")</f>
        <v>0</v>
      </c>
    </row>
    <row r="415" spans="1:16" ht="20.100000000000001" customHeight="1" x14ac:dyDescent="0.45">
      <c r="A415" s="156">
        <v>46112</v>
      </c>
      <c r="B415" s="152" t="s">
        <v>186</v>
      </c>
      <c r="C415" s="149" t="s">
        <v>59</v>
      </c>
      <c r="D415" s="159" t="s">
        <v>187</v>
      </c>
      <c r="E415" s="180"/>
      <c r="F415" s="458">
        <v>8</v>
      </c>
      <c r="G415" s="164"/>
      <c r="H415" s="169">
        <f t="shared" si="19"/>
        <v>0</v>
      </c>
      <c r="I415" s="173"/>
      <c r="J415" s="171"/>
      <c r="K415" s="149"/>
      <c r="L415" s="149"/>
      <c r="M415" s="159"/>
      <c r="N415" s="596">
        <f t="shared" si="21"/>
        <v>40</v>
      </c>
      <c r="O415" s="176"/>
      <c r="P415" s="179">
        <f>IF(A415&lt;&gt;"", Снабжения!H415 / VLOOKUP(A415, 'Курс валют'!$A:$D, 4, 0), "")</f>
        <v>0</v>
      </c>
    </row>
    <row r="416" spans="1:16" ht="20.100000000000001" customHeight="1" x14ac:dyDescent="0.45">
      <c r="A416" s="156">
        <v>46112</v>
      </c>
      <c r="B416" s="152" t="s">
        <v>188</v>
      </c>
      <c r="C416" s="149" t="s">
        <v>59</v>
      </c>
      <c r="D416" s="159" t="s">
        <v>187</v>
      </c>
      <c r="E416" s="180"/>
      <c r="F416" s="458">
        <v>8</v>
      </c>
      <c r="G416" s="164"/>
      <c r="H416" s="169">
        <f t="shared" si="19"/>
        <v>0</v>
      </c>
      <c r="I416" s="173"/>
      <c r="J416" s="171"/>
      <c r="K416" s="149"/>
      <c r="L416" s="149"/>
      <c r="M416" s="159"/>
      <c r="N416" s="596">
        <f t="shared" si="21"/>
        <v>20</v>
      </c>
      <c r="O416" s="176"/>
      <c r="P416" s="179">
        <f>IF(A416&lt;&gt;"", Снабжения!H416 / VLOOKUP(A416, 'Курс валют'!$A:$D, 4, 0), "")</f>
        <v>0</v>
      </c>
    </row>
    <row r="417" spans="1:16" ht="20.100000000000001" customHeight="1" x14ac:dyDescent="0.45">
      <c r="A417" s="156">
        <v>46112</v>
      </c>
      <c r="B417" s="152" t="s">
        <v>226</v>
      </c>
      <c r="C417" s="149" t="s">
        <v>69</v>
      </c>
      <c r="D417" s="159" t="s">
        <v>187</v>
      </c>
      <c r="E417" s="180"/>
      <c r="F417" s="458">
        <v>5</v>
      </c>
      <c r="G417" s="164"/>
      <c r="H417" s="169">
        <f t="shared" si="19"/>
        <v>0</v>
      </c>
      <c r="I417" s="173"/>
      <c r="J417" s="171"/>
      <c r="K417" s="149"/>
      <c r="L417" s="149"/>
      <c r="M417" s="159"/>
      <c r="N417" s="596">
        <f t="shared" si="21"/>
        <v>43</v>
      </c>
      <c r="O417" s="176"/>
      <c r="P417" s="179">
        <f>IF(A417&lt;&gt;"", Снабжения!H417 / VLOOKUP(A417, 'Курс валют'!$A:$D, 4, 0), "")</f>
        <v>0</v>
      </c>
    </row>
    <row r="418" spans="1:16" ht="20.100000000000001" customHeight="1" x14ac:dyDescent="0.45">
      <c r="A418" s="156">
        <v>46112</v>
      </c>
      <c r="B418" s="152" t="s">
        <v>228</v>
      </c>
      <c r="C418" s="149" t="s">
        <v>59</v>
      </c>
      <c r="D418" s="159" t="s">
        <v>187</v>
      </c>
      <c r="E418" s="180"/>
      <c r="F418" s="458">
        <v>5</v>
      </c>
      <c r="G418" s="164"/>
      <c r="H418" s="169">
        <f t="shared" si="19"/>
        <v>0</v>
      </c>
      <c r="I418" s="173"/>
      <c r="J418" s="171"/>
      <c r="K418" s="149"/>
      <c r="L418" s="149"/>
      <c r="M418" s="159"/>
      <c r="N418" s="596">
        <f t="shared" si="21"/>
        <v>125</v>
      </c>
      <c r="O418" s="176"/>
      <c r="P418" s="179">
        <f>IF(A418&lt;&gt;"", Снабжения!H418 / VLOOKUP(A418, 'Курс валют'!$A:$D, 4, 0), "")</f>
        <v>0</v>
      </c>
    </row>
    <row r="419" spans="1:16" ht="20.100000000000001" customHeight="1" x14ac:dyDescent="0.45">
      <c r="A419" s="156">
        <v>46112</v>
      </c>
      <c r="B419" s="152" t="s">
        <v>284</v>
      </c>
      <c r="C419" s="149" t="s">
        <v>69</v>
      </c>
      <c r="D419" s="159" t="s">
        <v>220</v>
      </c>
      <c r="E419" s="180"/>
      <c r="F419" s="458">
        <v>1</v>
      </c>
      <c r="G419" s="164"/>
      <c r="H419" s="169">
        <f t="shared" si="19"/>
        <v>0</v>
      </c>
      <c r="I419" s="173"/>
      <c r="J419" s="171"/>
      <c r="K419" s="149"/>
      <c r="L419" s="149"/>
      <c r="M419" s="159"/>
      <c r="N419" s="596">
        <f t="shared" si="21"/>
        <v>1</v>
      </c>
      <c r="O419" s="176"/>
      <c r="P419" s="179">
        <f>IF(A419&lt;&gt;"", Снабжения!H419 / VLOOKUP(A419, 'Курс валют'!$A:$D, 4, 0), "")</f>
        <v>0</v>
      </c>
    </row>
    <row r="420" spans="1:16" ht="20.100000000000001" customHeight="1" x14ac:dyDescent="0.45">
      <c r="A420" s="156">
        <v>46112</v>
      </c>
      <c r="B420" s="151" t="s">
        <v>230</v>
      </c>
      <c r="C420" s="149" t="s">
        <v>85</v>
      </c>
      <c r="D420" s="159" t="s">
        <v>220</v>
      </c>
      <c r="E420" s="180">
        <v>400</v>
      </c>
      <c r="F420" s="458"/>
      <c r="G420" s="164">
        <v>3000</v>
      </c>
      <c r="H420" s="169">
        <f t="shared" si="19"/>
        <v>1200000</v>
      </c>
      <c r="I420" s="173"/>
      <c r="J420" s="171"/>
      <c r="K420" s="149"/>
      <c r="L420" s="149"/>
      <c r="M420" s="159"/>
      <c r="N420" s="596">
        <f t="shared" si="21"/>
        <v>400</v>
      </c>
      <c r="O420" s="176"/>
      <c r="P420" s="179">
        <f>IF(A420&lt;&gt;"", Снабжения!H420 / VLOOKUP(A420, 'Курс валют'!$A:$D, 4, 0), "")</f>
        <v>98.928276999175594</v>
      </c>
    </row>
    <row r="421" spans="1:16" ht="20.100000000000001" customHeight="1" x14ac:dyDescent="0.45">
      <c r="A421" s="156">
        <v>46112</v>
      </c>
      <c r="B421" s="152" t="s">
        <v>189</v>
      </c>
      <c r="C421" s="149" t="s">
        <v>69</v>
      </c>
      <c r="D421" s="159" t="s">
        <v>220</v>
      </c>
      <c r="E421" s="180">
        <v>200</v>
      </c>
      <c r="F421" s="458"/>
      <c r="G421" s="164">
        <v>3500</v>
      </c>
      <c r="H421" s="169">
        <f t="shared" si="19"/>
        <v>700000</v>
      </c>
      <c r="I421" s="173"/>
      <c r="J421" s="171"/>
      <c r="K421" s="149"/>
      <c r="L421" s="149"/>
      <c r="M421" s="159"/>
      <c r="N421" s="596">
        <f t="shared" si="21"/>
        <v>309</v>
      </c>
      <c r="O421" s="176"/>
      <c r="P421" s="179">
        <f>IF(A421&lt;&gt;"", Снабжения!H421 / VLOOKUP(A421, 'Курс валют'!$A:$D, 4, 0), "")</f>
        <v>57.708161582852433</v>
      </c>
    </row>
    <row r="422" spans="1:16" ht="20.100000000000001" customHeight="1" x14ac:dyDescent="0.45">
      <c r="A422" s="156">
        <v>46112</v>
      </c>
      <c r="B422" s="152" t="s">
        <v>188</v>
      </c>
      <c r="C422" s="149" t="s">
        <v>59</v>
      </c>
      <c r="D422" s="159" t="s">
        <v>187</v>
      </c>
      <c r="E422" s="180">
        <v>100</v>
      </c>
      <c r="F422" s="458"/>
      <c r="G422" s="164">
        <v>8954</v>
      </c>
      <c r="H422" s="169">
        <f t="shared" si="19"/>
        <v>895400</v>
      </c>
      <c r="I422" s="173"/>
      <c r="J422" s="171"/>
      <c r="K422" s="149"/>
      <c r="L422" s="149"/>
      <c r="M422" s="159"/>
      <c r="N422" s="596">
        <f t="shared" si="21"/>
        <v>20</v>
      </c>
      <c r="O422" s="176"/>
      <c r="P422" s="179">
        <f>IF(A422&lt;&gt;"", Снабжения!H422 / VLOOKUP(A422, 'Курс валют'!$A:$D, 4, 0), "")</f>
        <v>73.81698268755153</v>
      </c>
    </row>
    <row r="423" spans="1:16" ht="20.100000000000001" customHeight="1" x14ac:dyDescent="0.45">
      <c r="A423" s="156">
        <v>46112</v>
      </c>
      <c r="B423" s="152" t="s">
        <v>228</v>
      </c>
      <c r="C423" s="149" t="s">
        <v>59</v>
      </c>
      <c r="D423" s="159" t="s">
        <v>187</v>
      </c>
      <c r="E423" s="180">
        <v>1000</v>
      </c>
      <c r="F423" s="458"/>
      <c r="G423" s="164">
        <v>9500</v>
      </c>
      <c r="H423" s="169">
        <f t="shared" si="19"/>
        <v>9500000</v>
      </c>
      <c r="I423" s="173"/>
      <c r="J423" s="171"/>
      <c r="K423" s="149"/>
      <c r="L423" s="149"/>
      <c r="M423" s="159"/>
      <c r="N423" s="596">
        <f t="shared" si="21"/>
        <v>125</v>
      </c>
      <c r="O423" s="176"/>
      <c r="P423" s="179">
        <f>IF(A423&lt;&gt;"", Снабжения!H423 / VLOOKUP(A423, 'Курс валют'!$A:$D, 4, 0), "")</f>
        <v>783.1821929101402</v>
      </c>
    </row>
    <row r="424" spans="1:16" ht="20.100000000000001" customHeight="1" x14ac:dyDescent="0.45">
      <c r="A424" s="156">
        <v>46112</v>
      </c>
      <c r="B424" s="152" t="s">
        <v>91</v>
      </c>
      <c r="C424" s="149" t="s">
        <v>65</v>
      </c>
      <c r="D424" s="159"/>
      <c r="E424" s="180"/>
      <c r="F424" s="458"/>
      <c r="G424" s="164"/>
      <c r="H424" s="169">
        <v>525000</v>
      </c>
      <c r="I424" s="173"/>
      <c r="J424" s="171"/>
      <c r="K424" s="149"/>
      <c r="L424" s="149"/>
      <c r="M424" s="159"/>
      <c r="N424" s="596">
        <f t="shared" si="21"/>
        <v>8</v>
      </c>
      <c r="O424" s="176"/>
      <c r="P424" s="179">
        <f>IF(A424&lt;&gt;"", Снабжения!H424 / VLOOKUP(A424, 'Курс валют'!$A:$D, 4, 0), "")</f>
        <v>43.281121187139327</v>
      </c>
    </row>
    <row r="425" spans="1:16" ht="20.100000000000001" customHeight="1" x14ac:dyDescent="0.45">
      <c r="A425" s="156">
        <v>46113</v>
      </c>
      <c r="B425" s="152" t="s">
        <v>253</v>
      </c>
      <c r="C425" s="149" t="s">
        <v>69</v>
      </c>
      <c r="D425" s="159" t="s">
        <v>220</v>
      </c>
      <c r="E425" s="180"/>
      <c r="F425" s="458">
        <v>1</v>
      </c>
      <c r="G425" s="164"/>
      <c r="H425" s="169">
        <f t="shared" ref="H425:H488" si="22">G425*E425</f>
        <v>0</v>
      </c>
      <c r="I425" s="173"/>
      <c r="J425" s="171"/>
      <c r="K425" s="149"/>
      <c r="L425" s="149"/>
      <c r="M425" s="159"/>
      <c r="N425" s="596">
        <f t="shared" si="21"/>
        <v>8</v>
      </c>
      <c r="O425" s="176"/>
      <c r="P425" s="179">
        <f>IF(A425&lt;&gt;"", Снабжения!H425 / VLOOKUP(A425, 'Курс валют'!$A:$D, 4, 0), "")</f>
        <v>0</v>
      </c>
    </row>
    <row r="426" spans="1:16" ht="20.100000000000001" customHeight="1" x14ac:dyDescent="0.45">
      <c r="A426" s="156">
        <v>46113</v>
      </c>
      <c r="B426" s="151" t="s">
        <v>230</v>
      </c>
      <c r="C426" s="149" t="s">
        <v>85</v>
      </c>
      <c r="D426" s="159" t="s">
        <v>220</v>
      </c>
      <c r="E426" s="180"/>
      <c r="F426" s="458">
        <v>100</v>
      </c>
      <c r="G426" s="164"/>
      <c r="H426" s="169">
        <f t="shared" si="22"/>
        <v>0</v>
      </c>
      <c r="I426" s="173"/>
      <c r="J426" s="171"/>
      <c r="K426" s="149"/>
      <c r="L426" s="149"/>
      <c r="M426" s="159"/>
      <c r="N426" s="596">
        <f t="shared" si="21"/>
        <v>400</v>
      </c>
      <c r="O426" s="176"/>
      <c r="P426" s="179">
        <f>IF(A426&lt;&gt;"", Снабжения!H426 / VLOOKUP(A426, 'Курс валют'!$A:$D, 4, 0), "")</f>
        <v>0</v>
      </c>
    </row>
    <row r="427" spans="1:16" ht="20.100000000000001" customHeight="1" x14ac:dyDescent="0.45">
      <c r="A427" s="156">
        <v>46113</v>
      </c>
      <c r="B427" s="152" t="s">
        <v>188</v>
      </c>
      <c r="C427" s="149" t="s">
        <v>59</v>
      </c>
      <c r="D427" s="159" t="s">
        <v>187</v>
      </c>
      <c r="E427" s="180"/>
      <c r="F427" s="458">
        <v>16</v>
      </c>
      <c r="G427" s="164"/>
      <c r="H427" s="169">
        <f t="shared" si="22"/>
        <v>0</v>
      </c>
      <c r="I427" s="173"/>
      <c r="J427" s="171"/>
      <c r="K427" s="149"/>
      <c r="L427" s="149"/>
      <c r="M427" s="159"/>
      <c r="N427" s="596">
        <f t="shared" si="21"/>
        <v>20</v>
      </c>
      <c r="O427" s="176"/>
      <c r="P427" s="179">
        <f>IF(A427&lt;&gt;"", Снабжения!H427 / VLOOKUP(A427, 'Курс валют'!$A:$D, 4, 0), "")</f>
        <v>0</v>
      </c>
    </row>
    <row r="428" spans="1:16" ht="20.100000000000001" customHeight="1" x14ac:dyDescent="0.45">
      <c r="A428" s="156">
        <v>46113</v>
      </c>
      <c r="B428" s="152" t="s">
        <v>209</v>
      </c>
      <c r="C428" s="149" t="s">
        <v>69</v>
      </c>
      <c r="D428" s="159" t="s">
        <v>220</v>
      </c>
      <c r="E428" s="180"/>
      <c r="F428" s="458">
        <v>2</v>
      </c>
      <c r="G428" s="164"/>
      <c r="H428" s="169">
        <f t="shared" si="22"/>
        <v>0</v>
      </c>
      <c r="I428" s="173"/>
      <c r="J428" s="171"/>
      <c r="K428" s="149"/>
      <c r="L428" s="149"/>
      <c r="M428" s="159"/>
      <c r="N428" s="596">
        <f t="shared" si="21"/>
        <v>128</v>
      </c>
      <c r="O428" s="176"/>
      <c r="P428" s="179">
        <f>IF(A428&lt;&gt;"", Снабжения!H428 / VLOOKUP(A428, 'Курс валют'!$A:$D, 4, 0), "")</f>
        <v>0</v>
      </c>
    </row>
    <row r="429" spans="1:16" ht="20.100000000000001" customHeight="1" x14ac:dyDescent="0.45">
      <c r="A429" s="156">
        <v>46113</v>
      </c>
      <c r="B429" s="152" t="s">
        <v>182</v>
      </c>
      <c r="C429" s="149" t="s">
        <v>69</v>
      </c>
      <c r="D429" s="159" t="s">
        <v>220</v>
      </c>
      <c r="E429" s="180"/>
      <c r="F429" s="458">
        <v>1</v>
      </c>
      <c r="G429" s="164"/>
      <c r="H429" s="169">
        <f t="shared" si="22"/>
        <v>0</v>
      </c>
      <c r="I429" s="173"/>
      <c r="J429" s="171"/>
      <c r="K429" s="149"/>
      <c r="L429" s="149"/>
      <c r="M429" s="159"/>
      <c r="N429" s="596">
        <f t="shared" si="21"/>
        <v>22</v>
      </c>
      <c r="O429" s="176"/>
      <c r="P429" s="179">
        <f>IF(A429&lt;&gt;"", Снабжения!H429 / VLOOKUP(A429, 'Курс валют'!$A:$D, 4, 0), "")</f>
        <v>0</v>
      </c>
    </row>
    <row r="430" spans="1:16" ht="20.100000000000001" customHeight="1" x14ac:dyDescent="0.45">
      <c r="A430" s="156">
        <v>46113</v>
      </c>
      <c r="B430" s="152" t="s">
        <v>208</v>
      </c>
      <c r="C430" s="149" t="s">
        <v>69</v>
      </c>
      <c r="D430" s="159" t="s">
        <v>220</v>
      </c>
      <c r="E430" s="180"/>
      <c r="F430" s="458">
        <v>2</v>
      </c>
      <c r="G430" s="164"/>
      <c r="H430" s="169">
        <f t="shared" si="22"/>
        <v>0</v>
      </c>
      <c r="I430" s="173"/>
      <c r="J430" s="171"/>
      <c r="K430" s="149"/>
      <c r="L430" s="149"/>
      <c r="M430" s="159"/>
      <c r="N430" s="596">
        <f t="shared" si="21"/>
        <v>10</v>
      </c>
      <c r="O430" s="176"/>
      <c r="P430" s="179">
        <f>IF(A430&lt;&gt;"", Снабжения!H430 / VLOOKUP(A430, 'Курс валют'!$A:$D, 4, 0), "")</f>
        <v>0</v>
      </c>
    </row>
    <row r="431" spans="1:16" ht="20.100000000000001" customHeight="1" x14ac:dyDescent="0.45">
      <c r="A431" s="156">
        <v>46113</v>
      </c>
      <c r="B431" s="152" t="s">
        <v>254</v>
      </c>
      <c r="C431" s="149" t="s">
        <v>69</v>
      </c>
      <c r="D431" s="159" t="s">
        <v>220</v>
      </c>
      <c r="E431" s="180"/>
      <c r="F431" s="458">
        <v>2</v>
      </c>
      <c r="G431" s="164"/>
      <c r="H431" s="169">
        <f t="shared" si="22"/>
        <v>0</v>
      </c>
      <c r="I431" s="173"/>
      <c r="J431" s="171"/>
      <c r="K431" s="149"/>
      <c r="L431" s="149"/>
      <c r="M431" s="159"/>
      <c r="N431" s="596">
        <f t="shared" si="21"/>
        <v>33</v>
      </c>
      <c r="O431" s="176"/>
      <c r="P431" s="179">
        <f>IF(A431&lt;&gt;"", Снабжения!H431 / VLOOKUP(A431, 'Курс валют'!$A:$D, 4, 0), "")</f>
        <v>0</v>
      </c>
    </row>
    <row r="432" spans="1:16" ht="20.100000000000001" customHeight="1" x14ac:dyDescent="0.45">
      <c r="A432" s="156">
        <v>46113</v>
      </c>
      <c r="B432" s="152" t="s">
        <v>259</v>
      </c>
      <c r="C432" s="149" t="s">
        <v>97</v>
      </c>
      <c r="D432" s="159" t="s">
        <v>220</v>
      </c>
      <c r="E432" s="180"/>
      <c r="F432" s="458">
        <v>40</v>
      </c>
      <c r="G432" s="164"/>
      <c r="H432" s="169">
        <f t="shared" si="22"/>
        <v>0</v>
      </c>
      <c r="I432" s="173"/>
      <c r="J432" s="171"/>
      <c r="K432" s="149"/>
      <c r="L432" s="149"/>
      <c r="M432" s="159"/>
      <c r="N432" s="596">
        <f t="shared" si="21"/>
        <v>40</v>
      </c>
      <c r="O432" s="176"/>
      <c r="P432" s="179">
        <f>IF(A432&lt;&gt;"", Снабжения!H432 / VLOOKUP(A432, 'Курс валют'!$A:$D, 4, 0), "")</f>
        <v>0</v>
      </c>
    </row>
    <row r="433" spans="1:16" ht="20.100000000000001" customHeight="1" x14ac:dyDescent="0.45">
      <c r="A433" s="156">
        <v>46113</v>
      </c>
      <c r="B433" s="152" t="s">
        <v>190</v>
      </c>
      <c r="C433" s="149" t="s">
        <v>59</v>
      </c>
      <c r="D433" s="159" t="s">
        <v>187</v>
      </c>
      <c r="E433" s="180"/>
      <c r="F433" s="458">
        <v>20</v>
      </c>
      <c r="G433" s="164"/>
      <c r="H433" s="169">
        <f t="shared" si="22"/>
        <v>0</v>
      </c>
      <c r="I433" s="173"/>
      <c r="J433" s="171"/>
      <c r="K433" s="149"/>
      <c r="L433" s="149"/>
      <c r="M433" s="159"/>
      <c r="N433" s="596">
        <f t="shared" si="21"/>
        <v>80</v>
      </c>
      <c r="O433" s="176"/>
      <c r="P433" s="179">
        <f>IF(A433&lt;&gt;"", Снабжения!H433 / VLOOKUP(A433, 'Курс валют'!$A:$D, 4, 0), "")</f>
        <v>0</v>
      </c>
    </row>
    <row r="434" spans="1:16" ht="20.100000000000001" customHeight="1" x14ac:dyDescent="0.45">
      <c r="A434" s="156">
        <v>46114</v>
      </c>
      <c r="B434" s="152" t="s">
        <v>209</v>
      </c>
      <c r="C434" s="149" t="s">
        <v>69</v>
      </c>
      <c r="D434" s="159" t="s">
        <v>220</v>
      </c>
      <c r="E434" s="180"/>
      <c r="F434" s="458">
        <v>2</v>
      </c>
      <c r="G434" s="164"/>
      <c r="H434" s="169">
        <f t="shared" si="22"/>
        <v>0</v>
      </c>
      <c r="I434" s="173"/>
      <c r="J434" s="171"/>
      <c r="K434" s="149"/>
      <c r="L434" s="149"/>
      <c r="M434" s="159"/>
      <c r="N434" s="596">
        <f t="shared" si="21"/>
        <v>128</v>
      </c>
      <c r="O434" s="176"/>
      <c r="P434" s="179">
        <f>IF(A434&lt;&gt;"", Снабжения!H434 / VLOOKUP(A434, 'Курс валют'!$A:$D, 4, 0), "")</f>
        <v>0</v>
      </c>
    </row>
    <row r="435" spans="1:16" ht="20.100000000000001" customHeight="1" x14ac:dyDescent="0.45">
      <c r="A435" s="156">
        <v>46114</v>
      </c>
      <c r="B435" s="152" t="s">
        <v>189</v>
      </c>
      <c r="C435" s="149" t="s">
        <v>69</v>
      </c>
      <c r="D435" s="159" t="s">
        <v>220</v>
      </c>
      <c r="E435" s="180"/>
      <c r="F435" s="458">
        <v>27</v>
      </c>
      <c r="G435" s="164"/>
      <c r="H435" s="169">
        <f t="shared" si="22"/>
        <v>0</v>
      </c>
      <c r="I435" s="173"/>
      <c r="J435" s="171"/>
      <c r="K435" s="149"/>
      <c r="L435" s="149"/>
      <c r="M435" s="159"/>
      <c r="N435" s="596">
        <f t="shared" si="21"/>
        <v>309</v>
      </c>
      <c r="O435" s="176"/>
      <c r="P435" s="179">
        <f>IF(A435&lt;&gt;"", Снабжения!H435 / VLOOKUP(A435, 'Курс валют'!$A:$D, 4, 0), "")</f>
        <v>0</v>
      </c>
    </row>
    <row r="436" spans="1:16" ht="20.100000000000001" customHeight="1" x14ac:dyDescent="0.45">
      <c r="A436" s="156">
        <v>46114</v>
      </c>
      <c r="B436" s="152" t="s">
        <v>186</v>
      </c>
      <c r="C436" s="149" t="s">
        <v>59</v>
      </c>
      <c r="D436" s="159" t="s">
        <v>187</v>
      </c>
      <c r="E436" s="180"/>
      <c r="F436" s="458">
        <v>4</v>
      </c>
      <c r="G436" s="164"/>
      <c r="H436" s="169">
        <f t="shared" si="22"/>
        <v>0</v>
      </c>
      <c r="I436" s="173"/>
      <c r="J436" s="171"/>
      <c r="K436" s="149"/>
      <c r="L436" s="149"/>
      <c r="M436" s="159"/>
      <c r="N436" s="596">
        <f t="shared" si="21"/>
        <v>40</v>
      </c>
      <c r="O436" s="176"/>
      <c r="P436" s="179">
        <f>IF(A436&lt;&gt;"", Снабжения!H436 / VLOOKUP(A436, 'Курс валют'!$A:$D, 4, 0), "")</f>
        <v>0</v>
      </c>
    </row>
    <row r="437" spans="1:16" ht="20.100000000000001" customHeight="1" x14ac:dyDescent="0.45">
      <c r="A437" s="156">
        <v>46114</v>
      </c>
      <c r="B437" s="152" t="s">
        <v>219</v>
      </c>
      <c r="C437" s="149" t="s">
        <v>59</v>
      </c>
      <c r="D437" s="159" t="s">
        <v>220</v>
      </c>
      <c r="E437" s="180"/>
      <c r="F437" s="458">
        <v>2.5</v>
      </c>
      <c r="G437" s="164"/>
      <c r="H437" s="169">
        <f t="shared" si="22"/>
        <v>0</v>
      </c>
      <c r="I437" s="173"/>
      <c r="J437" s="171"/>
      <c r="K437" s="149"/>
      <c r="L437" s="149"/>
      <c r="M437" s="159"/>
      <c r="N437" s="596">
        <f t="shared" si="21"/>
        <v>41.5</v>
      </c>
      <c r="O437" s="176"/>
      <c r="P437" s="179">
        <f>IF(A437&lt;&gt;"", Снабжения!H437 / VLOOKUP(A437, 'Курс валют'!$A:$D, 4, 0), "")</f>
        <v>0</v>
      </c>
    </row>
    <row r="438" spans="1:16" ht="20.100000000000001" customHeight="1" x14ac:dyDescent="0.45">
      <c r="A438" s="156">
        <v>46115</v>
      </c>
      <c r="B438" s="152" t="s">
        <v>189</v>
      </c>
      <c r="C438" s="149" t="s">
        <v>69</v>
      </c>
      <c r="D438" s="159" t="s">
        <v>220</v>
      </c>
      <c r="E438" s="180"/>
      <c r="F438" s="458">
        <v>3</v>
      </c>
      <c r="G438" s="164"/>
      <c r="H438" s="169">
        <f t="shared" si="22"/>
        <v>0</v>
      </c>
      <c r="I438" s="173"/>
      <c r="J438" s="171"/>
      <c r="K438" s="149"/>
      <c r="L438" s="149"/>
      <c r="M438" s="159"/>
      <c r="N438" s="596">
        <f t="shared" si="21"/>
        <v>309</v>
      </c>
      <c r="O438" s="176"/>
      <c r="P438" s="179">
        <f>IF(A438&lt;&gt;"", Снабжения!H438 / VLOOKUP(A438, 'Курс валют'!$A:$D, 4, 0), "")</f>
        <v>0</v>
      </c>
    </row>
    <row r="439" spans="1:16" ht="20.100000000000001" customHeight="1" x14ac:dyDescent="0.45">
      <c r="A439" s="156">
        <v>46115</v>
      </c>
      <c r="B439" s="152" t="s">
        <v>209</v>
      </c>
      <c r="C439" s="149" t="s">
        <v>69</v>
      </c>
      <c r="D439" s="159" t="s">
        <v>220</v>
      </c>
      <c r="E439" s="180"/>
      <c r="F439" s="458">
        <v>2</v>
      </c>
      <c r="G439" s="164"/>
      <c r="H439" s="169">
        <f t="shared" si="22"/>
        <v>0</v>
      </c>
      <c r="I439" s="173"/>
      <c r="J439" s="171"/>
      <c r="K439" s="149"/>
      <c r="L439" s="149"/>
      <c r="M439" s="159"/>
      <c r="N439" s="596">
        <f t="shared" si="21"/>
        <v>128</v>
      </c>
      <c r="O439" s="176"/>
      <c r="P439" s="179">
        <f>IF(A439&lt;&gt;"", Снабжения!H439 / VLOOKUP(A439, 'Курс валют'!$A:$D, 4, 0), "")</f>
        <v>0</v>
      </c>
    </row>
    <row r="440" spans="1:16" ht="20.100000000000001" customHeight="1" x14ac:dyDescent="0.45">
      <c r="A440" s="156">
        <v>46116</v>
      </c>
      <c r="B440" s="152" t="s">
        <v>189</v>
      </c>
      <c r="C440" s="149" t="s">
        <v>69</v>
      </c>
      <c r="D440" s="159" t="s">
        <v>220</v>
      </c>
      <c r="E440" s="180"/>
      <c r="F440" s="458">
        <v>39</v>
      </c>
      <c r="G440" s="164"/>
      <c r="H440" s="169">
        <f t="shared" si="22"/>
        <v>0</v>
      </c>
      <c r="I440" s="173"/>
      <c r="J440" s="171"/>
      <c r="K440" s="149"/>
      <c r="L440" s="149"/>
      <c r="M440" s="159"/>
      <c r="N440" s="596">
        <f t="shared" si="21"/>
        <v>309</v>
      </c>
      <c r="O440" s="176"/>
      <c r="P440" s="179">
        <f>IF(A440&lt;&gt;"", Снабжения!H440 / VLOOKUP(A440, 'Курс валют'!$A:$D, 4, 0), "")</f>
        <v>0</v>
      </c>
    </row>
    <row r="441" spans="1:16" ht="20.100000000000001" customHeight="1" x14ac:dyDescent="0.45">
      <c r="A441" s="156">
        <v>46116</v>
      </c>
      <c r="B441" s="152" t="s">
        <v>186</v>
      </c>
      <c r="C441" s="149" t="s">
        <v>59</v>
      </c>
      <c r="D441" s="159" t="s">
        <v>187</v>
      </c>
      <c r="E441" s="180"/>
      <c r="F441" s="458">
        <v>16</v>
      </c>
      <c r="G441" s="164"/>
      <c r="H441" s="169">
        <f t="shared" si="22"/>
        <v>0</v>
      </c>
      <c r="I441" s="173"/>
      <c r="J441" s="171"/>
      <c r="K441" s="149"/>
      <c r="L441" s="149"/>
      <c r="M441" s="159"/>
      <c r="N441" s="596">
        <f t="shared" si="21"/>
        <v>40</v>
      </c>
      <c r="O441" s="176"/>
      <c r="P441" s="179">
        <f>IF(A441&lt;&gt;"", Снабжения!H441 / VLOOKUP(A441, 'Курс валют'!$A:$D, 4, 0), "")</f>
        <v>0</v>
      </c>
    </row>
    <row r="442" spans="1:16" ht="20.100000000000001" customHeight="1" x14ac:dyDescent="0.45">
      <c r="A442" s="156">
        <v>46116</v>
      </c>
      <c r="B442" s="152" t="s">
        <v>228</v>
      </c>
      <c r="C442" s="149" t="s">
        <v>59</v>
      </c>
      <c r="D442" s="159" t="s">
        <v>187</v>
      </c>
      <c r="E442" s="180"/>
      <c r="F442" s="458">
        <v>75</v>
      </c>
      <c r="G442" s="164"/>
      <c r="H442" s="169">
        <f t="shared" si="22"/>
        <v>0</v>
      </c>
      <c r="I442" s="173"/>
      <c r="J442" s="171"/>
      <c r="K442" s="149"/>
      <c r="L442" s="149"/>
      <c r="M442" s="159"/>
      <c r="N442" s="596">
        <f t="shared" si="21"/>
        <v>125</v>
      </c>
      <c r="O442" s="176"/>
      <c r="P442" s="179">
        <f>IF(A442&lt;&gt;"", Снабжения!H442 / VLOOKUP(A442, 'Курс валют'!$A:$D, 4, 0), "")</f>
        <v>0</v>
      </c>
    </row>
    <row r="443" spans="1:16" ht="20.100000000000001" customHeight="1" x14ac:dyDescent="0.45">
      <c r="A443" s="156">
        <v>46116</v>
      </c>
      <c r="B443" s="152" t="s">
        <v>209</v>
      </c>
      <c r="C443" s="149" t="s">
        <v>69</v>
      </c>
      <c r="D443" s="159" t="s">
        <v>220</v>
      </c>
      <c r="E443" s="180"/>
      <c r="F443" s="458">
        <v>1</v>
      </c>
      <c r="G443" s="164"/>
      <c r="H443" s="169">
        <f t="shared" si="22"/>
        <v>0</v>
      </c>
      <c r="I443" s="173"/>
      <c r="J443" s="171"/>
      <c r="K443" s="149"/>
      <c r="L443" s="149"/>
      <c r="M443" s="159"/>
      <c r="N443" s="596">
        <f t="shared" si="21"/>
        <v>128</v>
      </c>
      <c r="O443" s="176"/>
      <c r="P443" s="179">
        <f>IF(A443&lt;&gt;"", Снабжения!H443 / VLOOKUP(A443, 'Курс валют'!$A:$D, 4, 0), "")</f>
        <v>0</v>
      </c>
    </row>
    <row r="444" spans="1:16" ht="20.100000000000001" customHeight="1" x14ac:dyDescent="0.45">
      <c r="A444" s="156">
        <v>46116</v>
      </c>
      <c r="B444" s="152" t="s">
        <v>182</v>
      </c>
      <c r="C444" s="149" t="s">
        <v>69</v>
      </c>
      <c r="D444" s="159" t="s">
        <v>220</v>
      </c>
      <c r="E444" s="180"/>
      <c r="F444" s="458">
        <v>1</v>
      </c>
      <c r="G444" s="164"/>
      <c r="H444" s="169">
        <f t="shared" si="22"/>
        <v>0</v>
      </c>
      <c r="I444" s="173"/>
      <c r="J444" s="171"/>
      <c r="K444" s="149"/>
      <c r="L444" s="149"/>
      <c r="M444" s="159"/>
      <c r="N444" s="596">
        <f t="shared" si="21"/>
        <v>22</v>
      </c>
      <c r="O444" s="176"/>
      <c r="P444" s="179">
        <f>IF(A444&lt;&gt;"", Снабжения!H444 / VLOOKUP(A444, 'Курс валют'!$A:$D, 4, 0), "")</f>
        <v>0</v>
      </c>
    </row>
    <row r="445" spans="1:16" ht="20.100000000000001" customHeight="1" x14ac:dyDescent="0.45">
      <c r="A445" s="156">
        <v>46116</v>
      </c>
      <c r="B445" s="152" t="s">
        <v>254</v>
      </c>
      <c r="C445" s="149" t="s">
        <v>69</v>
      </c>
      <c r="D445" s="159" t="s">
        <v>220</v>
      </c>
      <c r="E445" s="180"/>
      <c r="F445" s="458">
        <v>12</v>
      </c>
      <c r="G445" s="164"/>
      <c r="H445" s="169">
        <f t="shared" si="22"/>
        <v>0</v>
      </c>
      <c r="I445" s="173"/>
      <c r="J445" s="171"/>
      <c r="K445" s="149"/>
      <c r="L445" s="149"/>
      <c r="M445" s="159"/>
      <c r="N445" s="596">
        <f t="shared" si="21"/>
        <v>33</v>
      </c>
      <c r="O445" s="176"/>
      <c r="P445" s="179">
        <f>IF(A445&lt;&gt;"", Снабжения!H445 / VLOOKUP(A445, 'Курс валют'!$A:$D, 4, 0), "")</f>
        <v>0</v>
      </c>
    </row>
    <row r="446" spans="1:16" ht="20.100000000000001" customHeight="1" x14ac:dyDescent="0.45">
      <c r="A446" s="156">
        <v>46117</v>
      </c>
      <c r="B446" s="152" t="s">
        <v>228</v>
      </c>
      <c r="C446" s="149" t="s">
        <v>59</v>
      </c>
      <c r="D446" s="159" t="s">
        <v>187</v>
      </c>
      <c r="E446" s="180"/>
      <c r="F446" s="458">
        <v>150</v>
      </c>
      <c r="G446" s="164"/>
      <c r="H446" s="169">
        <f t="shared" si="22"/>
        <v>0</v>
      </c>
      <c r="I446" s="173"/>
      <c r="J446" s="171"/>
      <c r="K446" s="149"/>
      <c r="L446" s="149"/>
      <c r="M446" s="159"/>
      <c r="N446" s="596">
        <f t="shared" si="21"/>
        <v>125</v>
      </c>
      <c r="O446" s="176"/>
      <c r="P446" s="179">
        <f>IF(A446&lt;&gt;"", Снабжения!H446 / VLOOKUP(A446, 'Курс валют'!$A:$D, 4, 0), "")</f>
        <v>0</v>
      </c>
    </row>
    <row r="447" spans="1:16" ht="20.100000000000001" customHeight="1" x14ac:dyDescent="0.45">
      <c r="A447" s="156">
        <v>46117</v>
      </c>
      <c r="B447" s="152" t="s">
        <v>283</v>
      </c>
      <c r="C447" s="149" t="s">
        <v>127</v>
      </c>
      <c r="D447" s="159" t="s">
        <v>220</v>
      </c>
      <c r="E447" s="180"/>
      <c r="F447" s="458">
        <v>1</v>
      </c>
      <c r="G447" s="164"/>
      <c r="H447" s="169">
        <f t="shared" si="22"/>
        <v>0</v>
      </c>
      <c r="I447" s="173"/>
      <c r="J447" s="171"/>
      <c r="K447" s="149"/>
      <c r="L447" s="149"/>
      <c r="M447" s="159"/>
      <c r="N447" s="596">
        <f t="shared" si="21"/>
        <v>18</v>
      </c>
      <c r="O447" s="176"/>
      <c r="P447" s="179">
        <f>IF(A447&lt;&gt;"", Снабжения!H447 / VLOOKUP(A447, 'Курс валют'!$A:$D, 4, 0), "")</f>
        <v>0</v>
      </c>
    </row>
    <row r="448" spans="1:16" ht="20.100000000000001" customHeight="1" x14ac:dyDescent="0.45">
      <c r="A448" s="156">
        <v>46117</v>
      </c>
      <c r="B448" s="152" t="s">
        <v>271</v>
      </c>
      <c r="C448" s="149" t="s">
        <v>69</v>
      </c>
      <c r="D448" s="159" t="s">
        <v>220</v>
      </c>
      <c r="E448" s="180"/>
      <c r="F448" s="458">
        <v>8</v>
      </c>
      <c r="G448" s="164"/>
      <c r="H448" s="169">
        <f t="shared" si="22"/>
        <v>0</v>
      </c>
      <c r="I448" s="173"/>
      <c r="J448" s="171"/>
      <c r="K448" s="149"/>
      <c r="L448" s="149"/>
      <c r="M448" s="159"/>
      <c r="N448" s="596">
        <f t="shared" si="21"/>
        <v>42</v>
      </c>
      <c r="O448" s="176"/>
      <c r="P448" s="179">
        <f>IF(A448&lt;&gt;"", Снабжения!H448 / VLOOKUP(A448, 'Курс валют'!$A:$D, 4, 0), "")</f>
        <v>0</v>
      </c>
    </row>
    <row r="449" spans="1:16" ht="20.100000000000001" customHeight="1" x14ac:dyDescent="0.45">
      <c r="A449" s="156">
        <v>46117</v>
      </c>
      <c r="B449" s="152" t="s">
        <v>196</v>
      </c>
      <c r="C449" s="149" t="s">
        <v>69</v>
      </c>
      <c r="D449" s="159" t="s">
        <v>193</v>
      </c>
      <c r="E449" s="180">
        <v>4</v>
      </c>
      <c r="F449" s="458"/>
      <c r="G449" s="164">
        <v>515000</v>
      </c>
      <c r="H449" s="169">
        <f>G449*E449</f>
        <v>2060000</v>
      </c>
      <c r="I449" s="173"/>
      <c r="J449" s="171"/>
      <c r="K449" s="149"/>
      <c r="L449" s="149"/>
      <c r="M449" s="159"/>
      <c r="N449" s="596">
        <f t="shared" si="21"/>
        <v>1</v>
      </c>
      <c r="O449" s="176"/>
      <c r="P449" s="179">
        <f>IF(A449&lt;&gt;"", Снабжения!H449 / VLOOKUP(A449, 'Курс валют'!$A:$D, 4, 0), "")</f>
        <v>171.66666666666666</v>
      </c>
    </row>
    <row r="450" spans="1:16" ht="20.100000000000001" customHeight="1" x14ac:dyDescent="0.45">
      <c r="A450" s="156">
        <v>46117</v>
      </c>
      <c r="B450" s="152" t="s">
        <v>210</v>
      </c>
      <c r="C450" s="149" t="s">
        <v>69</v>
      </c>
      <c r="D450" s="159" t="s">
        <v>220</v>
      </c>
      <c r="E450" s="180"/>
      <c r="F450" s="458">
        <v>11</v>
      </c>
      <c r="G450" s="164"/>
      <c r="H450" s="169">
        <f t="shared" si="22"/>
        <v>0</v>
      </c>
      <c r="I450" s="173"/>
      <c r="J450" s="171"/>
      <c r="K450" s="149"/>
      <c r="L450" s="149"/>
      <c r="M450" s="159"/>
      <c r="N450" s="596">
        <f t="shared" si="21"/>
        <v>405</v>
      </c>
      <c r="O450" s="176"/>
      <c r="P450" s="179">
        <f>IF(A450&lt;&gt;"", Снабжения!H450 / VLOOKUP(A450, 'Курс валют'!$A:$D, 4, 0), "")</f>
        <v>0</v>
      </c>
    </row>
    <row r="451" spans="1:16" ht="20.100000000000001" customHeight="1" x14ac:dyDescent="0.45">
      <c r="A451" s="156">
        <v>46118</v>
      </c>
      <c r="B451" s="152" t="s">
        <v>219</v>
      </c>
      <c r="C451" s="149" t="s">
        <v>59</v>
      </c>
      <c r="D451" s="159" t="s">
        <v>220</v>
      </c>
      <c r="E451" s="180">
        <v>25</v>
      </c>
      <c r="F451" s="458"/>
      <c r="G451" s="164">
        <v>27000</v>
      </c>
      <c r="H451" s="169">
        <f t="shared" si="22"/>
        <v>675000</v>
      </c>
      <c r="I451" s="173"/>
      <c r="J451" s="171"/>
      <c r="K451" s="149"/>
      <c r="L451" s="149"/>
      <c r="M451" s="159"/>
      <c r="N451" s="596">
        <f t="shared" si="21"/>
        <v>41.5</v>
      </c>
      <c r="O451" s="176"/>
      <c r="P451" s="179">
        <f>IF(A451&lt;&gt;"", Снабжения!H451 / VLOOKUP(A451, 'Курс валют'!$A:$D, 4, 0), "")</f>
        <v>56.25</v>
      </c>
    </row>
    <row r="452" spans="1:16" ht="20.100000000000001" customHeight="1" x14ac:dyDescent="0.45">
      <c r="A452" s="156">
        <v>46118</v>
      </c>
      <c r="B452" s="152" t="s">
        <v>190</v>
      </c>
      <c r="C452" s="149" t="s">
        <v>59</v>
      </c>
      <c r="D452" s="159" t="s">
        <v>187</v>
      </c>
      <c r="E452" s="180">
        <v>98</v>
      </c>
      <c r="F452" s="458"/>
      <c r="G452" s="164">
        <v>26000</v>
      </c>
      <c r="H452" s="169">
        <v>2535000</v>
      </c>
      <c r="I452" s="173"/>
      <c r="J452" s="171"/>
      <c r="K452" s="149"/>
      <c r="L452" s="149"/>
      <c r="M452" s="159"/>
      <c r="N452" s="596">
        <f t="shared" si="21"/>
        <v>80</v>
      </c>
      <c r="O452" s="176"/>
      <c r="P452" s="179">
        <f>IF(A452&lt;&gt;"", Снабжения!H452 / VLOOKUP(A452, 'Курс валют'!$A:$D, 4, 0), "")</f>
        <v>211.25</v>
      </c>
    </row>
    <row r="453" spans="1:16" ht="20.100000000000001" customHeight="1" x14ac:dyDescent="0.45">
      <c r="A453" s="156">
        <v>46118</v>
      </c>
      <c r="B453" s="152" t="s">
        <v>271</v>
      </c>
      <c r="C453" s="149" t="s">
        <v>69</v>
      </c>
      <c r="D453" s="159" t="s">
        <v>220</v>
      </c>
      <c r="E453" s="180">
        <v>50</v>
      </c>
      <c r="F453" s="458"/>
      <c r="G453" s="164">
        <v>12000</v>
      </c>
      <c r="H453" s="169">
        <f t="shared" si="22"/>
        <v>600000</v>
      </c>
      <c r="I453" s="173"/>
      <c r="J453" s="171"/>
      <c r="K453" s="149"/>
      <c r="L453" s="149"/>
      <c r="M453" s="159"/>
      <c r="N453" s="596">
        <f t="shared" si="21"/>
        <v>42</v>
      </c>
      <c r="O453" s="176"/>
      <c r="P453" s="179">
        <f>IF(A453&lt;&gt;"", Снабжения!H453 / VLOOKUP(A453, 'Курс валют'!$A:$D, 4, 0), "")</f>
        <v>50</v>
      </c>
    </row>
    <row r="454" spans="1:16" ht="20.100000000000001" customHeight="1" x14ac:dyDescent="0.45">
      <c r="A454" s="156">
        <v>46118</v>
      </c>
      <c r="B454" s="152" t="s">
        <v>221</v>
      </c>
      <c r="C454" s="149" t="s">
        <v>69</v>
      </c>
      <c r="D454" s="159" t="s">
        <v>220</v>
      </c>
      <c r="E454" s="180">
        <v>50</v>
      </c>
      <c r="F454" s="458"/>
      <c r="G454" s="164">
        <v>14000</v>
      </c>
      <c r="H454" s="169">
        <f t="shared" si="22"/>
        <v>700000</v>
      </c>
      <c r="I454" s="173"/>
      <c r="J454" s="171"/>
      <c r="K454" s="149"/>
      <c r="L454" s="149"/>
      <c r="M454" s="159"/>
      <c r="N454" s="596">
        <f t="shared" si="21"/>
        <v>87</v>
      </c>
      <c r="O454" s="176"/>
      <c r="P454" s="179">
        <f>IF(A454&lt;&gt;"", Снабжения!H454 / VLOOKUP(A454, 'Курс валют'!$A:$D, 4, 0), "")</f>
        <v>58.333333333333336</v>
      </c>
    </row>
    <row r="455" spans="1:16" ht="20.100000000000001" customHeight="1" x14ac:dyDescent="0.45">
      <c r="A455" s="156">
        <v>46118</v>
      </c>
      <c r="B455" s="152" t="s">
        <v>209</v>
      </c>
      <c r="C455" s="149" t="s">
        <v>69</v>
      </c>
      <c r="D455" s="159" t="s">
        <v>220</v>
      </c>
      <c r="E455" s="180">
        <v>100</v>
      </c>
      <c r="F455" s="458"/>
      <c r="G455" s="164">
        <v>1200</v>
      </c>
      <c r="H455" s="169">
        <f t="shared" si="22"/>
        <v>120000</v>
      </c>
      <c r="I455" s="173"/>
      <c r="J455" s="171"/>
      <c r="K455" s="149"/>
      <c r="L455" s="149"/>
      <c r="M455" s="159"/>
      <c r="N455" s="596">
        <f t="shared" si="21"/>
        <v>128</v>
      </c>
      <c r="O455" s="176"/>
      <c r="P455" s="179">
        <f>IF(A455&lt;&gt;"", Снабжения!H455 / VLOOKUP(A455, 'Курс валют'!$A:$D, 4, 0), "")</f>
        <v>10</v>
      </c>
    </row>
    <row r="456" spans="1:16" ht="20.100000000000001" customHeight="1" x14ac:dyDescent="0.45">
      <c r="A456" s="156">
        <v>46118</v>
      </c>
      <c r="B456" s="152" t="s">
        <v>208</v>
      </c>
      <c r="C456" s="149" t="s">
        <v>69</v>
      </c>
      <c r="D456" s="159" t="s">
        <v>220</v>
      </c>
      <c r="E456" s="180">
        <v>12</v>
      </c>
      <c r="F456" s="458"/>
      <c r="G456" s="164">
        <v>17000</v>
      </c>
      <c r="H456" s="169">
        <f t="shared" si="22"/>
        <v>204000</v>
      </c>
      <c r="I456" s="173"/>
      <c r="J456" s="171"/>
      <c r="K456" s="149"/>
      <c r="L456" s="149"/>
      <c r="M456" s="159"/>
      <c r="N456" s="596">
        <f t="shared" si="21"/>
        <v>10</v>
      </c>
      <c r="O456" s="176"/>
      <c r="P456" s="179">
        <f>IF(A456&lt;&gt;"", Снабжения!H456 / VLOOKUP(A456, 'Курс валют'!$A:$D, 4, 0), "")</f>
        <v>17</v>
      </c>
    </row>
    <row r="457" spans="1:16" ht="20.100000000000001" customHeight="1" x14ac:dyDescent="0.45">
      <c r="A457" s="156">
        <v>46118</v>
      </c>
      <c r="B457" s="152" t="s">
        <v>240</v>
      </c>
      <c r="C457" s="149" t="s">
        <v>69</v>
      </c>
      <c r="D457" s="159" t="s">
        <v>220</v>
      </c>
      <c r="E457" s="180">
        <v>20</v>
      </c>
      <c r="F457" s="458"/>
      <c r="G457" s="164">
        <v>13800</v>
      </c>
      <c r="H457" s="169">
        <f t="shared" si="22"/>
        <v>276000</v>
      </c>
      <c r="I457" s="173"/>
      <c r="J457" s="171"/>
      <c r="K457" s="149"/>
      <c r="L457" s="149"/>
      <c r="M457" s="159"/>
      <c r="N457" s="596">
        <f t="shared" si="21"/>
        <v>9</v>
      </c>
      <c r="O457" s="176"/>
      <c r="P457" s="179">
        <f>IF(A457&lt;&gt;"", Снабжения!H457 / VLOOKUP(A457, 'Курс валют'!$A:$D, 4, 0), "")</f>
        <v>23</v>
      </c>
    </row>
    <row r="458" spans="1:16" ht="20.100000000000001" customHeight="1" x14ac:dyDescent="0.45">
      <c r="A458" s="156">
        <v>46118</v>
      </c>
      <c r="B458" s="152" t="s">
        <v>223</v>
      </c>
      <c r="C458" s="149" t="s">
        <v>69</v>
      </c>
      <c r="D458" s="159" t="s">
        <v>220</v>
      </c>
      <c r="E458" s="180">
        <v>30</v>
      </c>
      <c r="F458" s="458"/>
      <c r="G458" s="164">
        <v>34700</v>
      </c>
      <c r="H458" s="169">
        <f t="shared" si="22"/>
        <v>1041000</v>
      </c>
      <c r="I458" s="173"/>
      <c r="J458" s="171"/>
      <c r="K458" s="149"/>
      <c r="L458" s="149"/>
      <c r="M458" s="159"/>
      <c r="N458" s="596">
        <f t="shared" si="21"/>
        <v>8</v>
      </c>
      <c r="O458" s="176"/>
      <c r="P458" s="179">
        <f>IF(A458&lt;&gt;"", Снабжения!H458 / VLOOKUP(A458, 'Курс валют'!$A:$D, 4, 0), "")</f>
        <v>86.75</v>
      </c>
    </row>
    <row r="459" spans="1:16" ht="20.100000000000001" customHeight="1" x14ac:dyDescent="0.45">
      <c r="A459" s="156">
        <v>46118</v>
      </c>
      <c r="B459" s="152" t="s">
        <v>288</v>
      </c>
      <c r="C459" s="149" t="s">
        <v>217</v>
      </c>
      <c r="D459" s="159" t="s">
        <v>220</v>
      </c>
      <c r="E459" s="180">
        <v>1</v>
      </c>
      <c r="F459" s="458"/>
      <c r="G459" s="164">
        <v>964410</v>
      </c>
      <c r="H459" s="169">
        <f t="shared" si="22"/>
        <v>964410</v>
      </c>
      <c r="I459" s="173"/>
      <c r="J459" s="171"/>
      <c r="K459" s="149"/>
      <c r="L459" s="149"/>
      <c r="M459" s="159"/>
      <c r="N459" s="596">
        <f t="shared" si="21"/>
        <v>1</v>
      </c>
      <c r="O459" s="176"/>
      <c r="P459" s="179">
        <f>IF(A459&lt;&gt;"", Снабжения!H459 / VLOOKUP(A459, 'Курс валют'!$A:$D, 4, 0), "")</f>
        <v>80.367500000000007</v>
      </c>
    </row>
    <row r="460" spans="1:16" ht="20.100000000000001" customHeight="1" x14ac:dyDescent="0.45">
      <c r="A460" s="156">
        <v>46118</v>
      </c>
      <c r="B460" s="152" t="s">
        <v>289</v>
      </c>
      <c r="C460" s="149" t="s">
        <v>69</v>
      </c>
      <c r="D460" s="159" t="s">
        <v>193</v>
      </c>
      <c r="E460" s="180">
        <v>1</v>
      </c>
      <c r="F460" s="458"/>
      <c r="G460" s="164">
        <v>4880000</v>
      </c>
      <c r="H460" s="169">
        <f t="shared" si="22"/>
        <v>4880000</v>
      </c>
      <c r="I460" s="173"/>
      <c r="J460" s="171"/>
      <c r="K460" s="149"/>
      <c r="L460" s="149"/>
      <c r="M460" s="159"/>
      <c r="N460" s="596">
        <f t="shared" si="21"/>
        <v>1</v>
      </c>
      <c r="O460" s="176"/>
      <c r="P460" s="179">
        <f>IF(A460&lt;&gt;"", Снабжения!H460 / VLOOKUP(A460, 'Курс валют'!$A:$D, 4, 0), "")</f>
        <v>406.66666666666669</v>
      </c>
    </row>
    <row r="461" spans="1:16" ht="20.100000000000001" customHeight="1" x14ac:dyDescent="0.45">
      <c r="A461" s="156">
        <v>46118</v>
      </c>
      <c r="B461" s="152" t="s">
        <v>91</v>
      </c>
      <c r="C461" s="149" t="s">
        <v>65</v>
      </c>
      <c r="D461" s="159"/>
      <c r="E461" s="180"/>
      <c r="F461" s="458"/>
      <c r="G461" s="164"/>
      <c r="H461" s="169">
        <v>130000</v>
      </c>
      <c r="I461" s="173"/>
      <c r="J461" s="171"/>
      <c r="K461" s="149"/>
      <c r="L461" s="149"/>
      <c r="M461" s="159"/>
      <c r="N461" s="596">
        <f t="shared" si="21"/>
        <v>8</v>
      </c>
      <c r="O461" s="176"/>
      <c r="P461" s="179">
        <f>IF(A461&lt;&gt;"", Снабжения!H461 / VLOOKUP(A461, 'Курс валют'!$A:$D, 4, 0), "")</f>
        <v>10.833333333333334</v>
      </c>
    </row>
    <row r="462" spans="1:16" ht="20.100000000000001" customHeight="1" x14ac:dyDescent="0.45">
      <c r="A462" s="156">
        <v>46118</v>
      </c>
      <c r="B462" s="152" t="s">
        <v>271</v>
      </c>
      <c r="C462" s="149" t="s">
        <v>69</v>
      </c>
      <c r="D462" s="159" t="s">
        <v>220</v>
      </c>
      <c r="E462" s="180"/>
      <c r="F462" s="458">
        <v>8</v>
      </c>
      <c r="G462" s="164"/>
      <c r="H462" s="169">
        <f t="shared" si="22"/>
        <v>0</v>
      </c>
      <c r="I462" s="173"/>
      <c r="J462" s="171"/>
      <c r="K462" s="149"/>
      <c r="L462" s="149"/>
      <c r="M462" s="159"/>
      <c r="N462" s="596">
        <f t="shared" ref="N462:N525" si="23">SUMIF(B:B,B462,E:E)-SUMIF(B:B,B462,F:F)</f>
        <v>42</v>
      </c>
      <c r="O462" s="176"/>
      <c r="P462" s="179">
        <f>IF(A462&lt;&gt;"", Снабжения!H462 / VLOOKUP(A462, 'Курс валют'!$A:$D, 4, 0), "")</f>
        <v>0</v>
      </c>
    </row>
    <row r="463" spans="1:16" ht="20.100000000000001" customHeight="1" x14ac:dyDescent="0.45">
      <c r="A463" s="156">
        <v>46118</v>
      </c>
      <c r="B463" s="152" t="s">
        <v>240</v>
      </c>
      <c r="C463" s="149" t="s">
        <v>69</v>
      </c>
      <c r="D463" s="159" t="s">
        <v>220</v>
      </c>
      <c r="E463" s="180"/>
      <c r="F463" s="458">
        <v>2</v>
      </c>
      <c r="G463" s="164"/>
      <c r="H463" s="169">
        <f t="shared" si="22"/>
        <v>0</v>
      </c>
      <c r="I463" s="173"/>
      <c r="J463" s="171"/>
      <c r="K463" s="149"/>
      <c r="L463" s="149"/>
      <c r="M463" s="159"/>
      <c r="N463" s="596">
        <f t="shared" si="23"/>
        <v>9</v>
      </c>
      <c r="O463" s="176"/>
      <c r="P463" s="179">
        <f>IF(A463&lt;&gt;"", Снабжения!H463 / VLOOKUP(A463, 'Курс валют'!$A:$D, 4, 0), "")</f>
        <v>0</v>
      </c>
    </row>
    <row r="464" spans="1:16" ht="20.100000000000001" customHeight="1" x14ac:dyDescent="0.45">
      <c r="A464" s="156">
        <v>46118</v>
      </c>
      <c r="B464" s="152" t="s">
        <v>274</v>
      </c>
      <c r="C464" s="149" t="s">
        <v>69</v>
      </c>
      <c r="D464" s="159" t="s">
        <v>220</v>
      </c>
      <c r="E464" s="180"/>
      <c r="F464" s="458">
        <v>1</v>
      </c>
      <c r="G464" s="164"/>
      <c r="H464" s="169">
        <f t="shared" si="22"/>
        <v>0</v>
      </c>
      <c r="I464" s="173"/>
      <c r="J464" s="171"/>
      <c r="K464" s="149"/>
      <c r="L464" s="149"/>
      <c r="M464" s="159"/>
      <c r="N464" s="596">
        <f t="shared" si="23"/>
        <v>7</v>
      </c>
      <c r="O464" s="176"/>
      <c r="P464" s="179">
        <f>IF(A464&lt;&gt;"", Снабжения!H464 / VLOOKUP(A464, 'Курс валют'!$A:$D, 4, 0), "")</f>
        <v>0</v>
      </c>
    </row>
    <row r="465" spans="1:16" ht="20.100000000000001" customHeight="1" x14ac:dyDescent="0.45">
      <c r="A465" s="156">
        <v>46118</v>
      </c>
      <c r="B465" s="152" t="s">
        <v>263</v>
      </c>
      <c r="C465" s="149" t="s">
        <v>69</v>
      </c>
      <c r="D465" s="159" t="s">
        <v>220</v>
      </c>
      <c r="E465" s="180"/>
      <c r="F465" s="458">
        <v>2</v>
      </c>
      <c r="G465" s="164"/>
      <c r="H465" s="169">
        <f t="shared" si="22"/>
        <v>0</v>
      </c>
      <c r="I465" s="173"/>
      <c r="J465" s="171"/>
      <c r="K465" s="149"/>
      <c r="L465" s="149"/>
      <c r="M465" s="159"/>
      <c r="N465" s="596">
        <f t="shared" si="23"/>
        <v>18</v>
      </c>
      <c r="O465" s="176"/>
      <c r="P465" s="179">
        <f>IF(A465&lt;&gt;"", Снабжения!H465 / VLOOKUP(A465, 'Курс валют'!$A:$D, 4, 0), "")</f>
        <v>0</v>
      </c>
    </row>
    <row r="466" spans="1:16" ht="20.100000000000001" customHeight="1" x14ac:dyDescent="0.45">
      <c r="A466" s="156">
        <v>46118</v>
      </c>
      <c r="B466" s="152" t="s">
        <v>253</v>
      </c>
      <c r="C466" s="149" t="s">
        <v>69</v>
      </c>
      <c r="D466" s="159" t="s">
        <v>220</v>
      </c>
      <c r="E466" s="180"/>
      <c r="F466" s="458">
        <v>2</v>
      </c>
      <c r="G466" s="164"/>
      <c r="H466" s="169">
        <f t="shared" si="22"/>
        <v>0</v>
      </c>
      <c r="I466" s="173"/>
      <c r="J466" s="171"/>
      <c r="K466" s="149"/>
      <c r="L466" s="149"/>
      <c r="M466" s="159"/>
      <c r="N466" s="596">
        <f t="shared" si="23"/>
        <v>8</v>
      </c>
      <c r="O466" s="176"/>
      <c r="P466" s="179">
        <f>IF(A466&lt;&gt;"", Снабжения!H466 / VLOOKUP(A466, 'Курс валют'!$A:$D, 4, 0), "")</f>
        <v>0</v>
      </c>
    </row>
    <row r="467" spans="1:16" ht="20.100000000000001" customHeight="1" x14ac:dyDescent="0.45">
      <c r="A467" s="156">
        <v>46118</v>
      </c>
      <c r="B467" s="152" t="s">
        <v>188</v>
      </c>
      <c r="C467" s="149" t="s">
        <v>59</v>
      </c>
      <c r="D467" s="159" t="s">
        <v>187</v>
      </c>
      <c r="E467" s="180"/>
      <c r="F467" s="458">
        <v>2</v>
      </c>
      <c r="G467" s="164"/>
      <c r="H467" s="169">
        <f t="shared" si="22"/>
        <v>0</v>
      </c>
      <c r="I467" s="173"/>
      <c r="J467" s="171"/>
      <c r="K467" s="149"/>
      <c r="L467" s="149"/>
      <c r="M467" s="159"/>
      <c r="N467" s="596">
        <f t="shared" si="23"/>
        <v>20</v>
      </c>
      <c r="O467" s="176"/>
      <c r="P467" s="179">
        <f>IF(A467&lt;&gt;"", Снабжения!H467 / VLOOKUP(A467, 'Курс валют'!$A:$D, 4, 0), "")</f>
        <v>0</v>
      </c>
    </row>
    <row r="468" spans="1:16" ht="20.100000000000001" customHeight="1" x14ac:dyDescent="0.45">
      <c r="A468" s="156">
        <v>46118</v>
      </c>
      <c r="B468" s="152" t="s">
        <v>209</v>
      </c>
      <c r="C468" s="149" t="s">
        <v>69</v>
      </c>
      <c r="D468" s="159" t="s">
        <v>220</v>
      </c>
      <c r="E468" s="180"/>
      <c r="F468" s="458">
        <v>1</v>
      </c>
      <c r="G468" s="164"/>
      <c r="H468" s="169">
        <f t="shared" si="22"/>
        <v>0</v>
      </c>
      <c r="I468" s="173"/>
      <c r="J468" s="171"/>
      <c r="K468" s="149"/>
      <c r="L468" s="149"/>
      <c r="M468" s="159"/>
      <c r="N468" s="596">
        <f t="shared" si="23"/>
        <v>128</v>
      </c>
      <c r="O468" s="176"/>
      <c r="P468" s="179">
        <f>IF(A468&lt;&gt;"", Снабжения!H468 / VLOOKUP(A468, 'Курс валют'!$A:$D, 4, 0), "")</f>
        <v>0</v>
      </c>
    </row>
    <row r="469" spans="1:16" ht="20.100000000000001" customHeight="1" x14ac:dyDescent="0.45">
      <c r="A469" s="156">
        <v>46118</v>
      </c>
      <c r="B469" s="152" t="s">
        <v>189</v>
      </c>
      <c r="C469" s="149" t="s">
        <v>69</v>
      </c>
      <c r="D469" s="159" t="s">
        <v>220</v>
      </c>
      <c r="E469" s="180"/>
      <c r="F469" s="458">
        <v>1</v>
      </c>
      <c r="G469" s="164"/>
      <c r="H469" s="169">
        <f t="shared" si="22"/>
        <v>0</v>
      </c>
      <c r="I469" s="173"/>
      <c r="J469" s="171"/>
      <c r="K469" s="149"/>
      <c r="L469" s="149"/>
      <c r="M469" s="159"/>
      <c r="N469" s="596">
        <f t="shared" si="23"/>
        <v>309</v>
      </c>
      <c r="O469" s="176"/>
      <c r="P469" s="179">
        <f>IF(A469&lt;&gt;"", Снабжения!H469 / VLOOKUP(A469, 'Курс валют'!$A:$D, 4, 0), "")</f>
        <v>0</v>
      </c>
    </row>
    <row r="470" spans="1:16" ht="20.100000000000001" customHeight="1" x14ac:dyDescent="0.45">
      <c r="A470" s="156">
        <v>46119</v>
      </c>
      <c r="B470" s="152" t="s">
        <v>189</v>
      </c>
      <c r="C470" s="149" t="s">
        <v>69</v>
      </c>
      <c r="D470" s="159" t="s">
        <v>220</v>
      </c>
      <c r="E470" s="180"/>
      <c r="F470" s="458">
        <v>30</v>
      </c>
      <c r="G470" s="164"/>
      <c r="H470" s="169">
        <f t="shared" si="22"/>
        <v>0</v>
      </c>
      <c r="I470" s="173"/>
      <c r="J470" s="171"/>
      <c r="K470" s="149"/>
      <c r="L470" s="149"/>
      <c r="M470" s="159"/>
      <c r="N470" s="596">
        <f t="shared" si="23"/>
        <v>309</v>
      </c>
      <c r="O470" s="176"/>
      <c r="P470" s="179">
        <f>IF(A470&lt;&gt;"", Снабжения!H470 / VLOOKUP(A470, 'Курс валют'!$A:$D, 4, 0), "")</f>
        <v>0</v>
      </c>
    </row>
    <row r="471" spans="1:16" ht="20.100000000000001" customHeight="1" x14ac:dyDescent="0.45">
      <c r="A471" s="156">
        <v>46119</v>
      </c>
      <c r="B471" s="152" t="s">
        <v>208</v>
      </c>
      <c r="C471" s="149" t="s">
        <v>69</v>
      </c>
      <c r="D471" s="159" t="s">
        <v>220</v>
      </c>
      <c r="E471" s="180"/>
      <c r="F471" s="458">
        <v>1</v>
      </c>
      <c r="G471" s="164"/>
      <c r="H471" s="169">
        <f t="shared" si="22"/>
        <v>0</v>
      </c>
      <c r="I471" s="173"/>
      <c r="J471" s="171"/>
      <c r="K471" s="149"/>
      <c r="L471" s="149"/>
      <c r="M471" s="159"/>
      <c r="N471" s="596">
        <f t="shared" si="23"/>
        <v>10</v>
      </c>
      <c r="O471" s="176"/>
      <c r="P471" s="179">
        <f>IF(A471&lt;&gt;"", Снабжения!H471 / VLOOKUP(A471, 'Курс валют'!$A:$D, 4, 0), "")</f>
        <v>0</v>
      </c>
    </row>
    <row r="472" spans="1:16" ht="20.100000000000001" customHeight="1" x14ac:dyDescent="0.45">
      <c r="A472" s="156">
        <v>46119</v>
      </c>
      <c r="B472" s="152" t="s">
        <v>259</v>
      </c>
      <c r="C472" s="149" t="s">
        <v>97</v>
      </c>
      <c r="D472" s="159" t="s">
        <v>220</v>
      </c>
      <c r="E472" s="180"/>
      <c r="F472" s="458">
        <v>40</v>
      </c>
      <c r="G472" s="164"/>
      <c r="H472" s="169">
        <f t="shared" si="22"/>
        <v>0</v>
      </c>
      <c r="I472" s="173"/>
      <c r="J472" s="171"/>
      <c r="K472" s="149"/>
      <c r="L472" s="149"/>
      <c r="M472" s="159"/>
      <c r="N472" s="596">
        <f t="shared" si="23"/>
        <v>40</v>
      </c>
      <c r="O472" s="176"/>
      <c r="P472" s="179">
        <f>IF(A472&lt;&gt;"", Снабжения!H472 / VLOOKUP(A472, 'Курс валют'!$A:$D, 4, 0), "")</f>
        <v>0</v>
      </c>
    </row>
    <row r="473" spans="1:16" ht="20.100000000000001" customHeight="1" x14ac:dyDescent="0.45">
      <c r="A473" s="156">
        <v>46120</v>
      </c>
      <c r="B473" s="152" t="s">
        <v>186</v>
      </c>
      <c r="C473" s="149" t="s">
        <v>59</v>
      </c>
      <c r="D473" s="159" t="s">
        <v>187</v>
      </c>
      <c r="E473" s="180"/>
      <c r="F473" s="458">
        <v>20</v>
      </c>
      <c r="G473" s="164"/>
      <c r="H473" s="169">
        <f t="shared" si="22"/>
        <v>0</v>
      </c>
      <c r="I473" s="173"/>
      <c r="J473" s="171"/>
      <c r="K473" s="149"/>
      <c r="L473" s="149"/>
      <c r="M473" s="159"/>
      <c r="N473" s="596">
        <f t="shared" si="23"/>
        <v>40</v>
      </c>
      <c r="O473" s="176"/>
      <c r="P473" s="179">
        <f>IF(A473&lt;&gt;"", Снабжения!H473 / VLOOKUP(A473, 'Курс валют'!$A:$D, 4, 0), "")</f>
        <v>0</v>
      </c>
    </row>
    <row r="474" spans="1:16" ht="20.100000000000001" customHeight="1" x14ac:dyDescent="0.45">
      <c r="A474" s="156">
        <v>46120</v>
      </c>
      <c r="B474" s="152" t="s">
        <v>209</v>
      </c>
      <c r="C474" s="149" t="s">
        <v>69</v>
      </c>
      <c r="D474" s="159" t="s">
        <v>220</v>
      </c>
      <c r="E474" s="180"/>
      <c r="F474" s="458">
        <v>3</v>
      </c>
      <c r="G474" s="164"/>
      <c r="H474" s="169">
        <f t="shared" si="22"/>
        <v>0</v>
      </c>
      <c r="I474" s="173"/>
      <c r="J474" s="171"/>
      <c r="K474" s="149"/>
      <c r="L474" s="149"/>
      <c r="M474" s="159"/>
      <c r="N474" s="596">
        <f t="shared" si="23"/>
        <v>128</v>
      </c>
      <c r="O474" s="176"/>
      <c r="P474" s="179">
        <f>IF(A474&lt;&gt;"", Снабжения!H474 / VLOOKUP(A474, 'Курс валют'!$A:$D, 4, 0), "")</f>
        <v>0</v>
      </c>
    </row>
    <row r="475" spans="1:16" ht="20.100000000000001" customHeight="1" x14ac:dyDescent="0.45">
      <c r="A475" s="156">
        <v>46120</v>
      </c>
      <c r="B475" s="152" t="s">
        <v>182</v>
      </c>
      <c r="C475" s="149" t="s">
        <v>69</v>
      </c>
      <c r="D475" s="159" t="s">
        <v>220</v>
      </c>
      <c r="E475" s="180"/>
      <c r="F475" s="458">
        <v>2</v>
      </c>
      <c r="G475" s="164"/>
      <c r="H475" s="169">
        <f t="shared" si="22"/>
        <v>0</v>
      </c>
      <c r="I475" s="173"/>
      <c r="J475" s="171"/>
      <c r="K475" s="149"/>
      <c r="L475" s="149"/>
      <c r="M475" s="159"/>
      <c r="N475" s="596">
        <f t="shared" si="23"/>
        <v>22</v>
      </c>
      <c r="O475" s="176"/>
      <c r="P475" s="179">
        <f>IF(A475&lt;&gt;"", Снабжения!H475 / VLOOKUP(A475, 'Курс валют'!$A:$D, 4, 0), "")</f>
        <v>0</v>
      </c>
    </row>
    <row r="476" spans="1:16" ht="20.100000000000001" customHeight="1" x14ac:dyDescent="0.45">
      <c r="A476" s="156">
        <v>46120</v>
      </c>
      <c r="B476" s="152" t="s">
        <v>188</v>
      </c>
      <c r="C476" s="149" t="s">
        <v>59</v>
      </c>
      <c r="D476" s="159" t="s">
        <v>187</v>
      </c>
      <c r="E476" s="180"/>
      <c r="F476" s="458">
        <v>18</v>
      </c>
      <c r="G476" s="164"/>
      <c r="H476" s="169">
        <f t="shared" si="22"/>
        <v>0</v>
      </c>
      <c r="I476" s="173"/>
      <c r="J476" s="171"/>
      <c r="K476" s="149"/>
      <c r="L476" s="149"/>
      <c r="M476" s="159"/>
      <c r="N476" s="596">
        <f t="shared" si="23"/>
        <v>20</v>
      </c>
      <c r="O476" s="176"/>
      <c r="P476" s="179">
        <f>IF(A476&lt;&gt;"", Снабжения!H476 / VLOOKUP(A476, 'Курс валют'!$A:$D, 4, 0), "")</f>
        <v>0</v>
      </c>
    </row>
    <row r="477" spans="1:16" ht="20.100000000000001" customHeight="1" x14ac:dyDescent="0.45">
      <c r="A477" s="156">
        <v>46120</v>
      </c>
      <c r="B477" s="152" t="s">
        <v>290</v>
      </c>
      <c r="C477" s="149" t="s">
        <v>69</v>
      </c>
      <c r="D477" s="159" t="s">
        <v>220</v>
      </c>
      <c r="E477" s="180">
        <v>30</v>
      </c>
      <c r="F477" s="458"/>
      <c r="G477" s="164">
        <v>5000</v>
      </c>
      <c r="H477" s="169">
        <f t="shared" si="22"/>
        <v>150000</v>
      </c>
      <c r="I477" s="173"/>
      <c r="J477" s="171"/>
      <c r="K477" s="149"/>
      <c r="L477" s="149"/>
      <c r="M477" s="159"/>
      <c r="N477" s="596">
        <f t="shared" si="23"/>
        <v>15</v>
      </c>
      <c r="O477" s="176"/>
      <c r="P477" s="179">
        <f>IF(A477&lt;&gt;"", Снабжения!H477 / VLOOKUP(A477, 'Курс валют'!$A:$D, 4, 0), "")</f>
        <v>12.345679012345679</v>
      </c>
    </row>
    <row r="478" spans="1:16" ht="20.100000000000001" customHeight="1" x14ac:dyDescent="0.45">
      <c r="A478" s="156">
        <v>46120</v>
      </c>
      <c r="B478" s="152" t="s">
        <v>291</v>
      </c>
      <c r="C478" s="149" t="s">
        <v>69</v>
      </c>
      <c r="D478" s="159" t="s">
        <v>220</v>
      </c>
      <c r="E478" s="180">
        <v>10</v>
      </c>
      <c r="F478" s="458"/>
      <c r="G478" s="164">
        <v>15000</v>
      </c>
      <c r="H478" s="169">
        <f t="shared" si="22"/>
        <v>150000</v>
      </c>
      <c r="I478" s="173"/>
      <c r="J478" s="171"/>
      <c r="K478" s="149"/>
      <c r="L478" s="149"/>
      <c r="M478" s="159"/>
      <c r="N478" s="596">
        <f t="shared" si="23"/>
        <v>10</v>
      </c>
      <c r="O478" s="176"/>
      <c r="P478" s="179">
        <f>IF(A478&lt;&gt;"", Снабжения!H478 / VLOOKUP(A478, 'Курс валют'!$A:$D, 4, 0), "")</f>
        <v>12.345679012345679</v>
      </c>
    </row>
    <row r="479" spans="1:16" ht="20.100000000000001" customHeight="1" x14ac:dyDescent="0.45">
      <c r="A479" s="156">
        <v>46120</v>
      </c>
      <c r="B479" s="152" t="s">
        <v>91</v>
      </c>
      <c r="C479" s="149" t="s">
        <v>65</v>
      </c>
      <c r="D479" s="159"/>
      <c r="E479" s="180"/>
      <c r="F479" s="458"/>
      <c r="G479" s="164"/>
      <c r="H479" s="169">
        <v>46500</v>
      </c>
      <c r="I479" s="173"/>
      <c r="J479" s="171"/>
      <c r="K479" s="149"/>
      <c r="L479" s="149"/>
      <c r="M479" s="159"/>
      <c r="N479" s="596">
        <f t="shared" si="23"/>
        <v>8</v>
      </c>
      <c r="O479" s="176"/>
      <c r="P479" s="179">
        <f>IF(A479&lt;&gt;"", Снабжения!H479 / VLOOKUP(A479, 'Курс валют'!$A:$D, 4, 0), "")</f>
        <v>3.8271604938271606</v>
      </c>
    </row>
    <row r="480" spans="1:16" ht="20.100000000000001" customHeight="1" x14ac:dyDescent="0.45">
      <c r="A480" s="156">
        <v>46121</v>
      </c>
      <c r="B480" s="152" t="s">
        <v>219</v>
      </c>
      <c r="C480" s="149" t="s">
        <v>59</v>
      </c>
      <c r="D480" s="159" t="s">
        <v>220</v>
      </c>
      <c r="E480" s="180"/>
      <c r="F480" s="458">
        <v>2.5</v>
      </c>
      <c r="G480" s="164"/>
      <c r="H480" s="169">
        <f t="shared" si="22"/>
        <v>0</v>
      </c>
      <c r="I480" s="173"/>
      <c r="J480" s="171"/>
      <c r="K480" s="149"/>
      <c r="L480" s="149"/>
      <c r="M480" s="159"/>
      <c r="N480" s="596">
        <f t="shared" si="23"/>
        <v>41.5</v>
      </c>
      <c r="O480" s="176"/>
      <c r="P480" s="179">
        <f>IF(A480&lt;&gt;"", Снабжения!H480 / VLOOKUP(A480, 'Курс валют'!$A:$D, 4, 0), "")</f>
        <v>0</v>
      </c>
    </row>
    <row r="481" spans="1:16" ht="20.100000000000001" customHeight="1" x14ac:dyDescent="0.45">
      <c r="A481" s="156">
        <v>46121</v>
      </c>
      <c r="B481" s="152" t="s">
        <v>209</v>
      </c>
      <c r="C481" s="149" t="s">
        <v>69</v>
      </c>
      <c r="D481" s="159" t="s">
        <v>220</v>
      </c>
      <c r="E481" s="180"/>
      <c r="F481" s="458">
        <v>2</v>
      </c>
      <c r="G481" s="164"/>
      <c r="H481" s="169">
        <f t="shared" si="22"/>
        <v>0</v>
      </c>
      <c r="I481" s="173"/>
      <c r="J481" s="171"/>
      <c r="K481" s="149"/>
      <c r="L481" s="149"/>
      <c r="M481" s="159"/>
      <c r="N481" s="596">
        <f t="shared" si="23"/>
        <v>128</v>
      </c>
      <c r="O481" s="176"/>
      <c r="P481" s="179">
        <f>IF(A481&lt;&gt;"", Снабжения!H481 / VLOOKUP(A481, 'Курс валют'!$A:$D, 4, 0), "")</f>
        <v>0</v>
      </c>
    </row>
    <row r="482" spans="1:16" ht="20.100000000000001" customHeight="1" x14ac:dyDescent="0.45">
      <c r="A482" s="156">
        <v>46121</v>
      </c>
      <c r="B482" s="152" t="s">
        <v>182</v>
      </c>
      <c r="C482" s="149" t="s">
        <v>69</v>
      </c>
      <c r="D482" s="159" t="s">
        <v>220</v>
      </c>
      <c r="E482" s="180"/>
      <c r="F482" s="458">
        <v>1</v>
      </c>
      <c r="G482" s="164"/>
      <c r="H482" s="169">
        <f t="shared" si="22"/>
        <v>0</v>
      </c>
      <c r="I482" s="173"/>
      <c r="J482" s="171"/>
      <c r="K482" s="149"/>
      <c r="L482" s="149"/>
      <c r="M482" s="159"/>
      <c r="N482" s="596">
        <f t="shared" si="23"/>
        <v>22</v>
      </c>
      <c r="O482" s="176"/>
      <c r="P482" s="179">
        <f>IF(A482&lt;&gt;"", Снабжения!H482 / VLOOKUP(A482, 'Курс валют'!$A:$D, 4, 0), "")</f>
        <v>0</v>
      </c>
    </row>
    <row r="483" spans="1:16" ht="20.100000000000001" customHeight="1" x14ac:dyDescent="0.45">
      <c r="A483" s="156">
        <v>46121</v>
      </c>
      <c r="B483" s="152" t="s">
        <v>228</v>
      </c>
      <c r="C483" s="149" t="s">
        <v>59</v>
      </c>
      <c r="D483" s="159" t="s">
        <v>187</v>
      </c>
      <c r="E483" s="180"/>
      <c r="F483" s="458">
        <v>100</v>
      </c>
      <c r="G483" s="164"/>
      <c r="H483" s="169">
        <f t="shared" si="22"/>
        <v>0</v>
      </c>
      <c r="I483" s="173"/>
      <c r="J483" s="171"/>
      <c r="K483" s="149"/>
      <c r="L483" s="149"/>
      <c r="M483" s="159"/>
      <c r="N483" s="596">
        <f t="shared" si="23"/>
        <v>125</v>
      </c>
      <c r="O483" s="176"/>
      <c r="P483" s="179">
        <f>IF(A483&lt;&gt;"", Снабжения!H483 / VLOOKUP(A483, 'Курс валют'!$A:$D, 4, 0), "")</f>
        <v>0</v>
      </c>
    </row>
    <row r="484" spans="1:16" ht="20.100000000000001" customHeight="1" x14ac:dyDescent="0.45">
      <c r="A484" s="156">
        <v>46121</v>
      </c>
      <c r="B484" s="152" t="s">
        <v>254</v>
      </c>
      <c r="C484" s="149" t="s">
        <v>69</v>
      </c>
      <c r="D484" s="159" t="s">
        <v>220</v>
      </c>
      <c r="E484" s="180"/>
      <c r="F484" s="458">
        <v>3</v>
      </c>
      <c r="G484" s="164"/>
      <c r="H484" s="169">
        <f t="shared" si="22"/>
        <v>0</v>
      </c>
      <c r="I484" s="173"/>
      <c r="J484" s="171"/>
      <c r="K484" s="149"/>
      <c r="L484" s="149"/>
      <c r="M484" s="159"/>
      <c r="N484" s="596">
        <f t="shared" si="23"/>
        <v>33</v>
      </c>
      <c r="O484" s="176"/>
      <c r="P484" s="179">
        <f>IF(A484&lt;&gt;"", Снабжения!H484 / VLOOKUP(A484, 'Курс валют'!$A:$D, 4, 0), "")</f>
        <v>0</v>
      </c>
    </row>
    <row r="485" spans="1:16" ht="20.100000000000001" customHeight="1" x14ac:dyDescent="0.45">
      <c r="A485" s="156">
        <v>46121</v>
      </c>
      <c r="B485" s="152" t="s">
        <v>284</v>
      </c>
      <c r="C485" s="149" t="s">
        <v>69</v>
      </c>
      <c r="D485" s="159" t="s">
        <v>220</v>
      </c>
      <c r="E485" s="180"/>
      <c r="F485" s="458">
        <v>1</v>
      </c>
      <c r="G485" s="164"/>
      <c r="H485" s="169">
        <f t="shared" si="22"/>
        <v>0</v>
      </c>
      <c r="I485" s="173"/>
      <c r="J485" s="171"/>
      <c r="K485" s="149"/>
      <c r="L485" s="149"/>
      <c r="M485" s="159"/>
      <c r="N485" s="596">
        <f t="shared" si="23"/>
        <v>1</v>
      </c>
      <c r="O485" s="176"/>
      <c r="P485" s="179">
        <f>IF(A485&lt;&gt;"", Снабжения!H485 / VLOOKUP(A485, 'Курс валют'!$A:$D, 4, 0), "")</f>
        <v>0</v>
      </c>
    </row>
    <row r="486" spans="1:16" ht="20.100000000000001" customHeight="1" x14ac:dyDescent="0.45">
      <c r="A486" s="156">
        <v>46121</v>
      </c>
      <c r="B486" s="152" t="s">
        <v>230</v>
      </c>
      <c r="C486" s="149" t="s">
        <v>85</v>
      </c>
      <c r="D486" s="159" t="s">
        <v>220</v>
      </c>
      <c r="E486" s="180"/>
      <c r="F486" s="458">
        <v>100</v>
      </c>
      <c r="G486" s="164"/>
      <c r="H486" s="169">
        <f t="shared" si="22"/>
        <v>0</v>
      </c>
      <c r="I486" s="173"/>
      <c r="J486" s="171"/>
      <c r="K486" s="149"/>
      <c r="L486" s="149"/>
      <c r="M486" s="159"/>
      <c r="N486" s="596">
        <f t="shared" si="23"/>
        <v>400</v>
      </c>
      <c r="O486" s="176"/>
      <c r="P486" s="179">
        <f>IF(A486&lt;&gt;"", Снабжения!H486 / VLOOKUP(A486, 'Курс валют'!$A:$D, 4, 0), "")</f>
        <v>0</v>
      </c>
    </row>
    <row r="487" spans="1:16" ht="20.100000000000001" customHeight="1" x14ac:dyDescent="0.45">
      <c r="A487" s="156">
        <v>46122</v>
      </c>
      <c r="B487" s="152" t="s">
        <v>208</v>
      </c>
      <c r="C487" s="149" t="s">
        <v>69</v>
      </c>
      <c r="D487" s="159" t="s">
        <v>220</v>
      </c>
      <c r="E487" s="180"/>
      <c r="F487" s="458">
        <v>2</v>
      </c>
      <c r="G487" s="164"/>
      <c r="H487" s="169">
        <f t="shared" si="22"/>
        <v>0</v>
      </c>
      <c r="I487" s="173"/>
      <c r="J487" s="171"/>
      <c r="K487" s="149"/>
      <c r="L487" s="149"/>
      <c r="M487" s="159"/>
      <c r="N487" s="596">
        <f t="shared" si="23"/>
        <v>10</v>
      </c>
      <c r="O487" s="176"/>
      <c r="P487" s="179">
        <f>IF(A487&lt;&gt;"", Снабжения!H487 / VLOOKUP(A487, 'Курс валют'!$A:$D, 4, 0), "")</f>
        <v>0</v>
      </c>
    </row>
    <row r="488" spans="1:16" ht="20.100000000000001" customHeight="1" x14ac:dyDescent="0.45">
      <c r="A488" s="156">
        <v>46122</v>
      </c>
      <c r="B488" s="152" t="s">
        <v>189</v>
      </c>
      <c r="C488" s="149" t="s">
        <v>69</v>
      </c>
      <c r="D488" s="159" t="s">
        <v>220</v>
      </c>
      <c r="E488" s="180"/>
      <c r="F488" s="458">
        <v>30</v>
      </c>
      <c r="G488" s="164"/>
      <c r="H488" s="169">
        <f t="shared" si="22"/>
        <v>0</v>
      </c>
      <c r="I488" s="173"/>
      <c r="J488" s="171"/>
      <c r="K488" s="149"/>
      <c r="L488" s="149"/>
      <c r="M488" s="159"/>
      <c r="N488" s="596">
        <f t="shared" si="23"/>
        <v>309</v>
      </c>
      <c r="O488" s="176"/>
      <c r="P488" s="179">
        <f>IF(A488&lt;&gt;"", Снабжения!H488 / VLOOKUP(A488, 'Курс валют'!$A:$D, 4, 0), "")</f>
        <v>0</v>
      </c>
    </row>
    <row r="489" spans="1:16" ht="20.100000000000001" customHeight="1" x14ac:dyDescent="0.45">
      <c r="A489" s="156">
        <v>46122</v>
      </c>
      <c r="B489" s="152" t="s">
        <v>219</v>
      </c>
      <c r="C489" s="149" t="s">
        <v>59</v>
      </c>
      <c r="D489" s="159" t="s">
        <v>220</v>
      </c>
      <c r="E489" s="180"/>
      <c r="F489" s="458">
        <v>2.5</v>
      </c>
      <c r="G489" s="164"/>
      <c r="H489" s="169">
        <f t="shared" ref="H489:H500" si="24">G489*E489</f>
        <v>0</v>
      </c>
      <c r="I489" s="173"/>
      <c r="J489" s="171"/>
      <c r="K489" s="149"/>
      <c r="L489" s="149"/>
      <c r="M489" s="159"/>
      <c r="N489" s="596">
        <f t="shared" si="23"/>
        <v>41.5</v>
      </c>
      <c r="O489" s="176"/>
      <c r="P489" s="179">
        <f>IF(A489&lt;&gt;"", Снабжения!H489 / VLOOKUP(A489, 'Курс валют'!$A:$D, 4, 0), "")</f>
        <v>0</v>
      </c>
    </row>
    <row r="490" spans="1:16" ht="20.100000000000001" customHeight="1" x14ac:dyDescent="0.45">
      <c r="A490" s="156">
        <v>46122</v>
      </c>
      <c r="B490" s="152" t="s">
        <v>209</v>
      </c>
      <c r="C490" s="149" t="s">
        <v>69</v>
      </c>
      <c r="D490" s="159" t="s">
        <v>220</v>
      </c>
      <c r="E490" s="180"/>
      <c r="F490" s="458">
        <v>2</v>
      </c>
      <c r="G490" s="164"/>
      <c r="H490" s="169">
        <f t="shared" si="24"/>
        <v>0</v>
      </c>
      <c r="I490" s="173"/>
      <c r="J490" s="171"/>
      <c r="K490" s="149"/>
      <c r="L490" s="149"/>
      <c r="M490" s="159"/>
      <c r="N490" s="596">
        <f t="shared" si="23"/>
        <v>128</v>
      </c>
      <c r="O490" s="176"/>
      <c r="P490" s="179">
        <f>IF(A490&lt;&gt;"", Снабжения!H490 / VLOOKUP(A490, 'Курс валют'!$A:$D, 4, 0), "")</f>
        <v>0</v>
      </c>
    </row>
    <row r="491" spans="1:16" ht="20.100000000000001" customHeight="1" x14ac:dyDescent="0.45">
      <c r="A491" s="156">
        <v>46122</v>
      </c>
      <c r="B491" s="152" t="s">
        <v>210</v>
      </c>
      <c r="C491" s="149" t="s">
        <v>69</v>
      </c>
      <c r="D491" s="159" t="s">
        <v>220</v>
      </c>
      <c r="E491" s="180"/>
      <c r="F491" s="458">
        <v>25</v>
      </c>
      <c r="G491" s="164"/>
      <c r="H491" s="169">
        <f t="shared" si="24"/>
        <v>0</v>
      </c>
      <c r="I491" s="173"/>
      <c r="J491" s="171"/>
      <c r="K491" s="149"/>
      <c r="L491" s="149"/>
      <c r="M491" s="159"/>
      <c r="N491" s="596">
        <f t="shared" si="23"/>
        <v>405</v>
      </c>
      <c r="O491" s="176"/>
      <c r="P491" s="179">
        <f>IF(A491&lt;&gt;"", Снабжения!H491 / VLOOKUP(A491, 'Курс валют'!$A:$D, 4, 0), "")</f>
        <v>0</v>
      </c>
    </row>
    <row r="492" spans="1:16" ht="20.100000000000001" customHeight="1" x14ac:dyDescent="0.45">
      <c r="A492" s="156">
        <v>46122</v>
      </c>
      <c r="B492" s="152" t="s">
        <v>271</v>
      </c>
      <c r="C492" s="149" t="s">
        <v>69</v>
      </c>
      <c r="D492" s="159" t="s">
        <v>220</v>
      </c>
      <c r="E492" s="180"/>
      <c r="F492" s="458">
        <v>2</v>
      </c>
      <c r="G492" s="164"/>
      <c r="H492" s="169">
        <f t="shared" si="24"/>
        <v>0</v>
      </c>
      <c r="I492" s="173"/>
      <c r="J492" s="171"/>
      <c r="K492" s="149"/>
      <c r="L492" s="149"/>
      <c r="M492" s="159"/>
      <c r="N492" s="596">
        <f t="shared" si="23"/>
        <v>42</v>
      </c>
      <c r="O492" s="176"/>
      <c r="P492" s="179">
        <f>IF(A492&lt;&gt;"", Снабжения!H492 / VLOOKUP(A492, 'Курс валют'!$A:$D, 4, 0), "")</f>
        <v>0</v>
      </c>
    </row>
    <row r="493" spans="1:16" ht="20.100000000000001" customHeight="1" x14ac:dyDescent="0.45">
      <c r="A493" s="156">
        <v>46122</v>
      </c>
      <c r="B493" s="152" t="s">
        <v>191</v>
      </c>
      <c r="C493" s="149" t="s">
        <v>69</v>
      </c>
      <c r="D493" s="159" t="s">
        <v>220</v>
      </c>
      <c r="E493" s="180"/>
      <c r="F493" s="458">
        <v>2</v>
      </c>
      <c r="G493" s="164"/>
      <c r="H493" s="169">
        <f t="shared" si="24"/>
        <v>0</v>
      </c>
      <c r="I493" s="173"/>
      <c r="J493" s="171"/>
      <c r="K493" s="149"/>
      <c r="L493" s="149"/>
      <c r="M493" s="159"/>
      <c r="N493" s="596">
        <f t="shared" si="23"/>
        <v>2</v>
      </c>
      <c r="O493" s="176"/>
      <c r="P493" s="179">
        <f>IF(A493&lt;&gt;"", Снабжения!H493 / VLOOKUP(A493, 'Курс валют'!$A:$D, 4, 0), "")</f>
        <v>0</v>
      </c>
    </row>
    <row r="494" spans="1:16" ht="20.100000000000001" customHeight="1" x14ac:dyDescent="0.45">
      <c r="A494" s="156">
        <v>46122</v>
      </c>
      <c r="B494" s="152" t="s">
        <v>203</v>
      </c>
      <c r="C494" s="149" t="s">
        <v>69</v>
      </c>
      <c r="D494" s="159" t="s">
        <v>204</v>
      </c>
      <c r="E494" s="180"/>
      <c r="F494" s="458">
        <v>2</v>
      </c>
      <c r="G494" s="164"/>
      <c r="H494" s="169">
        <f t="shared" si="24"/>
        <v>0</v>
      </c>
      <c r="I494" s="173"/>
      <c r="J494" s="171"/>
      <c r="K494" s="149"/>
      <c r="L494" s="149"/>
      <c r="M494" s="159"/>
      <c r="N494" s="596">
        <f t="shared" si="23"/>
        <v>11</v>
      </c>
      <c r="O494" s="176"/>
      <c r="P494" s="179">
        <f>IF(A494&lt;&gt;"", Снабжения!H494 / VLOOKUP(A494, 'Курс валют'!$A:$D, 4, 0), "")</f>
        <v>0</v>
      </c>
    </row>
    <row r="495" spans="1:16" ht="20.100000000000001" customHeight="1" x14ac:dyDescent="0.45">
      <c r="A495" s="156">
        <v>46122</v>
      </c>
      <c r="B495" s="152" t="s">
        <v>205</v>
      </c>
      <c r="C495" s="149" t="s">
        <v>69</v>
      </c>
      <c r="D495" s="159" t="s">
        <v>204</v>
      </c>
      <c r="E495" s="180"/>
      <c r="F495" s="458">
        <v>2</v>
      </c>
      <c r="G495" s="164"/>
      <c r="H495" s="169">
        <f t="shared" si="24"/>
        <v>0</v>
      </c>
      <c r="I495" s="173"/>
      <c r="J495" s="171"/>
      <c r="K495" s="149"/>
      <c r="L495" s="149"/>
      <c r="M495" s="159"/>
      <c r="N495" s="596">
        <f t="shared" si="23"/>
        <v>8</v>
      </c>
      <c r="O495" s="176"/>
      <c r="P495" s="179">
        <f>IF(A495&lt;&gt;"", Снабжения!H495 / VLOOKUP(A495, 'Курс валют'!$A:$D, 4, 0), "")</f>
        <v>0</v>
      </c>
    </row>
    <row r="496" spans="1:16" ht="20.100000000000001" customHeight="1" x14ac:dyDescent="0.45">
      <c r="A496" s="156">
        <v>46122</v>
      </c>
      <c r="B496" s="152" t="s">
        <v>196</v>
      </c>
      <c r="C496" s="149" t="s">
        <v>69</v>
      </c>
      <c r="D496" s="159" t="s">
        <v>220</v>
      </c>
      <c r="E496" s="180"/>
      <c r="F496" s="458">
        <v>1</v>
      </c>
      <c r="G496" s="164"/>
      <c r="H496" s="169">
        <f t="shared" si="24"/>
        <v>0</v>
      </c>
      <c r="I496" s="173"/>
      <c r="J496" s="171"/>
      <c r="K496" s="149"/>
      <c r="L496" s="149"/>
      <c r="M496" s="159"/>
      <c r="N496" s="596">
        <f t="shared" si="23"/>
        <v>1</v>
      </c>
      <c r="O496" s="176"/>
      <c r="P496" s="179">
        <f>IF(A496&lt;&gt;"", Снабжения!H496 / VLOOKUP(A496, 'Курс валют'!$A:$D, 4, 0), "")</f>
        <v>0</v>
      </c>
    </row>
    <row r="497" spans="1:16" ht="20.100000000000001" customHeight="1" x14ac:dyDescent="0.45">
      <c r="A497" s="156">
        <v>46122</v>
      </c>
      <c r="B497" s="152" t="s">
        <v>290</v>
      </c>
      <c r="C497" s="149" t="s">
        <v>69</v>
      </c>
      <c r="D497" s="159" t="s">
        <v>220</v>
      </c>
      <c r="E497" s="180"/>
      <c r="F497" s="458">
        <v>15</v>
      </c>
      <c r="G497" s="164"/>
      <c r="H497" s="169">
        <f t="shared" si="24"/>
        <v>0</v>
      </c>
      <c r="I497" s="173"/>
      <c r="J497" s="171"/>
      <c r="K497" s="149"/>
      <c r="L497" s="149"/>
      <c r="M497" s="159"/>
      <c r="N497" s="596">
        <f t="shared" si="23"/>
        <v>15</v>
      </c>
      <c r="O497" s="176"/>
      <c r="P497" s="179">
        <f>IF(A497&lt;&gt;"", Снабжения!H497 / VLOOKUP(A497, 'Курс валют'!$A:$D, 4, 0), "")</f>
        <v>0</v>
      </c>
    </row>
    <row r="498" spans="1:16" ht="20.100000000000001" customHeight="1" x14ac:dyDescent="0.45">
      <c r="A498" s="156">
        <v>46122</v>
      </c>
      <c r="B498" s="152" t="s">
        <v>223</v>
      </c>
      <c r="C498" s="149" t="s">
        <v>69</v>
      </c>
      <c r="D498" s="159" t="s">
        <v>220</v>
      </c>
      <c r="E498" s="180"/>
      <c r="F498" s="458">
        <v>2</v>
      </c>
      <c r="G498" s="164"/>
      <c r="H498" s="169">
        <f t="shared" si="24"/>
        <v>0</v>
      </c>
      <c r="I498" s="173"/>
      <c r="J498" s="171"/>
      <c r="K498" s="149"/>
      <c r="L498" s="149"/>
      <c r="M498" s="159"/>
      <c r="N498" s="596">
        <f t="shared" si="23"/>
        <v>8</v>
      </c>
      <c r="O498" s="176"/>
      <c r="P498" s="179">
        <f>IF(A498&lt;&gt;"", Снабжения!H498 / VLOOKUP(A498, 'Курс валют'!$A:$D, 4, 0), "")</f>
        <v>0</v>
      </c>
    </row>
    <row r="499" spans="1:16" ht="20.100000000000001" customHeight="1" x14ac:dyDescent="0.45">
      <c r="A499" s="156">
        <v>46122</v>
      </c>
      <c r="B499" s="152" t="s">
        <v>292</v>
      </c>
      <c r="C499" s="149" t="s">
        <v>59</v>
      </c>
      <c r="D499" s="159" t="s">
        <v>220</v>
      </c>
      <c r="E499" s="180">
        <v>4</v>
      </c>
      <c r="F499" s="458">
        <v>4</v>
      </c>
      <c r="G499" s="164">
        <v>80000</v>
      </c>
      <c r="H499" s="169">
        <f t="shared" si="24"/>
        <v>320000</v>
      </c>
      <c r="I499" s="173"/>
      <c r="J499" s="171"/>
      <c r="K499" s="149"/>
      <c r="L499" s="149"/>
      <c r="M499" s="159"/>
      <c r="N499" s="596">
        <f t="shared" si="23"/>
        <v>0</v>
      </c>
      <c r="O499" s="176"/>
      <c r="P499" s="179">
        <f>IF(A499&lt;&gt;"", Снабжения!H499 / VLOOKUP(A499, 'Курс валют'!$A:$D, 4, 0), "")</f>
        <v>26.229508196721312</v>
      </c>
    </row>
    <row r="500" spans="1:16" ht="20.100000000000001" customHeight="1" x14ac:dyDescent="0.45">
      <c r="A500" s="156">
        <v>46122</v>
      </c>
      <c r="B500" s="152" t="s">
        <v>293</v>
      </c>
      <c r="C500" s="149" t="s">
        <v>69</v>
      </c>
      <c r="D500" s="159" t="s">
        <v>220</v>
      </c>
      <c r="E500" s="180">
        <v>1</v>
      </c>
      <c r="F500" s="458">
        <v>1</v>
      </c>
      <c r="G500" s="164">
        <v>300000</v>
      </c>
      <c r="H500" s="169">
        <f t="shared" si="24"/>
        <v>300000</v>
      </c>
      <c r="I500" s="173"/>
      <c r="J500" s="171"/>
      <c r="K500" s="149"/>
      <c r="L500" s="149"/>
      <c r="M500" s="159"/>
      <c r="N500" s="596">
        <f t="shared" si="23"/>
        <v>0</v>
      </c>
      <c r="O500" s="176"/>
      <c r="P500" s="179">
        <f>IF(A500&lt;&gt;"", Снабжения!H500 / VLOOKUP(A500, 'Курс валют'!$A:$D, 4, 0), "")</f>
        <v>24.590163934426229</v>
      </c>
    </row>
    <row r="501" spans="1:16" ht="20.100000000000001" customHeight="1" x14ac:dyDescent="0.45">
      <c r="A501" s="156">
        <v>46122</v>
      </c>
      <c r="B501" s="152" t="s">
        <v>294</v>
      </c>
      <c r="C501" s="149" t="s">
        <v>85</v>
      </c>
      <c r="D501" s="159" t="s">
        <v>187</v>
      </c>
      <c r="E501" s="180">
        <v>108</v>
      </c>
      <c r="F501" s="458">
        <v>108</v>
      </c>
      <c r="G501" s="164" t="s">
        <v>233</v>
      </c>
      <c r="H501" s="169">
        <f>6500000+200000</f>
        <v>6700000</v>
      </c>
      <c r="I501" s="173"/>
      <c r="J501" s="171"/>
      <c r="K501" s="149"/>
      <c r="L501" s="149"/>
      <c r="M501" s="159"/>
      <c r="N501" s="596">
        <f t="shared" si="23"/>
        <v>0</v>
      </c>
      <c r="O501" s="176"/>
      <c r="P501" s="179">
        <f>IF(A501&lt;&gt;"", Снабжения!H501 / VLOOKUP(A501, 'Курс валют'!$A:$D, 4, 0), "")</f>
        <v>549.18032786885249</v>
      </c>
    </row>
    <row r="502" spans="1:16" ht="20.100000000000001" customHeight="1" x14ac:dyDescent="0.45">
      <c r="A502" s="156">
        <v>46123</v>
      </c>
      <c r="B502" s="152" t="s">
        <v>189</v>
      </c>
      <c r="C502" s="149" t="s">
        <v>69</v>
      </c>
      <c r="D502" s="159" t="s">
        <v>220</v>
      </c>
      <c r="E502" s="180"/>
      <c r="F502" s="458">
        <v>7</v>
      </c>
      <c r="G502" s="164"/>
      <c r="H502" s="169">
        <f t="shared" ref="H502:H514" si="25">G502*E502</f>
        <v>0</v>
      </c>
      <c r="I502" s="173"/>
      <c r="J502" s="171"/>
      <c r="K502" s="149"/>
      <c r="L502" s="149"/>
      <c r="M502" s="159"/>
      <c r="N502" s="596">
        <f t="shared" si="23"/>
        <v>309</v>
      </c>
      <c r="O502" s="176"/>
      <c r="P502" s="179">
        <f>IF(A502&lt;&gt;"", Снабжения!H502 / VLOOKUP(A502, 'Курс валют'!$A:$D, 4, 0), "")</f>
        <v>0</v>
      </c>
    </row>
    <row r="503" spans="1:16" ht="20.100000000000001" customHeight="1" x14ac:dyDescent="0.45">
      <c r="A503" s="156">
        <v>46123</v>
      </c>
      <c r="B503" s="152" t="s">
        <v>284</v>
      </c>
      <c r="C503" s="149" t="s">
        <v>69</v>
      </c>
      <c r="D503" s="159" t="s">
        <v>220</v>
      </c>
      <c r="E503" s="180"/>
      <c r="F503" s="458">
        <v>1</v>
      </c>
      <c r="G503" s="164"/>
      <c r="H503" s="169">
        <f t="shared" si="25"/>
        <v>0</v>
      </c>
      <c r="I503" s="173"/>
      <c r="J503" s="171"/>
      <c r="K503" s="149"/>
      <c r="L503" s="149"/>
      <c r="M503" s="159"/>
      <c r="N503" s="596">
        <f t="shared" si="23"/>
        <v>1</v>
      </c>
      <c r="O503" s="176"/>
      <c r="P503" s="179">
        <f>IF(A503&lt;&gt;"", Снабжения!H503 / VLOOKUP(A503, 'Курс валют'!$A:$D, 4, 0), "")</f>
        <v>0</v>
      </c>
    </row>
    <row r="504" spans="1:16" ht="20.100000000000001" customHeight="1" x14ac:dyDescent="0.45">
      <c r="A504" s="156">
        <v>46123</v>
      </c>
      <c r="B504" s="152" t="s">
        <v>209</v>
      </c>
      <c r="C504" s="149" t="s">
        <v>69</v>
      </c>
      <c r="D504" s="159" t="s">
        <v>220</v>
      </c>
      <c r="E504" s="180"/>
      <c r="F504" s="458">
        <v>4</v>
      </c>
      <c r="G504" s="164"/>
      <c r="H504" s="169">
        <f t="shared" si="25"/>
        <v>0</v>
      </c>
      <c r="I504" s="173"/>
      <c r="J504" s="171"/>
      <c r="K504" s="149"/>
      <c r="L504" s="149"/>
      <c r="M504" s="159"/>
      <c r="N504" s="596">
        <f t="shared" si="23"/>
        <v>128</v>
      </c>
      <c r="O504" s="176"/>
      <c r="P504" s="179">
        <f>IF(A504&lt;&gt;"", Снабжения!H504 / VLOOKUP(A504, 'Курс валют'!$A:$D, 4, 0), "")</f>
        <v>0</v>
      </c>
    </row>
    <row r="505" spans="1:16" ht="20.100000000000001" customHeight="1" x14ac:dyDescent="0.45">
      <c r="A505" s="156">
        <v>46123</v>
      </c>
      <c r="B505" s="152" t="s">
        <v>219</v>
      </c>
      <c r="C505" s="149" t="s">
        <v>59</v>
      </c>
      <c r="D505" s="159" t="s">
        <v>187</v>
      </c>
      <c r="E505" s="180"/>
      <c r="F505" s="458">
        <v>2.5</v>
      </c>
      <c r="G505" s="164"/>
      <c r="H505" s="169">
        <f t="shared" si="25"/>
        <v>0</v>
      </c>
      <c r="I505" s="173"/>
      <c r="J505" s="171"/>
      <c r="K505" s="149"/>
      <c r="L505" s="149"/>
      <c r="M505" s="159"/>
      <c r="N505" s="596">
        <f t="shared" si="23"/>
        <v>41.5</v>
      </c>
      <c r="O505" s="176"/>
      <c r="P505" s="179">
        <f>IF(A505&lt;&gt;"", Снабжения!H505 / VLOOKUP(A505, 'Курс валют'!$A:$D, 4, 0), "")</f>
        <v>0</v>
      </c>
    </row>
    <row r="506" spans="1:16" ht="20.100000000000001" customHeight="1" x14ac:dyDescent="0.45">
      <c r="A506" s="156">
        <v>46124</v>
      </c>
      <c r="B506" s="152" t="s">
        <v>209</v>
      </c>
      <c r="C506" s="149" t="s">
        <v>69</v>
      </c>
      <c r="D506" s="159" t="s">
        <v>220</v>
      </c>
      <c r="E506" s="180"/>
      <c r="F506" s="458">
        <v>4</v>
      </c>
      <c r="G506" s="164"/>
      <c r="H506" s="169">
        <f t="shared" si="25"/>
        <v>0</v>
      </c>
      <c r="I506" s="173"/>
      <c r="J506" s="171"/>
      <c r="K506" s="149"/>
      <c r="L506" s="149"/>
      <c r="M506" s="159"/>
      <c r="N506" s="596">
        <f t="shared" si="23"/>
        <v>128</v>
      </c>
      <c r="O506" s="176"/>
      <c r="P506" s="179">
        <f>IF(A506&lt;&gt;"", Снабжения!H506 / VLOOKUP(A506, 'Курс валют'!$A:$D, 4, 0), "")</f>
        <v>0</v>
      </c>
    </row>
    <row r="507" spans="1:16" ht="20.100000000000001" customHeight="1" x14ac:dyDescent="0.45">
      <c r="A507" s="156">
        <v>46124</v>
      </c>
      <c r="B507" s="152" t="s">
        <v>182</v>
      </c>
      <c r="C507" s="149" t="s">
        <v>69</v>
      </c>
      <c r="D507" s="159" t="s">
        <v>220</v>
      </c>
      <c r="E507" s="180"/>
      <c r="F507" s="458">
        <v>2</v>
      </c>
      <c r="G507" s="164"/>
      <c r="H507" s="169">
        <f t="shared" si="25"/>
        <v>0</v>
      </c>
      <c r="I507" s="173"/>
      <c r="J507" s="171"/>
      <c r="K507" s="149"/>
      <c r="L507" s="149"/>
      <c r="M507" s="159"/>
      <c r="N507" s="596">
        <f t="shared" si="23"/>
        <v>22</v>
      </c>
      <c r="O507" s="176"/>
      <c r="P507" s="179">
        <f>IF(A507&lt;&gt;"", Снабжения!H507 / VLOOKUP(A507, 'Курс валют'!$A:$D, 4, 0), "")</f>
        <v>0</v>
      </c>
    </row>
    <row r="508" spans="1:16" ht="20.100000000000001" customHeight="1" x14ac:dyDescent="0.45">
      <c r="A508" s="156">
        <v>46124</v>
      </c>
      <c r="B508" s="152" t="s">
        <v>190</v>
      </c>
      <c r="C508" s="149" t="s">
        <v>69</v>
      </c>
      <c r="D508" s="159" t="s">
        <v>187</v>
      </c>
      <c r="E508" s="180"/>
      <c r="F508" s="458">
        <v>6.8</v>
      </c>
      <c r="G508" s="164"/>
      <c r="H508" s="169">
        <f t="shared" si="25"/>
        <v>0</v>
      </c>
      <c r="I508" s="173"/>
      <c r="J508" s="171"/>
      <c r="K508" s="149"/>
      <c r="L508" s="149"/>
      <c r="M508" s="159"/>
      <c r="N508" s="596">
        <f t="shared" si="23"/>
        <v>80</v>
      </c>
      <c r="O508" s="176"/>
      <c r="P508" s="179">
        <f>IF(A508&lt;&gt;"", Снабжения!H508 / VLOOKUP(A508, 'Курс валют'!$A:$D, 4, 0), "")</f>
        <v>0</v>
      </c>
    </row>
    <row r="509" spans="1:16" ht="20.100000000000001" customHeight="1" x14ac:dyDescent="0.45">
      <c r="A509" s="156">
        <v>46124</v>
      </c>
      <c r="B509" s="152" t="s">
        <v>186</v>
      </c>
      <c r="C509" s="149" t="s">
        <v>59</v>
      </c>
      <c r="D509" s="159" t="s">
        <v>187</v>
      </c>
      <c r="E509" s="180"/>
      <c r="F509" s="458">
        <v>20</v>
      </c>
      <c r="G509" s="164"/>
      <c r="H509" s="169">
        <f t="shared" si="25"/>
        <v>0</v>
      </c>
      <c r="I509" s="173"/>
      <c r="J509" s="171"/>
      <c r="K509" s="149"/>
      <c r="L509" s="149"/>
      <c r="M509" s="159"/>
      <c r="N509" s="596">
        <f t="shared" si="23"/>
        <v>40</v>
      </c>
      <c r="O509" s="176"/>
      <c r="P509" s="179">
        <f>IF(A509&lt;&gt;"", Снабжения!H509 / VLOOKUP(A509, 'Курс валют'!$A:$D, 4, 0), "")</f>
        <v>0</v>
      </c>
    </row>
    <row r="510" spans="1:16" ht="20.100000000000001" customHeight="1" x14ac:dyDescent="0.45">
      <c r="A510" s="156">
        <v>46124</v>
      </c>
      <c r="B510" s="152" t="s">
        <v>188</v>
      </c>
      <c r="C510" s="149" t="s">
        <v>59</v>
      </c>
      <c r="D510" s="159" t="s">
        <v>187</v>
      </c>
      <c r="E510" s="180"/>
      <c r="F510" s="458">
        <v>40</v>
      </c>
      <c r="G510" s="164"/>
      <c r="H510" s="169">
        <f t="shared" si="25"/>
        <v>0</v>
      </c>
      <c r="I510" s="173"/>
      <c r="J510" s="171"/>
      <c r="K510" s="149"/>
      <c r="L510" s="149"/>
      <c r="M510" s="159"/>
      <c r="N510" s="596">
        <f t="shared" si="23"/>
        <v>20</v>
      </c>
      <c r="O510" s="176"/>
      <c r="P510" s="179">
        <f>IF(A510&lt;&gt;"", Снабжения!H510 / VLOOKUP(A510, 'Курс валют'!$A:$D, 4, 0), "")</f>
        <v>0</v>
      </c>
    </row>
    <row r="511" spans="1:16" ht="20.100000000000001" customHeight="1" x14ac:dyDescent="0.45">
      <c r="A511" s="156">
        <v>46124</v>
      </c>
      <c r="B511" s="152" t="s">
        <v>228</v>
      </c>
      <c r="C511" s="149" t="s">
        <v>59</v>
      </c>
      <c r="D511" s="159" t="s">
        <v>187</v>
      </c>
      <c r="E511" s="180"/>
      <c r="F511" s="458">
        <v>151</v>
      </c>
      <c r="G511" s="164"/>
      <c r="H511" s="169">
        <f t="shared" si="25"/>
        <v>0</v>
      </c>
      <c r="I511" s="173"/>
      <c r="J511" s="171"/>
      <c r="K511" s="149"/>
      <c r="L511" s="149"/>
      <c r="M511" s="159"/>
      <c r="N511" s="596">
        <f t="shared" si="23"/>
        <v>125</v>
      </c>
      <c r="O511" s="176"/>
      <c r="P511" s="179">
        <f>IF(A511&lt;&gt;"", Снабжения!H511 / VLOOKUP(A511, 'Курс валют'!$A:$D, 4, 0), "")</f>
        <v>0</v>
      </c>
    </row>
    <row r="512" spans="1:16" ht="20.100000000000001" customHeight="1" x14ac:dyDescent="0.45">
      <c r="A512" s="156">
        <v>46124</v>
      </c>
      <c r="B512" s="152" t="s">
        <v>189</v>
      </c>
      <c r="C512" s="149" t="s">
        <v>69</v>
      </c>
      <c r="D512" s="159" t="s">
        <v>220</v>
      </c>
      <c r="E512" s="180"/>
      <c r="F512" s="458">
        <v>2</v>
      </c>
      <c r="G512" s="164"/>
      <c r="H512" s="169">
        <f t="shared" si="25"/>
        <v>0</v>
      </c>
      <c r="I512" s="173"/>
      <c r="J512" s="171"/>
      <c r="K512" s="149"/>
      <c r="L512" s="149"/>
      <c r="M512" s="159"/>
      <c r="N512" s="596">
        <f t="shared" si="23"/>
        <v>309</v>
      </c>
      <c r="O512" s="176"/>
      <c r="P512" s="179">
        <f>IF(A512&lt;&gt;"", Снабжения!H512 / VLOOKUP(A512, 'Курс валют'!$A:$D, 4, 0), "")</f>
        <v>0</v>
      </c>
    </row>
    <row r="513" spans="1:16" ht="20.100000000000001" customHeight="1" x14ac:dyDescent="0.45">
      <c r="A513" s="156">
        <v>46124</v>
      </c>
      <c r="B513" s="152" t="s">
        <v>271</v>
      </c>
      <c r="C513" s="149" t="s">
        <v>69</v>
      </c>
      <c r="D513" s="159" t="s">
        <v>220</v>
      </c>
      <c r="E513" s="180"/>
      <c r="F513" s="458">
        <v>4</v>
      </c>
      <c r="G513" s="164"/>
      <c r="H513" s="169">
        <f t="shared" si="25"/>
        <v>0</v>
      </c>
      <c r="I513" s="173"/>
      <c r="J513" s="171"/>
      <c r="K513" s="149"/>
      <c r="L513" s="149"/>
      <c r="M513" s="159"/>
      <c r="N513" s="596">
        <f t="shared" si="23"/>
        <v>42</v>
      </c>
      <c r="O513" s="176"/>
      <c r="P513" s="179">
        <f>IF(A513&lt;&gt;"", Снабжения!H513 / VLOOKUP(A513, 'Курс валют'!$A:$D, 4, 0), "")</f>
        <v>0</v>
      </c>
    </row>
    <row r="514" spans="1:16" ht="20.100000000000001" customHeight="1" x14ac:dyDescent="0.45">
      <c r="A514" s="156">
        <v>46124</v>
      </c>
      <c r="B514" s="152" t="s">
        <v>208</v>
      </c>
      <c r="C514" s="149" t="s">
        <v>69</v>
      </c>
      <c r="D514" s="159" t="s">
        <v>220</v>
      </c>
      <c r="E514" s="180"/>
      <c r="F514" s="458">
        <v>2</v>
      </c>
      <c r="G514" s="164"/>
      <c r="H514" s="169">
        <f t="shared" si="25"/>
        <v>0</v>
      </c>
      <c r="I514" s="173"/>
      <c r="J514" s="171"/>
      <c r="K514" s="149"/>
      <c r="L514" s="149"/>
      <c r="M514" s="159"/>
      <c r="N514" s="596">
        <f t="shared" si="23"/>
        <v>10</v>
      </c>
      <c r="O514" s="176"/>
      <c r="P514" s="179">
        <f>IF(A514&lt;&gt;"", Снабжения!H514 / VLOOKUP(A514, 'Курс валют'!$A:$D, 4, 0), "")</f>
        <v>0</v>
      </c>
    </row>
    <row r="515" spans="1:16" ht="20.100000000000001" customHeight="1" x14ac:dyDescent="0.45">
      <c r="A515" s="156">
        <v>46125</v>
      </c>
      <c r="B515" s="152" t="s">
        <v>189</v>
      </c>
      <c r="C515" s="149" t="s">
        <v>69</v>
      </c>
      <c r="D515" s="159" t="s">
        <v>220</v>
      </c>
      <c r="E515" s="180">
        <v>500</v>
      </c>
      <c r="F515" s="458"/>
      <c r="G515" s="164">
        <v>3500</v>
      </c>
      <c r="H515" s="169">
        <f t="shared" ref="H515:H517" si="26">(G515*E515)*103%</f>
        <v>1802500</v>
      </c>
      <c r="I515" s="173"/>
      <c r="J515" s="171"/>
      <c r="K515" s="149"/>
      <c r="L515" s="149"/>
      <c r="M515" s="159"/>
      <c r="N515" s="596">
        <f t="shared" si="23"/>
        <v>309</v>
      </c>
      <c r="O515" s="176"/>
      <c r="P515" s="179">
        <f>IF(A515&lt;&gt;"", Снабжения!H515 / VLOOKUP(A515, 'Курс валют'!$A:$D, 4, 0), "")</f>
        <v>148.35390946502056</v>
      </c>
    </row>
    <row r="516" spans="1:16" ht="20.100000000000001" customHeight="1" x14ac:dyDescent="0.45">
      <c r="A516" s="156">
        <v>46125</v>
      </c>
      <c r="B516" s="152" t="s">
        <v>186</v>
      </c>
      <c r="C516" s="149" t="s">
        <v>59</v>
      </c>
      <c r="D516" s="159" t="s">
        <v>187</v>
      </c>
      <c r="E516" s="180">
        <v>100</v>
      </c>
      <c r="F516" s="458"/>
      <c r="G516" s="164">
        <v>9500</v>
      </c>
      <c r="H516" s="169">
        <f t="shared" si="26"/>
        <v>978500</v>
      </c>
      <c r="I516" s="173"/>
      <c r="J516" s="171"/>
      <c r="K516" s="149"/>
      <c r="L516" s="149"/>
      <c r="M516" s="159"/>
      <c r="N516" s="596">
        <f t="shared" si="23"/>
        <v>40</v>
      </c>
      <c r="O516" s="176"/>
      <c r="P516" s="179">
        <f>IF(A516&lt;&gt;"", Снабжения!H516 / VLOOKUP(A516, 'Курс валют'!$A:$D, 4, 0), "")</f>
        <v>80.534979423868307</v>
      </c>
    </row>
    <row r="517" spans="1:16" ht="20.100000000000001" customHeight="1" x14ac:dyDescent="0.45">
      <c r="A517" s="156">
        <v>46125</v>
      </c>
      <c r="B517" s="152" t="s">
        <v>188</v>
      </c>
      <c r="C517" s="149" t="s">
        <v>59</v>
      </c>
      <c r="D517" s="159" t="s">
        <v>187</v>
      </c>
      <c r="E517" s="180">
        <v>100</v>
      </c>
      <c r="F517" s="458"/>
      <c r="G517" s="164">
        <v>9500</v>
      </c>
      <c r="H517" s="169">
        <f t="shared" si="26"/>
        <v>978500</v>
      </c>
      <c r="I517" s="173"/>
      <c r="J517" s="171"/>
      <c r="K517" s="149"/>
      <c r="L517" s="149"/>
      <c r="M517" s="159"/>
      <c r="N517" s="596">
        <f t="shared" si="23"/>
        <v>20</v>
      </c>
      <c r="O517" s="176"/>
      <c r="P517" s="179">
        <f>IF(A517&lt;&gt;"", Снабжения!H517 / VLOOKUP(A517, 'Курс валют'!$A:$D, 4, 0), "")</f>
        <v>80.534979423868307</v>
      </c>
    </row>
    <row r="518" spans="1:16" ht="20.100000000000001" customHeight="1" x14ac:dyDescent="0.45">
      <c r="A518" s="156">
        <v>46125</v>
      </c>
      <c r="B518" s="152" t="s">
        <v>91</v>
      </c>
      <c r="C518" s="149" t="s">
        <v>65</v>
      </c>
      <c r="D518" s="159"/>
      <c r="E518" s="180"/>
      <c r="F518" s="458"/>
      <c r="G518" s="164"/>
      <c r="H518" s="169">
        <f>250000*103%</f>
        <v>257500</v>
      </c>
      <c r="I518" s="173"/>
      <c r="J518" s="171"/>
      <c r="K518" s="149"/>
      <c r="L518" s="149"/>
      <c r="M518" s="159"/>
      <c r="N518" s="596">
        <f t="shared" si="23"/>
        <v>8</v>
      </c>
      <c r="O518" s="176"/>
      <c r="P518" s="179">
        <f>IF(A518&lt;&gt;"", Снабжения!H518 / VLOOKUP(A518, 'Курс валют'!$A:$D, 4, 0), "")</f>
        <v>21.193415637860081</v>
      </c>
    </row>
    <row r="519" spans="1:16" ht="20.100000000000001" customHeight="1" x14ac:dyDescent="0.45">
      <c r="A519" s="156">
        <v>46125</v>
      </c>
      <c r="B519" s="152" t="s">
        <v>259</v>
      </c>
      <c r="C519" s="149" t="s">
        <v>97</v>
      </c>
      <c r="D519" s="159" t="s">
        <v>220</v>
      </c>
      <c r="E519" s="180">
        <v>320</v>
      </c>
      <c r="F519" s="458"/>
      <c r="G519" s="164">
        <v>12000</v>
      </c>
      <c r="H519" s="169">
        <f>(G519*E519)*103%</f>
        <v>3955200</v>
      </c>
      <c r="I519" s="173"/>
      <c r="J519" s="171"/>
      <c r="K519" s="149"/>
      <c r="L519" s="149"/>
      <c r="M519" s="159"/>
      <c r="N519" s="596">
        <f t="shared" si="23"/>
        <v>40</v>
      </c>
      <c r="O519" s="176"/>
      <c r="P519" s="179">
        <f>IF(A519&lt;&gt;"", Снабжения!H519 / VLOOKUP(A519, 'Курс валют'!$A:$D, 4, 0), "")</f>
        <v>325.53086419753089</v>
      </c>
    </row>
    <row r="520" spans="1:16" ht="20.100000000000001" customHeight="1" x14ac:dyDescent="0.45">
      <c r="A520" s="156">
        <v>46125</v>
      </c>
      <c r="B520" s="152" t="s">
        <v>91</v>
      </c>
      <c r="C520" s="149" t="s">
        <v>65</v>
      </c>
      <c r="D520" s="159"/>
      <c r="E520" s="180"/>
      <c r="F520" s="458"/>
      <c r="G520" s="164"/>
      <c r="H520" s="169">
        <v>180000</v>
      </c>
      <c r="I520" s="173"/>
      <c r="J520" s="171"/>
      <c r="K520" s="149"/>
      <c r="L520" s="149"/>
      <c r="M520" s="159"/>
      <c r="N520" s="596">
        <f t="shared" si="23"/>
        <v>8</v>
      </c>
      <c r="O520" s="176"/>
      <c r="P520" s="179">
        <f>IF(A520&lt;&gt;"", Снабжения!H520 / VLOOKUP(A520, 'Курс валют'!$A:$D, 4, 0), "")</f>
        <v>14.814814814814815</v>
      </c>
    </row>
    <row r="521" spans="1:16" ht="20.100000000000001" customHeight="1" x14ac:dyDescent="0.45">
      <c r="A521" s="156">
        <v>46125</v>
      </c>
      <c r="B521" s="152" t="s">
        <v>259</v>
      </c>
      <c r="C521" s="149" t="s">
        <v>97</v>
      </c>
      <c r="D521" s="159" t="s">
        <v>220</v>
      </c>
      <c r="E521" s="180"/>
      <c r="F521" s="458">
        <v>40</v>
      </c>
      <c r="G521" s="164"/>
      <c r="H521" s="169">
        <f t="shared" ref="H521:H584" si="27">G521*E521</f>
        <v>0</v>
      </c>
      <c r="I521" s="173"/>
      <c r="J521" s="171"/>
      <c r="K521" s="149"/>
      <c r="L521" s="149"/>
      <c r="M521" s="159"/>
      <c r="N521" s="596">
        <f t="shared" si="23"/>
        <v>40</v>
      </c>
      <c r="O521" s="176"/>
      <c r="P521" s="179">
        <f>IF(A521&lt;&gt;"", Снабжения!H521 / VLOOKUP(A521, 'Курс валют'!$A:$D, 4, 0), "")</f>
        <v>0</v>
      </c>
    </row>
    <row r="522" spans="1:16" ht="20.100000000000001" customHeight="1" x14ac:dyDescent="0.45">
      <c r="A522" s="156">
        <v>46125</v>
      </c>
      <c r="B522" s="152" t="s">
        <v>219</v>
      </c>
      <c r="C522" s="149" t="s">
        <v>59</v>
      </c>
      <c r="D522" s="159" t="s">
        <v>220</v>
      </c>
      <c r="E522" s="180"/>
      <c r="F522" s="458">
        <v>2.5</v>
      </c>
      <c r="G522" s="164"/>
      <c r="H522" s="169">
        <f t="shared" si="27"/>
        <v>0</v>
      </c>
      <c r="I522" s="173"/>
      <c r="J522" s="171"/>
      <c r="K522" s="149"/>
      <c r="L522" s="149"/>
      <c r="M522" s="159"/>
      <c r="N522" s="596">
        <f t="shared" si="23"/>
        <v>41.5</v>
      </c>
      <c r="O522" s="176"/>
      <c r="P522" s="179">
        <f>IF(A522&lt;&gt;"", Снабжения!H522 / VLOOKUP(A522, 'Курс валют'!$A:$D, 4, 0), "")</f>
        <v>0</v>
      </c>
    </row>
    <row r="523" spans="1:16" ht="20.100000000000001" customHeight="1" x14ac:dyDescent="0.45">
      <c r="A523" s="156">
        <v>46125</v>
      </c>
      <c r="B523" s="152" t="s">
        <v>209</v>
      </c>
      <c r="C523" s="149" t="s">
        <v>69</v>
      </c>
      <c r="D523" s="159" t="s">
        <v>220</v>
      </c>
      <c r="E523" s="180"/>
      <c r="F523" s="458">
        <v>2</v>
      </c>
      <c r="G523" s="164"/>
      <c r="H523" s="169">
        <f t="shared" si="27"/>
        <v>0</v>
      </c>
      <c r="I523" s="173"/>
      <c r="J523" s="171"/>
      <c r="K523" s="149"/>
      <c r="L523" s="149"/>
      <c r="M523" s="159"/>
      <c r="N523" s="596">
        <f t="shared" si="23"/>
        <v>128</v>
      </c>
      <c r="O523" s="176"/>
      <c r="P523" s="179">
        <f>IF(A523&lt;&gt;"", Снабжения!H523 / VLOOKUP(A523, 'Курс валют'!$A:$D, 4, 0), "")</f>
        <v>0</v>
      </c>
    </row>
    <row r="524" spans="1:16" ht="20.100000000000001" customHeight="1" x14ac:dyDescent="0.45">
      <c r="A524" s="156">
        <v>46125</v>
      </c>
      <c r="B524" s="152" t="s">
        <v>208</v>
      </c>
      <c r="C524" s="149" t="s">
        <v>69</v>
      </c>
      <c r="D524" s="159" t="s">
        <v>220</v>
      </c>
      <c r="E524" s="180"/>
      <c r="F524" s="458">
        <v>1</v>
      </c>
      <c r="G524" s="164"/>
      <c r="H524" s="169">
        <f t="shared" si="27"/>
        <v>0</v>
      </c>
      <c r="I524" s="173"/>
      <c r="J524" s="171"/>
      <c r="K524" s="149"/>
      <c r="L524" s="149"/>
      <c r="M524" s="159"/>
      <c r="N524" s="596">
        <f t="shared" si="23"/>
        <v>10</v>
      </c>
      <c r="O524" s="176"/>
      <c r="P524" s="179">
        <f>IF(A524&lt;&gt;"", Снабжения!H524 / VLOOKUP(A524, 'Курс валют'!$A:$D, 4, 0), "")</f>
        <v>0</v>
      </c>
    </row>
    <row r="525" spans="1:16" ht="20.100000000000001" customHeight="1" x14ac:dyDescent="0.45">
      <c r="A525" s="156">
        <v>46125</v>
      </c>
      <c r="B525" s="152" t="s">
        <v>263</v>
      </c>
      <c r="C525" s="149" t="s">
        <v>69</v>
      </c>
      <c r="D525" s="159" t="s">
        <v>220</v>
      </c>
      <c r="E525" s="180"/>
      <c r="F525" s="458">
        <v>2</v>
      </c>
      <c r="G525" s="164"/>
      <c r="H525" s="169">
        <f t="shared" si="27"/>
        <v>0</v>
      </c>
      <c r="I525" s="173"/>
      <c r="J525" s="171"/>
      <c r="K525" s="149"/>
      <c r="L525" s="149"/>
      <c r="M525" s="159"/>
      <c r="N525" s="596">
        <f t="shared" si="23"/>
        <v>18</v>
      </c>
      <c r="O525" s="176"/>
      <c r="P525" s="179">
        <f>IF(A525&lt;&gt;"", Снабжения!H525 / VLOOKUP(A525, 'Курс валют'!$A:$D, 4, 0), "")</f>
        <v>0</v>
      </c>
    </row>
    <row r="526" spans="1:16" ht="20.100000000000001" customHeight="1" x14ac:dyDescent="0.45">
      <c r="A526" s="156">
        <v>46125</v>
      </c>
      <c r="B526" s="152" t="s">
        <v>190</v>
      </c>
      <c r="C526" s="149" t="s">
        <v>59</v>
      </c>
      <c r="D526" s="159" t="s">
        <v>187</v>
      </c>
      <c r="E526" s="180"/>
      <c r="F526" s="458">
        <v>3</v>
      </c>
      <c r="G526" s="164"/>
      <c r="H526" s="169">
        <f t="shared" si="27"/>
        <v>0</v>
      </c>
      <c r="I526" s="173"/>
      <c r="J526" s="171"/>
      <c r="K526" s="149"/>
      <c r="L526" s="149"/>
      <c r="M526" s="159"/>
      <c r="N526" s="596">
        <f t="shared" ref="N526:N589" si="28">SUMIF(B:B,B526,E:E)-SUMIF(B:B,B526,F:F)</f>
        <v>80</v>
      </c>
      <c r="O526" s="176"/>
      <c r="P526" s="179">
        <f>IF(A526&lt;&gt;"", Снабжения!H526 / VLOOKUP(A526, 'Курс валют'!$A:$D, 4, 0), "")</f>
        <v>0</v>
      </c>
    </row>
    <row r="527" spans="1:16" ht="20.100000000000001" customHeight="1" x14ac:dyDescent="0.45">
      <c r="A527" s="156">
        <v>46125</v>
      </c>
      <c r="B527" s="152" t="s">
        <v>223</v>
      </c>
      <c r="C527" s="149" t="s">
        <v>69</v>
      </c>
      <c r="D527" s="159" t="s">
        <v>220</v>
      </c>
      <c r="E527" s="180"/>
      <c r="F527" s="458">
        <v>2</v>
      </c>
      <c r="G527" s="164"/>
      <c r="H527" s="169">
        <f t="shared" si="27"/>
        <v>0</v>
      </c>
      <c r="I527" s="173"/>
      <c r="J527" s="171"/>
      <c r="K527" s="149"/>
      <c r="L527" s="149"/>
      <c r="M527" s="159"/>
      <c r="N527" s="596">
        <f t="shared" si="28"/>
        <v>8</v>
      </c>
      <c r="O527" s="176"/>
      <c r="P527" s="179">
        <f>IF(A527&lt;&gt;"", Снабжения!H527 / VLOOKUP(A527, 'Курс валют'!$A:$D, 4, 0), "")</f>
        <v>0</v>
      </c>
    </row>
    <row r="528" spans="1:16" ht="20.100000000000001" customHeight="1" x14ac:dyDescent="0.45">
      <c r="A528" s="156">
        <v>46125</v>
      </c>
      <c r="B528" s="152" t="s">
        <v>228</v>
      </c>
      <c r="C528" s="149" t="s">
        <v>59</v>
      </c>
      <c r="D528" s="159" t="s">
        <v>187</v>
      </c>
      <c r="E528" s="180"/>
      <c r="F528" s="458">
        <v>25</v>
      </c>
      <c r="G528" s="164"/>
      <c r="H528" s="169">
        <f t="shared" si="27"/>
        <v>0</v>
      </c>
      <c r="I528" s="173"/>
      <c r="J528" s="171"/>
      <c r="K528" s="149"/>
      <c r="L528" s="149"/>
      <c r="M528" s="159"/>
      <c r="N528" s="596">
        <f t="shared" si="28"/>
        <v>125</v>
      </c>
      <c r="O528" s="176"/>
      <c r="P528" s="179">
        <f>IF(A528&lt;&gt;"", Снабжения!H528 / VLOOKUP(A528, 'Курс валют'!$A:$D, 4, 0), "")</f>
        <v>0</v>
      </c>
    </row>
    <row r="529" spans="1:16" ht="20.100000000000001" customHeight="1" x14ac:dyDescent="0.45">
      <c r="A529" s="156">
        <v>46126</v>
      </c>
      <c r="B529" s="152" t="s">
        <v>189</v>
      </c>
      <c r="C529" s="149" t="s">
        <v>69</v>
      </c>
      <c r="D529" s="159" t="s">
        <v>220</v>
      </c>
      <c r="E529" s="180"/>
      <c r="F529" s="458">
        <v>44</v>
      </c>
      <c r="G529" s="164"/>
      <c r="H529" s="169">
        <f t="shared" si="27"/>
        <v>0</v>
      </c>
      <c r="I529" s="173"/>
      <c r="J529" s="171"/>
      <c r="K529" s="149"/>
      <c r="L529" s="149"/>
      <c r="M529" s="159"/>
      <c r="N529" s="596">
        <f t="shared" si="28"/>
        <v>309</v>
      </c>
      <c r="O529" s="176"/>
      <c r="P529" s="179">
        <f>IF(A529&lt;&gt;"", Снабжения!H529 / VLOOKUP(A529, 'Курс валют'!$A:$D, 4, 0), "")</f>
        <v>0</v>
      </c>
    </row>
    <row r="530" spans="1:16" ht="20.100000000000001" customHeight="1" x14ac:dyDescent="0.45">
      <c r="A530" s="156">
        <v>46126</v>
      </c>
      <c r="B530" s="152" t="s">
        <v>254</v>
      </c>
      <c r="C530" s="149" t="s">
        <v>69</v>
      </c>
      <c r="D530" s="159" t="s">
        <v>220</v>
      </c>
      <c r="E530" s="180"/>
      <c r="F530" s="458">
        <v>10</v>
      </c>
      <c r="G530" s="164"/>
      <c r="H530" s="169">
        <f t="shared" si="27"/>
        <v>0</v>
      </c>
      <c r="I530" s="173"/>
      <c r="J530" s="171"/>
      <c r="K530" s="149"/>
      <c r="L530" s="149"/>
      <c r="M530" s="159"/>
      <c r="N530" s="596">
        <f t="shared" si="28"/>
        <v>33</v>
      </c>
      <c r="O530" s="176"/>
      <c r="P530" s="179">
        <f>IF(A530&lt;&gt;"", Снабжения!H530 / VLOOKUP(A530, 'Курс валют'!$A:$D, 4, 0), "")</f>
        <v>0</v>
      </c>
    </row>
    <row r="531" spans="1:16" ht="20.100000000000001" customHeight="1" x14ac:dyDescent="0.45">
      <c r="A531" s="156">
        <v>46126</v>
      </c>
      <c r="B531" s="152" t="s">
        <v>209</v>
      </c>
      <c r="C531" s="149" t="s">
        <v>69</v>
      </c>
      <c r="D531" s="159" t="s">
        <v>220</v>
      </c>
      <c r="E531" s="180"/>
      <c r="F531" s="458">
        <v>2</v>
      </c>
      <c r="G531" s="164"/>
      <c r="H531" s="169">
        <f t="shared" si="27"/>
        <v>0</v>
      </c>
      <c r="I531" s="173"/>
      <c r="J531" s="171"/>
      <c r="K531" s="149"/>
      <c r="L531" s="149"/>
      <c r="M531" s="159"/>
      <c r="N531" s="596">
        <f t="shared" si="28"/>
        <v>128</v>
      </c>
      <c r="O531" s="176"/>
      <c r="P531" s="179">
        <f>IF(A531&lt;&gt;"", Снабжения!H531 / VLOOKUP(A531, 'Курс валют'!$A:$D, 4, 0), "")</f>
        <v>0</v>
      </c>
    </row>
    <row r="532" spans="1:16" ht="20.100000000000001" customHeight="1" x14ac:dyDescent="0.45">
      <c r="A532" s="156">
        <v>46126</v>
      </c>
      <c r="B532" s="152" t="s">
        <v>210</v>
      </c>
      <c r="C532" s="149" t="s">
        <v>69</v>
      </c>
      <c r="D532" s="159" t="s">
        <v>220</v>
      </c>
      <c r="E532" s="180"/>
      <c r="F532" s="458">
        <v>100</v>
      </c>
      <c r="G532" s="164"/>
      <c r="H532" s="169">
        <f t="shared" si="27"/>
        <v>0</v>
      </c>
      <c r="I532" s="173"/>
      <c r="J532" s="171"/>
      <c r="K532" s="149"/>
      <c r="L532" s="149"/>
      <c r="M532" s="159"/>
      <c r="N532" s="596">
        <f t="shared" si="28"/>
        <v>405</v>
      </c>
      <c r="O532" s="176"/>
      <c r="P532" s="179">
        <f>IF(A532&lt;&gt;"", Снабжения!H532 / VLOOKUP(A532, 'Курс валют'!$A:$D, 4, 0), "")</f>
        <v>0</v>
      </c>
    </row>
    <row r="533" spans="1:16" ht="20.100000000000001" customHeight="1" x14ac:dyDescent="0.45">
      <c r="A533" s="156">
        <v>46126</v>
      </c>
      <c r="B533" s="152" t="s">
        <v>228</v>
      </c>
      <c r="C533" s="149" t="s">
        <v>59</v>
      </c>
      <c r="D533" s="159" t="s">
        <v>187</v>
      </c>
      <c r="E533" s="180"/>
      <c r="F533" s="458">
        <v>100</v>
      </c>
      <c r="G533" s="164"/>
      <c r="H533" s="169">
        <f t="shared" si="27"/>
        <v>0</v>
      </c>
      <c r="I533" s="173"/>
      <c r="J533" s="171"/>
      <c r="K533" s="149"/>
      <c r="L533" s="149"/>
      <c r="M533" s="159"/>
      <c r="N533" s="596">
        <f t="shared" si="28"/>
        <v>125</v>
      </c>
      <c r="O533" s="176"/>
      <c r="P533" s="179">
        <f>IF(A533&lt;&gt;"", Снабжения!H533 / VLOOKUP(A533, 'Курс валют'!$A:$D, 4, 0), "")</f>
        <v>0</v>
      </c>
    </row>
    <row r="534" spans="1:16" ht="20.100000000000001" customHeight="1" x14ac:dyDescent="0.45">
      <c r="A534" s="156">
        <v>46126</v>
      </c>
      <c r="B534" s="152" t="s">
        <v>283</v>
      </c>
      <c r="C534" s="149" t="s">
        <v>127</v>
      </c>
      <c r="D534" s="159" t="s">
        <v>220</v>
      </c>
      <c r="E534" s="180"/>
      <c r="F534" s="458">
        <v>2</v>
      </c>
      <c r="G534" s="164"/>
      <c r="H534" s="169">
        <f t="shared" si="27"/>
        <v>0</v>
      </c>
      <c r="I534" s="173"/>
      <c r="J534" s="171"/>
      <c r="K534" s="149"/>
      <c r="L534" s="149"/>
      <c r="M534" s="159"/>
      <c r="N534" s="596">
        <f t="shared" si="28"/>
        <v>18</v>
      </c>
      <c r="O534" s="176"/>
      <c r="P534" s="179">
        <f>IF(A534&lt;&gt;"", Снабжения!H534 / VLOOKUP(A534, 'Курс валют'!$A:$D, 4, 0), "")</f>
        <v>0</v>
      </c>
    </row>
    <row r="535" spans="1:16" ht="20.100000000000001" customHeight="1" x14ac:dyDescent="0.45">
      <c r="A535" s="156">
        <v>46126</v>
      </c>
      <c r="B535" s="152" t="s">
        <v>271</v>
      </c>
      <c r="C535" s="149" t="s">
        <v>69</v>
      </c>
      <c r="D535" s="159" t="s">
        <v>220</v>
      </c>
      <c r="E535" s="180"/>
      <c r="F535" s="458">
        <v>10</v>
      </c>
      <c r="G535" s="164"/>
      <c r="H535" s="169">
        <f t="shared" si="27"/>
        <v>0</v>
      </c>
      <c r="I535" s="173"/>
      <c r="J535" s="171"/>
      <c r="K535" s="149"/>
      <c r="L535" s="149"/>
      <c r="M535" s="159"/>
      <c r="N535" s="596">
        <f t="shared" si="28"/>
        <v>42</v>
      </c>
      <c r="O535" s="176"/>
      <c r="P535" s="179">
        <f>IF(A535&lt;&gt;"", Снабжения!H535 / VLOOKUP(A535, 'Курс валют'!$A:$D, 4, 0), "")</f>
        <v>0</v>
      </c>
    </row>
    <row r="536" spans="1:16" ht="20.100000000000001" customHeight="1" x14ac:dyDescent="0.45">
      <c r="A536" s="156">
        <v>46126</v>
      </c>
      <c r="B536" s="152" t="s">
        <v>219</v>
      </c>
      <c r="C536" s="149" t="s">
        <v>59</v>
      </c>
      <c r="D536" s="159" t="s">
        <v>220</v>
      </c>
      <c r="E536" s="180"/>
      <c r="F536" s="458">
        <v>2.5</v>
      </c>
      <c r="G536" s="164"/>
      <c r="H536" s="169">
        <f t="shared" si="27"/>
        <v>0</v>
      </c>
      <c r="I536" s="173"/>
      <c r="J536" s="171"/>
      <c r="K536" s="149"/>
      <c r="L536" s="149"/>
      <c r="M536" s="159"/>
      <c r="N536" s="596">
        <f t="shared" si="28"/>
        <v>41.5</v>
      </c>
      <c r="O536" s="176"/>
      <c r="P536" s="179">
        <f>IF(A536&lt;&gt;"", Снабжения!H536 / VLOOKUP(A536, 'Курс валют'!$A:$D, 4, 0), "")</f>
        <v>0</v>
      </c>
    </row>
    <row r="537" spans="1:16" ht="20.100000000000001" customHeight="1" x14ac:dyDescent="0.45">
      <c r="A537" s="156">
        <v>46126</v>
      </c>
      <c r="B537" s="152" t="s">
        <v>274</v>
      </c>
      <c r="C537" s="149" t="s">
        <v>69</v>
      </c>
      <c r="D537" s="159" t="s">
        <v>220</v>
      </c>
      <c r="E537" s="180"/>
      <c r="F537" s="458">
        <v>4</v>
      </c>
      <c r="G537" s="164"/>
      <c r="H537" s="169">
        <f t="shared" si="27"/>
        <v>0</v>
      </c>
      <c r="I537" s="173"/>
      <c r="J537" s="171"/>
      <c r="K537" s="149"/>
      <c r="L537" s="149"/>
      <c r="M537" s="159"/>
      <c r="N537" s="596">
        <f t="shared" si="28"/>
        <v>7</v>
      </c>
      <c r="O537" s="176"/>
      <c r="P537" s="179">
        <f>IF(A537&lt;&gt;"", Снабжения!H537 / VLOOKUP(A537, 'Курс валют'!$A:$D, 4, 0), "")</f>
        <v>0</v>
      </c>
    </row>
    <row r="538" spans="1:16" ht="20.100000000000001" customHeight="1" x14ac:dyDescent="0.45">
      <c r="A538" s="156">
        <v>46127</v>
      </c>
      <c r="B538" s="152" t="s">
        <v>254</v>
      </c>
      <c r="C538" s="149" t="s">
        <v>69</v>
      </c>
      <c r="D538" s="159" t="s">
        <v>220</v>
      </c>
      <c r="E538" s="180"/>
      <c r="F538" s="458">
        <v>1</v>
      </c>
      <c r="G538" s="164"/>
      <c r="H538" s="169">
        <f t="shared" si="27"/>
        <v>0</v>
      </c>
      <c r="I538" s="173"/>
      <c r="J538" s="171"/>
      <c r="K538" s="149"/>
      <c r="L538" s="149"/>
      <c r="M538" s="159"/>
      <c r="N538" s="596">
        <f t="shared" si="28"/>
        <v>33</v>
      </c>
      <c r="O538" s="176"/>
      <c r="P538" s="179">
        <f>IF(A538&lt;&gt;"", Снабжения!H538 / VLOOKUP(A538, 'Курс валют'!$A:$D, 4, 0), "")</f>
        <v>0</v>
      </c>
    </row>
    <row r="539" spans="1:16" ht="20.100000000000001" customHeight="1" x14ac:dyDescent="0.45">
      <c r="A539" s="156">
        <v>46127</v>
      </c>
      <c r="B539" s="152" t="s">
        <v>228</v>
      </c>
      <c r="C539" s="149" t="s">
        <v>59</v>
      </c>
      <c r="D539" s="159" t="s">
        <v>187</v>
      </c>
      <c r="E539" s="180"/>
      <c r="F539" s="458">
        <v>75</v>
      </c>
      <c r="G539" s="164"/>
      <c r="H539" s="169">
        <f t="shared" si="27"/>
        <v>0</v>
      </c>
      <c r="I539" s="173"/>
      <c r="J539" s="171"/>
      <c r="K539" s="149"/>
      <c r="L539" s="149"/>
      <c r="M539" s="159"/>
      <c r="N539" s="596">
        <f t="shared" si="28"/>
        <v>125</v>
      </c>
      <c r="O539" s="176"/>
      <c r="P539" s="179">
        <f>IF(A539&lt;&gt;"", Снабжения!H539 / VLOOKUP(A539, 'Курс валют'!$A:$D, 4, 0), "")</f>
        <v>0</v>
      </c>
    </row>
    <row r="540" spans="1:16" ht="20.100000000000001" customHeight="1" x14ac:dyDescent="0.45">
      <c r="A540" s="156">
        <v>46127</v>
      </c>
      <c r="B540" s="152" t="s">
        <v>257</v>
      </c>
      <c r="C540" s="149" t="s">
        <v>69</v>
      </c>
      <c r="D540" s="159" t="s">
        <v>220</v>
      </c>
      <c r="E540" s="180"/>
      <c r="F540" s="458">
        <v>1</v>
      </c>
      <c r="G540" s="164"/>
      <c r="H540" s="169">
        <f t="shared" si="27"/>
        <v>0</v>
      </c>
      <c r="I540" s="173"/>
      <c r="J540" s="171"/>
      <c r="K540" s="149"/>
      <c r="L540" s="149"/>
      <c r="M540" s="159"/>
      <c r="N540" s="596">
        <f t="shared" si="28"/>
        <v>0</v>
      </c>
      <c r="O540" s="176"/>
      <c r="P540" s="179">
        <f>IF(A540&lt;&gt;"", Снабжения!H540 / VLOOKUP(A540, 'Курс валют'!$A:$D, 4, 0), "")</f>
        <v>0</v>
      </c>
    </row>
    <row r="541" spans="1:16" ht="20.100000000000001" customHeight="1" x14ac:dyDescent="0.45">
      <c r="A541" s="156">
        <v>46127</v>
      </c>
      <c r="B541" s="152" t="s">
        <v>230</v>
      </c>
      <c r="C541" s="149" t="s">
        <v>85</v>
      </c>
      <c r="D541" s="159" t="s">
        <v>220</v>
      </c>
      <c r="E541" s="180"/>
      <c r="F541" s="458">
        <v>100</v>
      </c>
      <c r="G541" s="164"/>
      <c r="H541" s="169">
        <f t="shared" si="27"/>
        <v>0</v>
      </c>
      <c r="I541" s="173"/>
      <c r="J541" s="171"/>
      <c r="K541" s="149"/>
      <c r="L541" s="149"/>
      <c r="M541" s="159"/>
      <c r="N541" s="596">
        <f t="shared" si="28"/>
        <v>400</v>
      </c>
      <c r="O541" s="176"/>
      <c r="P541" s="179">
        <f>IF(A541&lt;&gt;"", Снабжения!H541 / VLOOKUP(A541, 'Курс валют'!$A:$D, 4, 0), "")</f>
        <v>0</v>
      </c>
    </row>
    <row r="542" spans="1:16" ht="20.100000000000001" customHeight="1" x14ac:dyDescent="0.45">
      <c r="A542" s="156">
        <v>46127</v>
      </c>
      <c r="B542" s="152" t="s">
        <v>186</v>
      </c>
      <c r="C542" s="149" t="s">
        <v>59</v>
      </c>
      <c r="D542" s="159" t="s">
        <v>187</v>
      </c>
      <c r="E542" s="180"/>
      <c r="F542" s="458">
        <v>20</v>
      </c>
      <c r="G542" s="164"/>
      <c r="H542" s="169">
        <f t="shared" si="27"/>
        <v>0</v>
      </c>
      <c r="I542" s="173"/>
      <c r="J542" s="171"/>
      <c r="K542" s="149"/>
      <c r="L542" s="149"/>
      <c r="M542" s="159"/>
      <c r="N542" s="596">
        <f t="shared" si="28"/>
        <v>40</v>
      </c>
      <c r="O542" s="176"/>
      <c r="P542" s="179">
        <f>IF(A542&lt;&gt;"", Снабжения!H542 / VLOOKUP(A542, 'Курс валют'!$A:$D, 4, 0), "")</f>
        <v>0</v>
      </c>
    </row>
    <row r="543" spans="1:16" ht="20.100000000000001" customHeight="1" x14ac:dyDescent="0.45">
      <c r="A543" s="156">
        <v>46127</v>
      </c>
      <c r="B543" s="152" t="s">
        <v>190</v>
      </c>
      <c r="C543" s="149" t="s">
        <v>59</v>
      </c>
      <c r="D543" s="159" t="s">
        <v>187</v>
      </c>
      <c r="E543" s="180"/>
      <c r="F543" s="458">
        <v>4</v>
      </c>
      <c r="G543" s="164"/>
      <c r="H543" s="169">
        <f t="shared" si="27"/>
        <v>0</v>
      </c>
      <c r="I543" s="173"/>
      <c r="J543" s="171"/>
      <c r="K543" s="149"/>
      <c r="L543" s="149"/>
      <c r="M543" s="159"/>
      <c r="N543" s="596">
        <f t="shared" si="28"/>
        <v>80</v>
      </c>
      <c r="O543" s="176"/>
      <c r="P543" s="179">
        <f>IF(A543&lt;&gt;"", Снабжения!H543 / VLOOKUP(A543, 'Курс валют'!$A:$D, 4, 0), "")</f>
        <v>0</v>
      </c>
    </row>
    <row r="544" spans="1:16" ht="20.100000000000001" customHeight="1" x14ac:dyDescent="0.45">
      <c r="A544" s="156">
        <v>46127</v>
      </c>
      <c r="B544" s="152" t="s">
        <v>219</v>
      </c>
      <c r="C544" s="149" t="s">
        <v>59</v>
      </c>
      <c r="D544" s="159" t="s">
        <v>220</v>
      </c>
      <c r="E544" s="180"/>
      <c r="F544" s="458">
        <v>2.5</v>
      </c>
      <c r="G544" s="164"/>
      <c r="H544" s="169">
        <f t="shared" si="27"/>
        <v>0</v>
      </c>
      <c r="I544" s="173"/>
      <c r="J544" s="171"/>
      <c r="K544" s="149"/>
      <c r="L544" s="149"/>
      <c r="M544" s="159"/>
      <c r="N544" s="596">
        <f t="shared" si="28"/>
        <v>41.5</v>
      </c>
      <c r="O544" s="176"/>
      <c r="P544" s="179">
        <f>IF(A544&lt;&gt;"", Снабжения!H544 / VLOOKUP(A544, 'Курс валют'!$A:$D, 4, 0), "")</f>
        <v>0</v>
      </c>
    </row>
    <row r="545" spans="1:16" ht="20.100000000000001" customHeight="1" x14ac:dyDescent="0.45">
      <c r="A545" s="156">
        <v>46127</v>
      </c>
      <c r="B545" s="152" t="s">
        <v>196</v>
      </c>
      <c r="C545" s="149" t="s">
        <v>69</v>
      </c>
      <c r="D545" s="159" t="s">
        <v>193</v>
      </c>
      <c r="E545" s="180"/>
      <c r="F545" s="458">
        <v>1</v>
      </c>
      <c r="G545" s="164"/>
      <c r="H545" s="169">
        <f t="shared" si="27"/>
        <v>0</v>
      </c>
      <c r="I545" s="173"/>
      <c r="J545" s="171"/>
      <c r="K545" s="149"/>
      <c r="L545" s="149"/>
      <c r="M545" s="159"/>
      <c r="N545" s="596">
        <f t="shared" si="28"/>
        <v>1</v>
      </c>
      <c r="O545" s="176"/>
      <c r="P545" s="179">
        <f>IF(A545&lt;&gt;"", Снабжения!H545 / VLOOKUP(A545, 'Курс валют'!$A:$D, 4, 0), "")</f>
        <v>0</v>
      </c>
    </row>
    <row r="546" spans="1:16" ht="20.100000000000001" customHeight="1" x14ac:dyDescent="0.45">
      <c r="A546" s="156">
        <v>46127</v>
      </c>
      <c r="B546" s="152" t="s">
        <v>189</v>
      </c>
      <c r="C546" s="149" t="s">
        <v>69</v>
      </c>
      <c r="D546" s="159" t="s">
        <v>220</v>
      </c>
      <c r="E546" s="180"/>
      <c r="F546" s="458">
        <v>1</v>
      </c>
      <c r="G546" s="164"/>
      <c r="H546" s="169">
        <f t="shared" si="27"/>
        <v>0</v>
      </c>
      <c r="I546" s="173"/>
      <c r="J546" s="171"/>
      <c r="K546" s="149"/>
      <c r="L546" s="149"/>
      <c r="M546" s="159"/>
      <c r="N546" s="596">
        <f t="shared" si="28"/>
        <v>309</v>
      </c>
      <c r="O546" s="176"/>
      <c r="P546" s="179">
        <f>IF(A546&lt;&gt;"", Снабжения!H546 / VLOOKUP(A546, 'Курс валют'!$A:$D, 4, 0), "")</f>
        <v>0</v>
      </c>
    </row>
    <row r="547" spans="1:16" ht="20.100000000000001" customHeight="1" x14ac:dyDescent="0.45">
      <c r="A547" s="156">
        <v>46127</v>
      </c>
      <c r="B547" s="152" t="s">
        <v>258</v>
      </c>
      <c r="C547" s="149" t="s">
        <v>69</v>
      </c>
      <c r="D547" s="159" t="s">
        <v>220</v>
      </c>
      <c r="E547" s="180"/>
      <c r="F547" s="458">
        <v>1</v>
      </c>
      <c r="G547" s="164"/>
      <c r="H547" s="169">
        <f t="shared" si="27"/>
        <v>0</v>
      </c>
      <c r="I547" s="173"/>
      <c r="J547" s="171"/>
      <c r="K547" s="149"/>
      <c r="L547" s="149"/>
      <c r="M547" s="159"/>
      <c r="N547" s="596">
        <f t="shared" si="28"/>
        <v>4</v>
      </c>
      <c r="O547" s="176"/>
      <c r="P547" s="179">
        <f>IF(A547&lt;&gt;"", Снабжения!H547 / VLOOKUP(A547, 'Курс валют'!$A:$D, 4, 0), "")</f>
        <v>0</v>
      </c>
    </row>
    <row r="548" spans="1:16" ht="20.100000000000001" customHeight="1" x14ac:dyDescent="0.45">
      <c r="A548" s="156">
        <v>46128</v>
      </c>
      <c r="B548" s="152" t="s">
        <v>189</v>
      </c>
      <c r="C548" s="149" t="s">
        <v>69</v>
      </c>
      <c r="D548" s="159" t="s">
        <v>220</v>
      </c>
      <c r="E548" s="180"/>
      <c r="F548" s="458">
        <v>35</v>
      </c>
      <c r="G548" s="164"/>
      <c r="H548" s="169">
        <f t="shared" si="27"/>
        <v>0</v>
      </c>
      <c r="I548" s="173"/>
      <c r="J548" s="171"/>
      <c r="K548" s="149"/>
      <c r="L548" s="149"/>
      <c r="M548" s="159"/>
      <c r="N548" s="596">
        <f t="shared" si="28"/>
        <v>309</v>
      </c>
      <c r="O548" s="176"/>
      <c r="P548" s="179">
        <f>IF(A548&lt;&gt;"", Снабжения!H548 / VLOOKUP(A548, 'Курс валют'!$A:$D, 4, 0), "")</f>
        <v>0</v>
      </c>
    </row>
    <row r="549" spans="1:16" ht="20.100000000000001" customHeight="1" x14ac:dyDescent="0.45">
      <c r="A549" s="156">
        <v>46128</v>
      </c>
      <c r="B549" s="152" t="s">
        <v>209</v>
      </c>
      <c r="C549" s="149" t="s">
        <v>69</v>
      </c>
      <c r="D549" s="159" t="s">
        <v>220</v>
      </c>
      <c r="E549" s="180"/>
      <c r="F549" s="458">
        <v>1</v>
      </c>
      <c r="G549" s="164"/>
      <c r="H549" s="169">
        <f t="shared" si="27"/>
        <v>0</v>
      </c>
      <c r="I549" s="173"/>
      <c r="J549" s="171"/>
      <c r="K549" s="149"/>
      <c r="L549" s="149"/>
      <c r="M549" s="159"/>
      <c r="N549" s="596">
        <f t="shared" si="28"/>
        <v>128</v>
      </c>
      <c r="O549" s="176"/>
      <c r="P549" s="179">
        <f>IF(A549&lt;&gt;"", Снабжения!H549 / VLOOKUP(A549, 'Курс валют'!$A:$D, 4, 0), "")</f>
        <v>0</v>
      </c>
    </row>
    <row r="550" spans="1:16" ht="20.100000000000001" customHeight="1" x14ac:dyDescent="0.45">
      <c r="A550" s="156">
        <v>46128</v>
      </c>
      <c r="B550" s="152" t="s">
        <v>263</v>
      </c>
      <c r="C550" s="149" t="s">
        <v>69</v>
      </c>
      <c r="D550" s="159" t="s">
        <v>220</v>
      </c>
      <c r="E550" s="180"/>
      <c r="F550" s="458">
        <v>2</v>
      </c>
      <c r="G550" s="164"/>
      <c r="H550" s="169">
        <f t="shared" si="27"/>
        <v>0</v>
      </c>
      <c r="I550" s="173"/>
      <c r="J550" s="171"/>
      <c r="K550" s="149"/>
      <c r="L550" s="149"/>
      <c r="M550" s="159"/>
      <c r="N550" s="596">
        <f t="shared" si="28"/>
        <v>18</v>
      </c>
      <c r="O550" s="176"/>
      <c r="P550" s="179">
        <f>IF(A550&lt;&gt;"", Снабжения!H550 / VLOOKUP(A550, 'Курс валют'!$A:$D, 4, 0), "")</f>
        <v>0</v>
      </c>
    </row>
    <row r="551" spans="1:16" ht="20.100000000000001" customHeight="1" x14ac:dyDescent="0.45">
      <c r="A551" s="156">
        <v>46128</v>
      </c>
      <c r="B551" s="152" t="s">
        <v>253</v>
      </c>
      <c r="C551" s="149" t="s">
        <v>69</v>
      </c>
      <c r="D551" s="159" t="s">
        <v>220</v>
      </c>
      <c r="E551" s="180"/>
      <c r="F551" s="458">
        <v>2</v>
      </c>
      <c r="G551" s="164"/>
      <c r="H551" s="169">
        <f t="shared" si="27"/>
        <v>0</v>
      </c>
      <c r="I551" s="173"/>
      <c r="J551" s="171"/>
      <c r="K551" s="149"/>
      <c r="L551" s="149"/>
      <c r="M551" s="159"/>
      <c r="N551" s="596">
        <f t="shared" si="28"/>
        <v>8</v>
      </c>
      <c r="O551" s="176"/>
      <c r="P551" s="179">
        <f>IF(A551&lt;&gt;"", Снабжения!H551 / VLOOKUP(A551, 'Курс валют'!$A:$D, 4, 0), "")</f>
        <v>0</v>
      </c>
    </row>
    <row r="552" spans="1:16" ht="20.100000000000001" customHeight="1" x14ac:dyDescent="0.45">
      <c r="A552" s="156">
        <v>46129</v>
      </c>
      <c r="B552" s="152" t="s">
        <v>263</v>
      </c>
      <c r="C552" s="149" t="s">
        <v>69</v>
      </c>
      <c r="D552" s="159" t="s">
        <v>220</v>
      </c>
      <c r="E552" s="180"/>
      <c r="F552" s="458">
        <v>3</v>
      </c>
      <c r="G552" s="164"/>
      <c r="H552" s="169">
        <f t="shared" si="27"/>
        <v>0</v>
      </c>
      <c r="I552" s="173"/>
      <c r="J552" s="171"/>
      <c r="K552" s="149"/>
      <c r="L552" s="149"/>
      <c r="M552" s="159"/>
      <c r="N552" s="596">
        <f t="shared" si="28"/>
        <v>18</v>
      </c>
      <c r="O552" s="176"/>
      <c r="P552" s="179">
        <f>IF(A552&lt;&gt;"", Снабжения!H552 / VLOOKUP(A552, 'Курс валют'!$A:$D, 4, 0), "")</f>
        <v>0</v>
      </c>
    </row>
    <row r="553" spans="1:16" ht="20.100000000000001" customHeight="1" x14ac:dyDescent="0.45">
      <c r="A553" s="156">
        <v>46129</v>
      </c>
      <c r="B553" s="152" t="s">
        <v>182</v>
      </c>
      <c r="C553" s="149" t="s">
        <v>69</v>
      </c>
      <c r="D553" s="159" t="s">
        <v>220</v>
      </c>
      <c r="E553" s="180"/>
      <c r="F553" s="458">
        <v>2</v>
      </c>
      <c r="G553" s="164"/>
      <c r="H553" s="169">
        <f t="shared" si="27"/>
        <v>0</v>
      </c>
      <c r="I553" s="173"/>
      <c r="J553" s="171"/>
      <c r="K553" s="149"/>
      <c r="L553" s="149"/>
      <c r="M553" s="159"/>
      <c r="N553" s="596">
        <f t="shared" si="28"/>
        <v>22</v>
      </c>
      <c r="O553" s="176"/>
      <c r="P553" s="179">
        <f>IF(A553&lt;&gt;"", Снабжения!H553 / VLOOKUP(A553, 'Курс валют'!$A:$D, 4, 0), "")</f>
        <v>0</v>
      </c>
    </row>
    <row r="554" spans="1:16" ht="20.100000000000001" customHeight="1" x14ac:dyDescent="0.45">
      <c r="A554" s="156">
        <v>46129</v>
      </c>
      <c r="B554" s="152" t="s">
        <v>223</v>
      </c>
      <c r="C554" s="149" t="s">
        <v>69</v>
      </c>
      <c r="D554" s="159" t="s">
        <v>220</v>
      </c>
      <c r="E554" s="180"/>
      <c r="F554" s="458">
        <v>3</v>
      </c>
      <c r="G554" s="164"/>
      <c r="H554" s="169">
        <f t="shared" si="27"/>
        <v>0</v>
      </c>
      <c r="I554" s="173"/>
      <c r="J554" s="171"/>
      <c r="K554" s="149"/>
      <c r="L554" s="149"/>
      <c r="M554" s="159"/>
      <c r="N554" s="596">
        <f t="shared" si="28"/>
        <v>8</v>
      </c>
      <c r="O554" s="176"/>
      <c r="P554" s="179">
        <f>IF(A554&lt;&gt;"", Снабжения!H554 / VLOOKUP(A554, 'Курс валют'!$A:$D, 4, 0), "")</f>
        <v>0</v>
      </c>
    </row>
    <row r="555" spans="1:16" ht="20.100000000000001" customHeight="1" x14ac:dyDescent="0.45">
      <c r="A555" s="156">
        <v>46129</v>
      </c>
      <c r="B555" s="152" t="s">
        <v>209</v>
      </c>
      <c r="C555" s="149" t="s">
        <v>69</v>
      </c>
      <c r="D555" s="159" t="s">
        <v>220</v>
      </c>
      <c r="E555" s="180"/>
      <c r="F555" s="458">
        <v>5</v>
      </c>
      <c r="G555" s="164"/>
      <c r="H555" s="169">
        <f t="shared" si="27"/>
        <v>0</v>
      </c>
      <c r="I555" s="173"/>
      <c r="J555" s="171"/>
      <c r="K555" s="149"/>
      <c r="L555" s="149"/>
      <c r="M555" s="159"/>
      <c r="N555" s="596">
        <f t="shared" si="28"/>
        <v>128</v>
      </c>
      <c r="O555" s="176"/>
      <c r="P555" s="179">
        <f>IF(A555&lt;&gt;"", Снабжения!H555 / VLOOKUP(A555, 'Курс валют'!$A:$D, 4, 0), "")</f>
        <v>0</v>
      </c>
    </row>
    <row r="556" spans="1:16" ht="20.100000000000001" customHeight="1" x14ac:dyDescent="0.45">
      <c r="A556" s="156">
        <v>46129</v>
      </c>
      <c r="B556" s="152" t="s">
        <v>228</v>
      </c>
      <c r="C556" s="149" t="s">
        <v>59</v>
      </c>
      <c r="D556" s="159" t="s">
        <v>220</v>
      </c>
      <c r="E556" s="180"/>
      <c r="F556" s="458">
        <v>75</v>
      </c>
      <c r="G556" s="164"/>
      <c r="H556" s="169">
        <f t="shared" si="27"/>
        <v>0</v>
      </c>
      <c r="I556" s="173"/>
      <c r="J556" s="171"/>
      <c r="K556" s="149"/>
      <c r="L556" s="149"/>
      <c r="M556" s="159"/>
      <c r="N556" s="596">
        <f t="shared" si="28"/>
        <v>125</v>
      </c>
      <c r="O556" s="176"/>
      <c r="P556" s="179">
        <f>IF(A556&lt;&gt;"", Снабжения!H556 / VLOOKUP(A556, 'Курс валют'!$A:$D, 4, 0), "")</f>
        <v>0</v>
      </c>
    </row>
    <row r="557" spans="1:16" ht="20.100000000000001" customHeight="1" x14ac:dyDescent="0.45">
      <c r="A557" s="156">
        <v>46129</v>
      </c>
      <c r="B557" s="152" t="s">
        <v>219</v>
      </c>
      <c r="C557" s="149" t="s">
        <v>59</v>
      </c>
      <c r="D557" s="159" t="s">
        <v>220</v>
      </c>
      <c r="E557" s="180"/>
      <c r="F557" s="458">
        <v>2.5</v>
      </c>
      <c r="G557" s="164"/>
      <c r="H557" s="169">
        <f t="shared" si="27"/>
        <v>0</v>
      </c>
      <c r="I557" s="173"/>
      <c r="J557" s="171"/>
      <c r="K557" s="149"/>
      <c r="L557" s="149"/>
      <c r="M557" s="159"/>
      <c r="N557" s="596">
        <f t="shared" si="28"/>
        <v>41.5</v>
      </c>
      <c r="O557" s="176"/>
      <c r="P557" s="179">
        <f>IF(A557&lt;&gt;"", Снабжения!H557 / VLOOKUP(A557, 'Курс валют'!$A:$D, 4, 0), "")</f>
        <v>0</v>
      </c>
    </row>
    <row r="558" spans="1:16" ht="20.100000000000001" customHeight="1" x14ac:dyDescent="0.45">
      <c r="A558" s="156">
        <v>46129</v>
      </c>
      <c r="B558" s="152" t="s">
        <v>254</v>
      </c>
      <c r="C558" s="149" t="s">
        <v>69</v>
      </c>
      <c r="D558" s="159" t="s">
        <v>220</v>
      </c>
      <c r="E558" s="180"/>
      <c r="F558" s="458">
        <v>8</v>
      </c>
      <c r="G558" s="164"/>
      <c r="H558" s="169">
        <f t="shared" si="27"/>
        <v>0</v>
      </c>
      <c r="I558" s="173"/>
      <c r="J558" s="171"/>
      <c r="K558" s="149"/>
      <c r="L558" s="149"/>
      <c r="M558" s="159"/>
      <c r="N558" s="596">
        <f t="shared" si="28"/>
        <v>33</v>
      </c>
      <c r="O558" s="176"/>
      <c r="P558" s="179">
        <f>IF(A558&lt;&gt;"", Снабжения!H558 / VLOOKUP(A558, 'Курс валют'!$A:$D, 4, 0), "")</f>
        <v>0</v>
      </c>
    </row>
    <row r="559" spans="1:16" ht="20.100000000000001" customHeight="1" x14ac:dyDescent="0.45">
      <c r="A559" s="156">
        <v>46129</v>
      </c>
      <c r="B559" s="152" t="s">
        <v>230</v>
      </c>
      <c r="C559" s="149" t="s">
        <v>85</v>
      </c>
      <c r="D559" s="159" t="s">
        <v>220</v>
      </c>
      <c r="E559" s="180">
        <v>500</v>
      </c>
      <c r="F559" s="458"/>
      <c r="G559" s="164">
        <v>3000</v>
      </c>
      <c r="H559" s="169">
        <f t="shared" ref="H559" si="29">(G559*E559)*103%</f>
        <v>1545000</v>
      </c>
      <c r="I559" s="173"/>
      <c r="J559" s="171"/>
      <c r="K559" s="149"/>
      <c r="L559" s="149"/>
      <c r="M559" s="159"/>
      <c r="N559" s="596">
        <f t="shared" si="28"/>
        <v>400</v>
      </c>
      <c r="O559" s="176"/>
      <c r="P559" s="179">
        <f>IF(A559&lt;&gt;"", Снабжения!H559 / VLOOKUP(A559, 'Курс валют'!$A:$D, 4, 0), "")</f>
        <v>126.63934426229508</v>
      </c>
    </row>
    <row r="560" spans="1:16" ht="20.100000000000001" customHeight="1" x14ac:dyDescent="0.45">
      <c r="A560" s="156">
        <v>46129</v>
      </c>
      <c r="B560" s="152" t="s">
        <v>91</v>
      </c>
      <c r="C560" s="149" t="s">
        <v>65</v>
      </c>
      <c r="D560" s="159"/>
      <c r="E560" s="180"/>
      <c r="F560" s="458"/>
      <c r="G560" s="164"/>
      <c r="H560" s="169">
        <f>125000*103%</f>
        <v>128750</v>
      </c>
      <c r="I560" s="173"/>
      <c r="J560" s="171"/>
      <c r="K560" s="149"/>
      <c r="L560" s="149"/>
      <c r="M560" s="159"/>
      <c r="N560" s="596">
        <f t="shared" si="28"/>
        <v>8</v>
      </c>
      <c r="O560" s="176"/>
      <c r="P560" s="179">
        <f>IF(A560&lt;&gt;"", Снабжения!H560 / VLOOKUP(A560, 'Курс валют'!$A:$D, 4, 0), "")</f>
        <v>10.553278688524591</v>
      </c>
    </row>
    <row r="561" spans="1:16" ht="20.100000000000001" customHeight="1" x14ac:dyDescent="0.45">
      <c r="A561" s="156">
        <v>46130</v>
      </c>
      <c r="B561" s="152" t="s">
        <v>186</v>
      </c>
      <c r="C561" s="149" t="s">
        <v>59</v>
      </c>
      <c r="D561" s="159" t="s">
        <v>187</v>
      </c>
      <c r="E561" s="180"/>
      <c r="F561" s="458">
        <v>20</v>
      </c>
      <c r="G561" s="164"/>
      <c r="H561" s="169">
        <f t="shared" si="27"/>
        <v>0</v>
      </c>
      <c r="I561" s="173"/>
      <c r="J561" s="171"/>
      <c r="K561" s="149"/>
      <c r="L561" s="149"/>
      <c r="M561" s="159"/>
      <c r="N561" s="596">
        <f t="shared" si="28"/>
        <v>40</v>
      </c>
      <c r="O561" s="176"/>
      <c r="P561" s="179">
        <f>IF(A561&lt;&gt;"", Снабжения!H561 / VLOOKUP(A561, 'Курс валют'!$A:$D, 4, 0), "")</f>
        <v>0</v>
      </c>
    </row>
    <row r="562" spans="1:16" ht="20.100000000000001" customHeight="1" x14ac:dyDescent="0.45">
      <c r="A562" s="156">
        <v>46130</v>
      </c>
      <c r="B562" s="152" t="s">
        <v>208</v>
      </c>
      <c r="C562" s="149" t="s">
        <v>69</v>
      </c>
      <c r="D562" s="159" t="s">
        <v>220</v>
      </c>
      <c r="E562" s="180"/>
      <c r="F562" s="458">
        <v>1</v>
      </c>
      <c r="G562" s="164"/>
      <c r="H562" s="169">
        <f t="shared" si="27"/>
        <v>0</v>
      </c>
      <c r="I562" s="173"/>
      <c r="J562" s="171"/>
      <c r="K562" s="149"/>
      <c r="L562" s="149"/>
      <c r="M562" s="159"/>
      <c r="N562" s="596">
        <f t="shared" si="28"/>
        <v>10</v>
      </c>
      <c r="O562" s="176"/>
      <c r="P562" s="179">
        <f>IF(A562&lt;&gt;"", Снабжения!H562 / VLOOKUP(A562, 'Курс валют'!$A:$D, 4, 0), "")</f>
        <v>0</v>
      </c>
    </row>
    <row r="563" spans="1:16" ht="20.100000000000001" customHeight="1" x14ac:dyDescent="0.45">
      <c r="A563" s="156">
        <v>46130</v>
      </c>
      <c r="B563" s="152" t="s">
        <v>219</v>
      </c>
      <c r="C563" s="149" t="s">
        <v>59</v>
      </c>
      <c r="D563" s="159" t="s">
        <v>220</v>
      </c>
      <c r="E563" s="180"/>
      <c r="F563" s="458">
        <v>2.5</v>
      </c>
      <c r="G563" s="164"/>
      <c r="H563" s="169">
        <f t="shared" si="27"/>
        <v>0</v>
      </c>
      <c r="I563" s="173"/>
      <c r="J563" s="171"/>
      <c r="K563" s="149"/>
      <c r="L563" s="149"/>
      <c r="M563" s="159"/>
      <c r="N563" s="596">
        <f t="shared" si="28"/>
        <v>41.5</v>
      </c>
      <c r="O563" s="176"/>
      <c r="P563" s="179">
        <f>IF(A563&lt;&gt;"", Снабжения!H563 / VLOOKUP(A563, 'Курс валют'!$A:$D, 4, 0), "")</f>
        <v>0</v>
      </c>
    </row>
    <row r="564" spans="1:16" ht="20.100000000000001" customHeight="1" x14ac:dyDescent="0.45">
      <c r="A564" s="156">
        <v>46130</v>
      </c>
      <c r="B564" s="152" t="s">
        <v>223</v>
      </c>
      <c r="C564" s="149" t="s">
        <v>69</v>
      </c>
      <c r="D564" s="159" t="s">
        <v>220</v>
      </c>
      <c r="E564" s="180"/>
      <c r="F564" s="458">
        <v>3</v>
      </c>
      <c r="G564" s="164"/>
      <c r="H564" s="169">
        <f t="shared" si="27"/>
        <v>0</v>
      </c>
      <c r="I564" s="173"/>
      <c r="J564" s="171"/>
      <c r="K564" s="149"/>
      <c r="L564" s="149"/>
      <c r="M564" s="159"/>
      <c r="N564" s="596">
        <f t="shared" si="28"/>
        <v>8</v>
      </c>
      <c r="O564" s="176"/>
      <c r="P564" s="179">
        <f>IF(A564&lt;&gt;"", Снабжения!H564 / VLOOKUP(A564, 'Курс валют'!$A:$D, 4, 0), "")</f>
        <v>0</v>
      </c>
    </row>
    <row r="565" spans="1:16" ht="20.100000000000001" customHeight="1" x14ac:dyDescent="0.45">
      <c r="A565" s="156">
        <v>46130</v>
      </c>
      <c r="B565" s="152" t="s">
        <v>271</v>
      </c>
      <c r="C565" s="149" t="s">
        <v>69</v>
      </c>
      <c r="D565" s="159" t="s">
        <v>220</v>
      </c>
      <c r="E565" s="180"/>
      <c r="F565" s="458">
        <v>4</v>
      </c>
      <c r="G565" s="164"/>
      <c r="H565" s="169">
        <f t="shared" si="27"/>
        <v>0</v>
      </c>
      <c r="I565" s="173"/>
      <c r="J565" s="171"/>
      <c r="K565" s="149"/>
      <c r="L565" s="149"/>
      <c r="M565" s="159"/>
      <c r="N565" s="596">
        <f t="shared" si="28"/>
        <v>42</v>
      </c>
      <c r="O565" s="176"/>
      <c r="P565" s="179">
        <f>IF(A565&lt;&gt;"", Снабжения!H565 / VLOOKUP(A565, 'Курс валют'!$A:$D, 4, 0), "")</f>
        <v>0</v>
      </c>
    </row>
    <row r="566" spans="1:16" ht="20.100000000000001" customHeight="1" x14ac:dyDescent="0.45">
      <c r="A566" s="156">
        <v>46130</v>
      </c>
      <c r="B566" s="152" t="s">
        <v>240</v>
      </c>
      <c r="C566" s="149" t="s">
        <v>69</v>
      </c>
      <c r="D566" s="159" t="s">
        <v>220</v>
      </c>
      <c r="E566" s="180"/>
      <c r="F566" s="458">
        <v>2</v>
      </c>
      <c r="G566" s="164"/>
      <c r="H566" s="169">
        <f t="shared" si="27"/>
        <v>0</v>
      </c>
      <c r="I566" s="173"/>
      <c r="J566" s="171"/>
      <c r="K566" s="149"/>
      <c r="L566" s="149"/>
      <c r="M566" s="159"/>
      <c r="N566" s="596">
        <f t="shared" si="28"/>
        <v>9</v>
      </c>
      <c r="O566" s="176"/>
      <c r="P566" s="179">
        <f>IF(A566&lt;&gt;"", Снабжения!H566 / VLOOKUP(A566, 'Курс валют'!$A:$D, 4, 0), "")</f>
        <v>0</v>
      </c>
    </row>
    <row r="567" spans="1:16" ht="20.100000000000001" customHeight="1" x14ac:dyDescent="0.45">
      <c r="A567" s="156">
        <v>46130</v>
      </c>
      <c r="B567" s="152" t="s">
        <v>205</v>
      </c>
      <c r="C567" s="149" t="s">
        <v>69</v>
      </c>
      <c r="D567" s="159" t="s">
        <v>220</v>
      </c>
      <c r="E567" s="180"/>
      <c r="F567" s="458">
        <v>1</v>
      </c>
      <c r="G567" s="164"/>
      <c r="H567" s="169">
        <f t="shared" si="27"/>
        <v>0</v>
      </c>
      <c r="I567" s="173"/>
      <c r="J567" s="171"/>
      <c r="K567" s="149"/>
      <c r="L567" s="149"/>
      <c r="M567" s="159"/>
      <c r="N567" s="596">
        <f t="shared" si="28"/>
        <v>8</v>
      </c>
      <c r="O567" s="176"/>
      <c r="P567" s="179">
        <f>IF(A567&lt;&gt;"", Снабжения!H567 / VLOOKUP(A567, 'Курс валют'!$A:$D, 4, 0), "")</f>
        <v>0</v>
      </c>
    </row>
    <row r="568" spans="1:16" ht="20.100000000000001" customHeight="1" x14ac:dyDescent="0.45">
      <c r="A568" s="156">
        <v>46130</v>
      </c>
      <c r="B568" s="152" t="s">
        <v>295</v>
      </c>
      <c r="C568" s="149" t="s">
        <v>69</v>
      </c>
      <c r="D568" s="159" t="s">
        <v>220</v>
      </c>
      <c r="E568" s="180"/>
      <c r="F568" s="458">
        <v>1</v>
      </c>
      <c r="G568" s="164"/>
      <c r="H568" s="169">
        <f t="shared" si="27"/>
        <v>0</v>
      </c>
      <c r="I568" s="173"/>
      <c r="J568" s="171"/>
      <c r="K568" s="149"/>
      <c r="L568" s="149"/>
      <c r="M568" s="159"/>
      <c r="N568" s="596">
        <f t="shared" si="28"/>
        <v>1</v>
      </c>
      <c r="O568" s="176"/>
      <c r="P568" s="179">
        <f>IF(A568&lt;&gt;"", Снабжения!H568 / VLOOKUP(A568, 'Курс валют'!$A:$D, 4, 0), "")</f>
        <v>0</v>
      </c>
    </row>
    <row r="569" spans="1:16" ht="20.100000000000001" customHeight="1" x14ac:dyDescent="0.45">
      <c r="A569" s="156">
        <v>46130</v>
      </c>
      <c r="B569" s="152" t="s">
        <v>253</v>
      </c>
      <c r="C569" s="149" t="s">
        <v>69</v>
      </c>
      <c r="D569" s="159" t="s">
        <v>220</v>
      </c>
      <c r="E569" s="180"/>
      <c r="F569" s="458">
        <v>1</v>
      </c>
      <c r="G569" s="164"/>
      <c r="H569" s="169">
        <f t="shared" si="27"/>
        <v>0</v>
      </c>
      <c r="I569" s="173"/>
      <c r="J569" s="171"/>
      <c r="K569" s="149"/>
      <c r="L569" s="149"/>
      <c r="M569" s="159"/>
      <c r="N569" s="596">
        <f t="shared" si="28"/>
        <v>8</v>
      </c>
      <c r="O569" s="176"/>
      <c r="P569" s="179">
        <f>IF(A569&lt;&gt;"", Снабжения!H569 / VLOOKUP(A569, 'Курс валют'!$A:$D, 4, 0), "")</f>
        <v>0</v>
      </c>
    </row>
    <row r="570" spans="1:16" ht="20.100000000000001" customHeight="1" x14ac:dyDescent="0.45">
      <c r="A570" s="156">
        <v>46131</v>
      </c>
      <c r="B570" s="152" t="s">
        <v>223</v>
      </c>
      <c r="C570" s="149" t="s">
        <v>69</v>
      </c>
      <c r="D570" s="159" t="s">
        <v>220</v>
      </c>
      <c r="E570" s="180"/>
      <c r="F570" s="458">
        <v>3</v>
      </c>
      <c r="G570" s="164"/>
      <c r="H570" s="169">
        <f t="shared" si="27"/>
        <v>0</v>
      </c>
      <c r="I570" s="173"/>
      <c r="J570" s="171"/>
      <c r="K570" s="149"/>
      <c r="L570" s="149"/>
      <c r="M570" s="159"/>
      <c r="N570" s="596">
        <f t="shared" si="28"/>
        <v>8</v>
      </c>
      <c r="O570" s="176"/>
      <c r="P570" s="179">
        <f>IF(A570&lt;&gt;"", Снабжения!H570 / VLOOKUP(A570, 'Курс валют'!$A:$D, 4, 0), "")</f>
        <v>0</v>
      </c>
    </row>
    <row r="571" spans="1:16" ht="20.100000000000001" customHeight="1" x14ac:dyDescent="0.45">
      <c r="A571" s="156">
        <v>46131</v>
      </c>
      <c r="B571" s="152" t="s">
        <v>188</v>
      </c>
      <c r="C571" s="149" t="s">
        <v>59</v>
      </c>
      <c r="D571" s="159" t="s">
        <v>187</v>
      </c>
      <c r="E571" s="180"/>
      <c r="F571" s="458">
        <v>20</v>
      </c>
      <c r="G571" s="164"/>
      <c r="H571" s="169">
        <f t="shared" si="27"/>
        <v>0</v>
      </c>
      <c r="I571" s="173"/>
      <c r="J571" s="171"/>
      <c r="K571" s="149"/>
      <c r="L571" s="149"/>
      <c r="M571" s="159"/>
      <c r="N571" s="596">
        <f t="shared" si="28"/>
        <v>20</v>
      </c>
      <c r="O571" s="176"/>
      <c r="P571" s="179">
        <f>IF(A571&lt;&gt;"", Снабжения!H571 / VLOOKUP(A571, 'Курс валют'!$A:$D, 4, 0), "")</f>
        <v>0</v>
      </c>
    </row>
    <row r="572" spans="1:16" ht="20.100000000000001" customHeight="1" x14ac:dyDescent="0.45">
      <c r="A572" s="156">
        <v>46131</v>
      </c>
      <c r="B572" s="152" t="s">
        <v>189</v>
      </c>
      <c r="C572" s="149" t="s">
        <v>69</v>
      </c>
      <c r="D572" s="159" t="s">
        <v>220</v>
      </c>
      <c r="E572" s="180"/>
      <c r="F572" s="458">
        <v>36</v>
      </c>
      <c r="G572" s="164"/>
      <c r="H572" s="169">
        <f t="shared" si="27"/>
        <v>0</v>
      </c>
      <c r="I572" s="173"/>
      <c r="J572" s="171"/>
      <c r="K572" s="149"/>
      <c r="L572" s="149"/>
      <c r="M572" s="159"/>
      <c r="N572" s="596">
        <f t="shared" si="28"/>
        <v>309</v>
      </c>
      <c r="O572" s="176"/>
      <c r="P572" s="179">
        <f>IF(A572&lt;&gt;"", Снабжения!H572 / VLOOKUP(A572, 'Курс валют'!$A:$D, 4, 0), "")</f>
        <v>0</v>
      </c>
    </row>
    <row r="573" spans="1:16" ht="20.100000000000001" customHeight="1" x14ac:dyDescent="0.45">
      <c r="A573" s="156">
        <v>46131</v>
      </c>
      <c r="B573" s="152" t="s">
        <v>230</v>
      </c>
      <c r="C573" s="149" t="s">
        <v>85</v>
      </c>
      <c r="D573" s="159" t="s">
        <v>220</v>
      </c>
      <c r="E573" s="180"/>
      <c r="F573" s="458">
        <v>100</v>
      </c>
      <c r="G573" s="164"/>
      <c r="H573" s="169">
        <f t="shared" si="27"/>
        <v>0</v>
      </c>
      <c r="I573" s="173"/>
      <c r="J573" s="171"/>
      <c r="K573" s="149"/>
      <c r="L573" s="149"/>
      <c r="M573" s="159"/>
      <c r="N573" s="596">
        <f t="shared" si="28"/>
        <v>400</v>
      </c>
      <c r="O573" s="176"/>
      <c r="P573" s="179">
        <f>IF(A573&lt;&gt;"", Снабжения!H573 / VLOOKUP(A573, 'Курс валют'!$A:$D, 4, 0), "")</f>
        <v>0</v>
      </c>
    </row>
    <row r="574" spans="1:16" ht="20.100000000000001" customHeight="1" x14ac:dyDescent="0.45">
      <c r="A574" s="156">
        <v>46131</v>
      </c>
      <c r="B574" s="152" t="s">
        <v>228</v>
      </c>
      <c r="C574" s="149" t="s">
        <v>59</v>
      </c>
      <c r="D574" s="159" t="s">
        <v>187</v>
      </c>
      <c r="E574" s="180"/>
      <c r="F574" s="458">
        <v>125</v>
      </c>
      <c r="G574" s="164"/>
      <c r="H574" s="169">
        <f t="shared" si="27"/>
        <v>0</v>
      </c>
      <c r="I574" s="173"/>
      <c r="J574" s="171"/>
      <c r="K574" s="149"/>
      <c r="L574" s="149"/>
      <c r="M574" s="159"/>
      <c r="N574" s="596">
        <f t="shared" si="28"/>
        <v>125</v>
      </c>
      <c r="O574" s="176"/>
      <c r="P574" s="179">
        <f>IF(A574&lt;&gt;"", Снабжения!H574 / VLOOKUP(A574, 'Курс валют'!$A:$D, 4, 0), "")</f>
        <v>0</v>
      </c>
    </row>
    <row r="575" spans="1:16" ht="20.100000000000001" customHeight="1" x14ac:dyDescent="0.45">
      <c r="A575" s="156">
        <v>46132</v>
      </c>
      <c r="B575" s="152" t="s">
        <v>228</v>
      </c>
      <c r="C575" s="149" t="s">
        <v>59</v>
      </c>
      <c r="D575" s="159" t="s">
        <v>187</v>
      </c>
      <c r="E575" s="180">
        <v>1011</v>
      </c>
      <c r="F575" s="458"/>
      <c r="G575" s="164">
        <v>9500</v>
      </c>
      <c r="H575" s="169">
        <f t="shared" si="27"/>
        <v>9604500</v>
      </c>
      <c r="I575" s="173"/>
      <c r="J575" s="171"/>
      <c r="K575" s="149"/>
      <c r="L575" s="149"/>
      <c r="M575" s="159"/>
      <c r="N575" s="596">
        <f t="shared" si="28"/>
        <v>125</v>
      </c>
      <c r="O575" s="176"/>
      <c r="P575" s="179">
        <f>IF(A575&lt;&gt;"", Снабжения!H575 / VLOOKUP(A575, 'Курс валют'!$A:$D, 4, 0), "")</f>
        <v>797.71594684385377</v>
      </c>
    </row>
    <row r="576" spans="1:16" ht="20.100000000000001" customHeight="1" x14ac:dyDescent="0.45">
      <c r="A576" s="156">
        <v>46132</v>
      </c>
      <c r="B576" s="152" t="s">
        <v>91</v>
      </c>
      <c r="C576" s="149" t="s">
        <v>65</v>
      </c>
      <c r="D576" s="159"/>
      <c r="E576" s="180"/>
      <c r="F576" s="458"/>
      <c r="G576" s="164"/>
      <c r="H576" s="169">
        <v>300000</v>
      </c>
      <c r="I576" s="173"/>
      <c r="J576" s="171"/>
      <c r="K576" s="149"/>
      <c r="L576" s="149"/>
      <c r="M576" s="159"/>
      <c r="N576" s="596">
        <f t="shared" si="28"/>
        <v>8</v>
      </c>
      <c r="O576" s="176"/>
      <c r="P576" s="179">
        <f>IF(A576&lt;&gt;"", Снабжения!H576 / VLOOKUP(A576, 'Курс валют'!$A:$D, 4, 0), "")</f>
        <v>24.916943521594686</v>
      </c>
    </row>
    <row r="577" spans="1:16" ht="20.100000000000001" customHeight="1" x14ac:dyDescent="0.45">
      <c r="A577" s="156">
        <v>46132</v>
      </c>
      <c r="B577" s="152" t="s">
        <v>254</v>
      </c>
      <c r="C577" s="149" t="s">
        <v>69</v>
      </c>
      <c r="D577" s="159" t="s">
        <v>220</v>
      </c>
      <c r="E577" s="180">
        <v>24</v>
      </c>
      <c r="F577" s="458"/>
      <c r="G577" s="164">
        <v>45000</v>
      </c>
      <c r="H577" s="169">
        <f t="shared" si="27"/>
        <v>1080000</v>
      </c>
      <c r="I577" s="173"/>
      <c r="J577" s="171"/>
      <c r="K577" s="149"/>
      <c r="L577" s="149"/>
      <c r="M577" s="159"/>
      <c r="N577" s="596">
        <f t="shared" si="28"/>
        <v>33</v>
      </c>
      <c r="O577" s="176"/>
      <c r="P577" s="179">
        <f>IF(A577&lt;&gt;"", Снабжения!H577 / VLOOKUP(A577, 'Курс валют'!$A:$D, 4, 0), "")</f>
        <v>89.700996677740861</v>
      </c>
    </row>
    <row r="578" spans="1:16" ht="20.100000000000001" customHeight="1" x14ac:dyDescent="0.45">
      <c r="A578" s="156">
        <v>46132</v>
      </c>
      <c r="B578" s="152" t="s">
        <v>182</v>
      </c>
      <c r="C578" s="149" t="s">
        <v>69</v>
      </c>
      <c r="D578" s="159" t="s">
        <v>220</v>
      </c>
      <c r="E578" s="180">
        <v>10</v>
      </c>
      <c r="F578" s="458"/>
      <c r="G578" s="164">
        <v>4900</v>
      </c>
      <c r="H578" s="169">
        <f t="shared" si="27"/>
        <v>49000</v>
      </c>
      <c r="I578" s="173"/>
      <c r="J578" s="171"/>
      <c r="K578" s="149"/>
      <c r="L578" s="149"/>
      <c r="M578" s="159"/>
      <c r="N578" s="596">
        <f t="shared" si="28"/>
        <v>22</v>
      </c>
      <c r="O578" s="176"/>
      <c r="P578" s="179">
        <f>IF(A578&lt;&gt;"", Снабжения!H578 / VLOOKUP(A578, 'Курс валют'!$A:$D, 4, 0), "")</f>
        <v>4.0697674418604652</v>
      </c>
    </row>
    <row r="579" spans="1:16" ht="20.100000000000001" customHeight="1" x14ac:dyDescent="0.45">
      <c r="A579" s="156">
        <v>46132</v>
      </c>
      <c r="B579" s="152" t="s">
        <v>284</v>
      </c>
      <c r="C579" s="149" t="s">
        <v>69</v>
      </c>
      <c r="D579" s="159" t="s">
        <v>220</v>
      </c>
      <c r="E579" s="180">
        <v>5</v>
      </c>
      <c r="F579" s="458"/>
      <c r="G579" s="164">
        <v>26000</v>
      </c>
      <c r="H579" s="169">
        <f t="shared" si="27"/>
        <v>130000</v>
      </c>
      <c r="I579" s="173"/>
      <c r="J579" s="171"/>
      <c r="K579" s="149"/>
      <c r="L579" s="149"/>
      <c r="M579" s="159"/>
      <c r="N579" s="596">
        <f t="shared" si="28"/>
        <v>1</v>
      </c>
      <c r="O579" s="176"/>
      <c r="P579" s="179">
        <f>IF(A579&lt;&gt;"", Снабжения!H579 / VLOOKUP(A579, 'Курс валют'!$A:$D, 4, 0), "")</f>
        <v>10.79734219269103</v>
      </c>
    </row>
    <row r="580" spans="1:16" ht="20.100000000000001" customHeight="1" x14ac:dyDescent="0.45">
      <c r="A580" s="156">
        <v>46132</v>
      </c>
      <c r="B580" s="152" t="s">
        <v>271</v>
      </c>
      <c r="C580" s="149" t="s">
        <v>69</v>
      </c>
      <c r="D580" s="159" t="s">
        <v>220</v>
      </c>
      <c r="E580" s="180">
        <v>50</v>
      </c>
      <c r="F580" s="458"/>
      <c r="G580" s="164">
        <v>9150</v>
      </c>
      <c r="H580" s="169">
        <f t="shared" si="27"/>
        <v>457500</v>
      </c>
      <c r="I580" s="173"/>
      <c r="J580" s="171"/>
      <c r="K580" s="149"/>
      <c r="L580" s="149"/>
      <c r="M580" s="159"/>
      <c r="N580" s="596">
        <f t="shared" si="28"/>
        <v>42</v>
      </c>
      <c r="O580" s="176"/>
      <c r="P580" s="179">
        <f>IF(A580&lt;&gt;"", Снабжения!H580 / VLOOKUP(A580, 'Курс валют'!$A:$D, 4, 0), "")</f>
        <v>37.998338870431894</v>
      </c>
    </row>
    <row r="581" spans="1:16" ht="20.100000000000001" customHeight="1" x14ac:dyDescent="0.45">
      <c r="A581" s="156">
        <v>46132</v>
      </c>
      <c r="B581" s="152" t="s">
        <v>223</v>
      </c>
      <c r="C581" s="149" t="s">
        <v>69</v>
      </c>
      <c r="D581" s="159" t="s">
        <v>220</v>
      </c>
      <c r="E581" s="180">
        <v>30</v>
      </c>
      <c r="F581" s="458"/>
      <c r="G581" s="164">
        <v>84000</v>
      </c>
      <c r="H581" s="169">
        <f t="shared" si="27"/>
        <v>2520000</v>
      </c>
      <c r="I581" s="173"/>
      <c r="J581" s="171"/>
      <c r="K581" s="149"/>
      <c r="L581" s="149"/>
      <c r="M581" s="159"/>
      <c r="N581" s="596">
        <f t="shared" si="28"/>
        <v>8</v>
      </c>
      <c r="O581" s="176"/>
      <c r="P581" s="179">
        <f>IF(A581&lt;&gt;"", Снабжения!H581 / VLOOKUP(A581, 'Курс валют'!$A:$D, 4, 0), "")</f>
        <v>209.30232558139534</v>
      </c>
    </row>
    <row r="582" spans="1:16" ht="20.100000000000001" customHeight="1" x14ac:dyDescent="0.45">
      <c r="A582" s="156">
        <v>46132</v>
      </c>
      <c r="B582" s="152" t="s">
        <v>219</v>
      </c>
      <c r="C582" s="149" t="s">
        <v>59</v>
      </c>
      <c r="D582" s="159" t="s">
        <v>220</v>
      </c>
      <c r="E582" s="180">
        <v>30</v>
      </c>
      <c r="F582" s="458"/>
      <c r="G582" s="164">
        <v>34000</v>
      </c>
      <c r="H582" s="169">
        <f t="shared" si="27"/>
        <v>1020000</v>
      </c>
      <c r="I582" s="173"/>
      <c r="J582" s="171"/>
      <c r="K582" s="149"/>
      <c r="L582" s="149"/>
      <c r="M582" s="159"/>
      <c r="N582" s="596">
        <f t="shared" si="28"/>
        <v>41.5</v>
      </c>
      <c r="O582" s="176"/>
      <c r="P582" s="179">
        <f>IF(A582&lt;&gt;"", Снабжения!H582 / VLOOKUP(A582, 'Курс валют'!$A:$D, 4, 0), "")</f>
        <v>84.71760797342192</v>
      </c>
    </row>
    <row r="583" spans="1:16" ht="20.100000000000001" customHeight="1" x14ac:dyDescent="0.45">
      <c r="A583" s="156">
        <v>46132</v>
      </c>
      <c r="B583" s="152" t="s">
        <v>91</v>
      </c>
      <c r="C583" s="149" t="s">
        <v>65</v>
      </c>
      <c r="D583" s="159"/>
      <c r="E583" s="180"/>
      <c r="F583" s="458"/>
      <c r="G583" s="164"/>
      <c r="H583" s="169">
        <v>130000</v>
      </c>
      <c r="I583" s="173"/>
      <c r="J583" s="171"/>
      <c r="K583" s="149"/>
      <c r="L583" s="149"/>
      <c r="M583" s="159"/>
      <c r="N583" s="596">
        <f t="shared" si="28"/>
        <v>8</v>
      </c>
      <c r="O583" s="176"/>
      <c r="P583" s="179">
        <f>IF(A583&lt;&gt;"", Снабжения!H583 / VLOOKUP(A583, 'Курс валют'!$A:$D, 4, 0), "")</f>
        <v>10.79734219269103</v>
      </c>
    </row>
    <row r="584" spans="1:16" ht="20.100000000000001" customHeight="1" x14ac:dyDescent="0.45">
      <c r="A584" s="156">
        <v>46132</v>
      </c>
      <c r="B584" s="152" t="s">
        <v>189</v>
      </c>
      <c r="C584" s="149" t="s">
        <v>69</v>
      </c>
      <c r="D584" s="159" t="s">
        <v>220</v>
      </c>
      <c r="E584" s="180"/>
      <c r="F584" s="458">
        <v>4</v>
      </c>
      <c r="G584" s="164"/>
      <c r="H584" s="169">
        <f t="shared" si="27"/>
        <v>0</v>
      </c>
      <c r="I584" s="173"/>
      <c r="J584" s="171"/>
      <c r="K584" s="149"/>
      <c r="L584" s="149"/>
      <c r="M584" s="159"/>
      <c r="N584" s="596">
        <f t="shared" si="28"/>
        <v>309</v>
      </c>
      <c r="O584" s="176"/>
      <c r="P584" s="179">
        <f>IF(A584&lt;&gt;"", Снабжения!H584 / VLOOKUP(A584, 'Курс валют'!$A:$D, 4, 0), "")</f>
        <v>0</v>
      </c>
    </row>
    <row r="585" spans="1:16" ht="20.100000000000001" customHeight="1" x14ac:dyDescent="0.45">
      <c r="A585" s="156">
        <v>46132</v>
      </c>
      <c r="B585" s="152" t="s">
        <v>208</v>
      </c>
      <c r="C585" s="149" t="s">
        <v>69</v>
      </c>
      <c r="D585" s="159" t="s">
        <v>220</v>
      </c>
      <c r="E585" s="180"/>
      <c r="F585" s="458">
        <v>2</v>
      </c>
      <c r="G585" s="164"/>
      <c r="H585" s="169">
        <f t="shared" ref="H585:H648" si="30">G585*E585</f>
        <v>0</v>
      </c>
      <c r="I585" s="173"/>
      <c r="J585" s="171"/>
      <c r="K585" s="149"/>
      <c r="L585" s="149"/>
      <c r="M585" s="159"/>
      <c r="N585" s="596">
        <f t="shared" si="28"/>
        <v>10</v>
      </c>
      <c r="O585" s="176"/>
      <c r="P585" s="179">
        <f>IF(A585&lt;&gt;"", Снабжения!H585 / VLOOKUP(A585, 'Курс валют'!$A:$D, 4, 0), "")</f>
        <v>0</v>
      </c>
    </row>
    <row r="586" spans="1:16" ht="20.100000000000001" customHeight="1" x14ac:dyDescent="0.45">
      <c r="A586" s="156">
        <v>46132</v>
      </c>
      <c r="B586" s="152" t="s">
        <v>223</v>
      </c>
      <c r="C586" s="149" t="s">
        <v>69</v>
      </c>
      <c r="D586" s="159" t="s">
        <v>220</v>
      </c>
      <c r="E586" s="180"/>
      <c r="F586" s="458">
        <v>2</v>
      </c>
      <c r="G586" s="164"/>
      <c r="H586" s="169">
        <f t="shared" si="30"/>
        <v>0</v>
      </c>
      <c r="I586" s="173"/>
      <c r="J586" s="171"/>
      <c r="K586" s="149"/>
      <c r="L586" s="149"/>
      <c r="M586" s="159"/>
      <c r="N586" s="596">
        <f t="shared" si="28"/>
        <v>8</v>
      </c>
      <c r="O586" s="176"/>
      <c r="P586" s="179">
        <f>IF(A586&lt;&gt;"", Снабжения!H586 / VLOOKUP(A586, 'Курс валют'!$A:$D, 4, 0), "")</f>
        <v>0</v>
      </c>
    </row>
    <row r="587" spans="1:16" ht="20.100000000000001" customHeight="1" x14ac:dyDescent="0.45">
      <c r="A587" s="156">
        <v>46132</v>
      </c>
      <c r="B587" s="152" t="s">
        <v>209</v>
      </c>
      <c r="C587" s="149" t="s">
        <v>69</v>
      </c>
      <c r="D587" s="159" t="s">
        <v>220</v>
      </c>
      <c r="E587" s="180"/>
      <c r="F587" s="458">
        <v>2</v>
      </c>
      <c r="G587" s="164"/>
      <c r="H587" s="169">
        <f t="shared" si="30"/>
        <v>0</v>
      </c>
      <c r="I587" s="173"/>
      <c r="J587" s="171"/>
      <c r="K587" s="149"/>
      <c r="L587" s="149"/>
      <c r="M587" s="159"/>
      <c r="N587" s="596">
        <f t="shared" si="28"/>
        <v>128</v>
      </c>
      <c r="O587" s="176"/>
      <c r="P587" s="179">
        <f>IF(A587&lt;&gt;"", Снабжения!H587 / VLOOKUP(A587, 'Курс валют'!$A:$D, 4, 0), "")</f>
        <v>0</v>
      </c>
    </row>
    <row r="588" spans="1:16" ht="20.100000000000001" customHeight="1" x14ac:dyDescent="0.45">
      <c r="A588" s="156">
        <v>46132</v>
      </c>
      <c r="B588" s="152" t="s">
        <v>284</v>
      </c>
      <c r="C588" s="149" t="s">
        <v>69</v>
      </c>
      <c r="D588" s="159" t="s">
        <v>220</v>
      </c>
      <c r="E588" s="180"/>
      <c r="F588" s="458">
        <v>3</v>
      </c>
      <c r="G588" s="164"/>
      <c r="H588" s="169">
        <f t="shared" si="30"/>
        <v>0</v>
      </c>
      <c r="I588" s="173"/>
      <c r="J588" s="171"/>
      <c r="K588" s="149"/>
      <c r="L588" s="149"/>
      <c r="M588" s="159"/>
      <c r="N588" s="596">
        <f t="shared" si="28"/>
        <v>1</v>
      </c>
      <c r="O588" s="176"/>
      <c r="P588" s="179">
        <f>IF(A588&lt;&gt;"", Снабжения!H588 / VLOOKUP(A588, 'Курс валют'!$A:$D, 4, 0), "")</f>
        <v>0</v>
      </c>
    </row>
    <row r="589" spans="1:16" ht="20.100000000000001" customHeight="1" x14ac:dyDescent="0.45">
      <c r="A589" s="156">
        <v>46132</v>
      </c>
      <c r="B589" s="152" t="s">
        <v>254</v>
      </c>
      <c r="C589" s="149" t="s">
        <v>69</v>
      </c>
      <c r="D589" s="159" t="s">
        <v>220</v>
      </c>
      <c r="E589" s="180"/>
      <c r="F589" s="458">
        <v>3</v>
      </c>
      <c r="G589" s="164"/>
      <c r="H589" s="169">
        <f t="shared" si="30"/>
        <v>0</v>
      </c>
      <c r="I589" s="173"/>
      <c r="J589" s="171"/>
      <c r="K589" s="149"/>
      <c r="L589" s="149"/>
      <c r="M589" s="159"/>
      <c r="N589" s="596">
        <f t="shared" si="28"/>
        <v>33</v>
      </c>
      <c r="O589" s="176"/>
      <c r="P589" s="179">
        <f>IF(A589&lt;&gt;"", Снабжения!H589 / VLOOKUP(A589, 'Курс валют'!$A:$D, 4, 0), "")</f>
        <v>0</v>
      </c>
    </row>
    <row r="590" spans="1:16" ht="20.100000000000001" customHeight="1" x14ac:dyDescent="0.45">
      <c r="A590" s="156">
        <v>46132</v>
      </c>
      <c r="B590" s="152" t="s">
        <v>253</v>
      </c>
      <c r="C590" s="149" t="s">
        <v>69</v>
      </c>
      <c r="D590" s="159" t="s">
        <v>220</v>
      </c>
      <c r="E590" s="180"/>
      <c r="F590" s="458">
        <v>1</v>
      </c>
      <c r="G590" s="164"/>
      <c r="H590" s="169">
        <f t="shared" si="30"/>
        <v>0</v>
      </c>
      <c r="I590" s="173"/>
      <c r="J590" s="171"/>
      <c r="K590" s="149"/>
      <c r="L590" s="149"/>
      <c r="M590" s="159"/>
      <c r="N590" s="596">
        <f t="shared" ref="N590:N653" si="31">SUMIF(B:B,B590,E:E)-SUMIF(B:B,B590,F:F)</f>
        <v>8</v>
      </c>
      <c r="O590" s="176"/>
      <c r="P590" s="179">
        <f>IF(A590&lt;&gt;"", Снабжения!H590 / VLOOKUP(A590, 'Курс валют'!$A:$D, 4, 0), "")</f>
        <v>0</v>
      </c>
    </row>
    <row r="591" spans="1:16" ht="20.100000000000001" customHeight="1" x14ac:dyDescent="0.45">
      <c r="A591" s="156">
        <v>46132</v>
      </c>
      <c r="B591" s="152" t="s">
        <v>210</v>
      </c>
      <c r="C591" s="149" t="s">
        <v>69</v>
      </c>
      <c r="D591" s="159" t="s">
        <v>220</v>
      </c>
      <c r="E591" s="180"/>
      <c r="F591" s="458">
        <v>100</v>
      </c>
      <c r="G591" s="164"/>
      <c r="H591" s="169">
        <f t="shared" si="30"/>
        <v>0</v>
      </c>
      <c r="I591" s="173"/>
      <c r="J591" s="171"/>
      <c r="K591" s="149"/>
      <c r="L591" s="149"/>
      <c r="M591" s="159"/>
      <c r="N591" s="596">
        <f t="shared" si="31"/>
        <v>405</v>
      </c>
      <c r="O591" s="176"/>
      <c r="P591" s="179">
        <f>IF(A591&lt;&gt;"", Снабжения!H591 / VLOOKUP(A591, 'Курс валют'!$A:$D, 4, 0), "")</f>
        <v>0</v>
      </c>
    </row>
    <row r="592" spans="1:16" ht="20.100000000000001" customHeight="1" x14ac:dyDescent="0.45">
      <c r="A592" s="156">
        <v>46132</v>
      </c>
      <c r="B592" s="152" t="s">
        <v>283</v>
      </c>
      <c r="C592" s="149" t="s">
        <v>127</v>
      </c>
      <c r="D592" s="159" t="s">
        <v>220</v>
      </c>
      <c r="E592" s="180"/>
      <c r="F592" s="458">
        <v>4</v>
      </c>
      <c r="G592" s="164"/>
      <c r="H592" s="169">
        <f t="shared" si="30"/>
        <v>0</v>
      </c>
      <c r="I592" s="173"/>
      <c r="J592" s="171"/>
      <c r="K592" s="149"/>
      <c r="L592" s="149"/>
      <c r="M592" s="159"/>
      <c r="N592" s="596">
        <f t="shared" si="31"/>
        <v>18</v>
      </c>
      <c r="O592" s="176"/>
      <c r="P592" s="179">
        <f>IF(A592&lt;&gt;"", Снабжения!H592 / VLOOKUP(A592, 'Курс валют'!$A:$D, 4, 0), "")</f>
        <v>0</v>
      </c>
    </row>
    <row r="593" spans="1:16" ht="20.100000000000001" customHeight="1" x14ac:dyDescent="0.45">
      <c r="A593" s="156">
        <v>46132</v>
      </c>
      <c r="B593" s="152" t="s">
        <v>228</v>
      </c>
      <c r="C593" s="149" t="s">
        <v>59</v>
      </c>
      <c r="D593" s="159" t="s">
        <v>187</v>
      </c>
      <c r="E593" s="180"/>
      <c r="F593" s="458">
        <v>25</v>
      </c>
      <c r="G593" s="164"/>
      <c r="H593" s="169">
        <f t="shared" si="30"/>
        <v>0</v>
      </c>
      <c r="I593" s="173"/>
      <c r="J593" s="171"/>
      <c r="K593" s="149"/>
      <c r="L593" s="149"/>
      <c r="M593" s="159"/>
      <c r="N593" s="596">
        <f t="shared" si="31"/>
        <v>125</v>
      </c>
      <c r="O593" s="176"/>
      <c r="P593" s="179">
        <f>IF(A593&lt;&gt;"", Снабжения!H593 / VLOOKUP(A593, 'Курс валют'!$A:$D, 4, 0), "")</f>
        <v>0</v>
      </c>
    </row>
    <row r="594" spans="1:16" ht="20.100000000000001" customHeight="1" x14ac:dyDescent="0.45">
      <c r="A594" s="156">
        <v>46132</v>
      </c>
      <c r="B594" s="152" t="s">
        <v>271</v>
      </c>
      <c r="C594" s="149" t="s">
        <v>69</v>
      </c>
      <c r="D594" s="159" t="s">
        <v>220</v>
      </c>
      <c r="E594" s="180"/>
      <c r="F594" s="458">
        <v>5</v>
      </c>
      <c r="G594" s="164"/>
      <c r="H594" s="169">
        <f t="shared" si="30"/>
        <v>0</v>
      </c>
      <c r="I594" s="173"/>
      <c r="J594" s="171"/>
      <c r="K594" s="149"/>
      <c r="L594" s="149"/>
      <c r="M594" s="159"/>
      <c r="N594" s="596">
        <f t="shared" si="31"/>
        <v>42</v>
      </c>
      <c r="O594" s="176"/>
      <c r="P594" s="179">
        <f>IF(A594&lt;&gt;"", Снабжения!H594 / VLOOKUP(A594, 'Курс валют'!$A:$D, 4, 0), "")</f>
        <v>0</v>
      </c>
    </row>
    <row r="595" spans="1:16" ht="20.100000000000001" customHeight="1" x14ac:dyDescent="0.45">
      <c r="A595" s="156">
        <v>46132</v>
      </c>
      <c r="B595" s="152" t="s">
        <v>219</v>
      </c>
      <c r="C595" s="149" t="s">
        <v>59</v>
      </c>
      <c r="D595" s="159" t="s">
        <v>220</v>
      </c>
      <c r="E595" s="180"/>
      <c r="F595" s="458">
        <v>2.5</v>
      </c>
      <c r="G595" s="164"/>
      <c r="H595" s="169">
        <f t="shared" si="30"/>
        <v>0</v>
      </c>
      <c r="I595" s="173"/>
      <c r="J595" s="171"/>
      <c r="K595" s="149"/>
      <c r="L595" s="149"/>
      <c r="M595" s="159"/>
      <c r="N595" s="596">
        <f t="shared" si="31"/>
        <v>41.5</v>
      </c>
      <c r="O595" s="176"/>
      <c r="P595" s="179">
        <f>IF(A595&lt;&gt;"", Снабжения!H595 / VLOOKUP(A595, 'Курс валют'!$A:$D, 4, 0), "")</f>
        <v>0</v>
      </c>
    </row>
    <row r="596" spans="1:16" ht="20.100000000000001" customHeight="1" x14ac:dyDescent="0.45">
      <c r="A596" s="156">
        <v>46133</v>
      </c>
      <c r="B596" s="152" t="s">
        <v>254</v>
      </c>
      <c r="C596" s="149" t="s">
        <v>69</v>
      </c>
      <c r="D596" s="159" t="s">
        <v>220</v>
      </c>
      <c r="E596" s="180"/>
      <c r="F596" s="458">
        <v>9</v>
      </c>
      <c r="G596" s="164"/>
      <c r="H596" s="169">
        <f t="shared" si="30"/>
        <v>0</v>
      </c>
      <c r="I596" s="173"/>
      <c r="J596" s="171"/>
      <c r="K596" s="149"/>
      <c r="L596" s="149"/>
      <c r="M596" s="159"/>
      <c r="N596" s="596">
        <f t="shared" si="31"/>
        <v>33</v>
      </c>
      <c r="O596" s="176"/>
      <c r="P596" s="179">
        <f>IF(A596&lt;&gt;"", Снабжения!H596 / VLOOKUP(A596, 'Курс валют'!$A:$D, 4, 0), "")</f>
        <v>0</v>
      </c>
    </row>
    <row r="597" spans="1:16" ht="20.100000000000001" customHeight="1" x14ac:dyDescent="0.45">
      <c r="A597" s="156">
        <v>46133</v>
      </c>
      <c r="B597" s="152" t="s">
        <v>188</v>
      </c>
      <c r="C597" s="149" t="s">
        <v>59</v>
      </c>
      <c r="D597" s="159" t="s">
        <v>187</v>
      </c>
      <c r="E597" s="180"/>
      <c r="F597" s="458">
        <v>20</v>
      </c>
      <c r="G597" s="164"/>
      <c r="H597" s="169">
        <f t="shared" si="30"/>
        <v>0</v>
      </c>
      <c r="I597" s="173"/>
      <c r="J597" s="171"/>
      <c r="K597" s="149"/>
      <c r="L597" s="149"/>
      <c r="M597" s="159"/>
      <c r="N597" s="596">
        <f t="shared" si="31"/>
        <v>20</v>
      </c>
      <c r="O597" s="176"/>
      <c r="P597" s="179">
        <f>IF(A597&lt;&gt;"", Снабжения!H597 / VLOOKUP(A597, 'Курс валют'!$A:$D, 4, 0), "")</f>
        <v>0</v>
      </c>
    </row>
    <row r="598" spans="1:16" ht="20.100000000000001" customHeight="1" x14ac:dyDescent="0.45">
      <c r="A598" s="156">
        <v>46133</v>
      </c>
      <c r="B598" s="152" t="s">
        <v>189</v>
      </c>
      <c r="C598" s="149" t="s">
        <v>69</v>
      </c>
      <c r="D598" s="159" t="s">
        <v>220</v>
      </c>
      <c r="E598" s="180"/>
      <c r="F598" s="458">
        <v>3</v>
      </c>
      <c r="G598" s="164"/>
      <c r="H598" s="169">
        <f t="shared" si="30"/>
        <v>0</v>
      </c>
      <c r="I598" s="173"/>
      <c r="J598" s="171"/>
      <c r="K598" s="149"/>
      <c r="L598" s="149"/>
      <c r="M598" s="159"/>
      <c r="N598" s="596">
        <f t="shared" si="31"/>
        <v>309</v>
      </c>
      <c r="O598" s="176"/>
      <c r="P598" s="179">
        <f>IF(A598&lt;&gt;"", Снабжения!H598 / VLOOKUP(A598, 'Курс валют'!$A:$D, 4, 0), "")</f>
        <v>0</v>
      </c>
    </row>
    <row r="599" spans="1:16" ht="20.100000000000001" customHeight="1" x14ac:dyDescent="0.45">
      <c r="A599" s="156">
        <v>46133</v>
      </c>
      <c r="B599" s="152" t="s">
        <v>209</v>
      </c>
      <c r="C599" s="149" t="s">
        <v>69</v>
      </c>
      <c r="D599" s="159" t="s">
        <v>220</v>
      </c>
      <c r="E599" s="180"/>
      <c r="F599" s="458">
        <v>2</v>
      </c>
      <c r="G599" s="164"/>
      <c r="H599" s="169">
        <f t="shared" si="30"/>
        <v>0</v>
      </c>
      <c r="I599" s="173"/>
      <c r="J599" s="171"/>
      <c r="K599" s="149"/>
      <c r="L599" s="149"/>
      <c r="M599" s="159"/>
      <c r="N599" s="596">
        <f t="shared" si="31"/>
        <v>128</v>
      </c>
      <c r="O599" s="176"/>
      <c r="P599" s="179">
        <f>IF(A599&lt;&gt;"", Снабжения!H599 / VLOOKUP(A599, 'Курс валют'!$A:$D, 4, 0), "")</f>
        <v>0</v>
      </c>
    </row>
    <row r="600" spans="1:16" ht="20.100000000000001" customHeight="1" x14ac:dyDescent="0.45">
      <c r="A600" s="156">
        <v>46133</v>
      </c>
      <c r="B600" s="152" t="s">
        <v>178</v>
      </c>
      <c r="C600" s="149" t="s">
        <v>69</v>
      </c>
      <c r="D600" s="159" t="s">
        <v>220</v>
      </c>
      <c r="E600" s="180"/>
      <c r="F600" s="458">
        <v>3</v>
      </c>
      <c r="G600" s="164"/>
      <c r="H600" s="169">
        <f t="shared" si="30"/>
        <v>0</v>
      </c>
      <c r="I600" s="173"/>
      <c r="J600" s="171"/>
      <c r="K600" s="149"/>
      <c r="L600" s="149"/>
      <c r="M600" s="159"/>
      <c r="N600" s="596">
        <f t="shared" si="31"/>
        <v>5</v>
      </c>
      <c r="O600" s="176"/>
      <c r="P600" s="179">
        <f>IF(A600&lt;&gt;"", Снабжения!H600 / VLOOKUP(A600, 'Курс валют'!$A:$D, 4, 0), "")</f>
        <v>0</v>
      </c>
    </row>
    <row r="601" spans="1:16" ht="20.100000000000001" customHeight="1" x14ac:dyDescent="0.45">
      <c r="A601" s="156">
        <v>46133</v>
      </c>
      <c r="B601" s="152" t="s">
        <v>219</v>
      </c>
      <c r="C601" s="149" t="s">
        <v>59</v>
      </c>
      <c r="D601" s="159" t="s">
        <v>220</v>
      </c>
      <c r="E601" s="180"/>
      <c r="F601" s="458">
        <v>2.5</v>
      </c>
      <c r="G601" s="164"/>
      <c r="H601" s="169">
        <f t="shared" si="30"/>
        <v>0</v>
      </c>
      <c r="I601" s="173"/>
      <c r="J601" s="171"/>
      <c r="K601" s="149"/>
      <c r="L601" s="149"/>
      <c r="M601" s="159"/>
      <c r="N601" s="596">
        <f t="shared" si="31"/>
        <v>41.5</v>
      </c>
      <c r="O601" s="176"/>
      <c r="P601" s="179">
        <f>IF(A601&lt;&gt;"", Снабжения!H601 / VLOOKUP(A601, 'Курс валют'!$A:$D, 4, 0), "")</f>
        <v>0</v>
      </c>
    </row>
    <row r="602" spans="1:16" ht="20.100000000000001" customHeight="1" x14ac:dyDescent="0.45">
      <c r="A602" s="156">
        <v>46133</v>
      </c>
      <c r="B602" s="152" t="s">
        <v>182</v>
      </c>
      <c r="C602" s="149" t="s">
        <v>69</v>
      </c>
      <c r="D602" s="159" t="s">
        <v>220</v>
      </c>
      <c r="E602" s="180"/>
      <c r="F602" s="458">
        <v>3</v>
      </c>
      <c r="G602" s="164"/>
      <c r="H602" s="169">
        <f t="shared" si="30"/>
        <v>0</v>
      </c>
      <c r="I602" s="173"/>
      <c r="J602" s="171"/>
      <c r="K602" s="149"/>
      <c r="L602" s="149"/>
      <c r="M602" s="159"/>
      <c r="N602" s="596">
        <f t="shared" si="31"/>
        <v>22</v>
      </c>
      <c r="O602" s="176"/>
      <c r="P602" s="179">
        <f>IF(A602&lt;&gt;"", Снабжения!H602 / VLOOKUP(A602, 'Курс валют'!$A:$D, 4, 0), "")</f>
        <v>0</v>
      </c>
    </row>
    <row r="603" spans="1:16" ht="20.100000000000001" customHeight="1" x14ac:dyDescent="0.45">
      <c r="A603" s="156">
        <v>46133</v>
      </c>
      <c r="B603" s="152" t="s">
        <v>186</v>
      </c>
      <c r="C603" s="149" t="s">
        <v>59</v>
      </c>
      <c r="D603" s="159" t="s">
        <v>187</v>
      </c>
      <c r="E603" s="180"/>
      <c r="F603" s="458">
        <v>20</v>
      </c>
      <c r="G603" s="164"/>
      <c r="H603" s="169">
        <f t="shared" si="30"/>
        <v>0</v>
      </c>
      <c r="I603" s="173"/>
      <c r="J603" s="171"/>
      <c r="K603" s="149"/>
      <c r="L603" s="149"/>
      <c r="M603" s="159"/>
      <c r="N603" s="596">
        <f t="shared" si="31"/>
        <v>40</v>
      </c>
      <c r="O603" s="176"/>
      <c r="P603" s="179">
        <f>IF(A603&lt;&gt;"", Снабжения!H603 / VLOOKUP(A603, 'Курс валют'!$A:$D, 4, 0), "")</f>
        <v>0</v>
      </c>
    </row>
    <row r="604" spans="1:16" ht="20.100000000000001" customHeight="1" x14ac:dyDescent="0.45">
      <c r="A604" s="156">
        <v>46133</v>
      </c>
      <c r="B604" s="152" t="s">
        <v>223</v>
      </c>
      <c r="C604" s="149" t="s">
        <v>69</v>
      </c>
      <c r="D604" s="159" t="s">
        <v>220</v>
      </c>
      <c r="E604" s="180"/>
      <c r="F604" s="458">
        <v>2</v>
      </c>
      <c r="G604" s="164"/>
      <c r="H604" s="169">
        <f t="shared" si="30"/>
        <v>0</v>
      </c>
      <c r="I604" s="173"/>
      <c r="J604" s="171"/>
      <c r="K604" s="149"/>
      <c r="L604" s="149"/>
      <c r="M604" s="159"/>
      <c r="N604" s="596">
        <f t="shared" si="31"/>
        <v>8</v>
      </c>
      <c r="O604" s="176"/>
      <c r="P604" s="179">
        <f>IF(A604&lt;&gt;"", Снабжения!H604 / VLOOKUP(A604, 'Курс валют'!$A:$D, 4, 0), "")</f>
        <v>0</v>
      </c>
    </row>
    <row r="605" spans="1:16" ht="20.100000000000001" customHeight="1" x14ac:dyDescent="0.45">
      <c r="A605" s="156">
        <v>46133</v>
      </c>
      <c r="B605" s="152" t="s">
        <v>203</v>
      </c>
      <c r="C605" s="149" t="s">
        <v>69</v>
      </c>
      <c r="D605" s="159" t="s">
        <v>204</v>
      </c>
      <c r="E605" s="180"/>
      <c r="F605" s="458">
        <v>1</v>
      </c>
      <c r="G605" s="164"/>
      <c r="H605" s="169">
        <f t="shared" si="30"/>
        <v>0</v>
      </c>
      <c r="I605" s="173"/>
      <c r="J605" s="171"/>
      <c r="K605" s="149"/>
      <c r="L605" s="149"/>
      <c r="M605" s="159"/>
      <c r="N605" s="596">
        <f t="shared" si="31"/>
        <v>11</v>
      </c>
      <c r="O605" s="176"/>
      <c r="P605" s="179">
        <f>IF(A605&lt;&gt;"", Снабжения!H605 / VLOOKUP(A605, 'Курс валют'!$A:$D, 4, 0), "")</f>
        <v>0</v>
      </c>
    </row>
    <row r="606" spans="1:16" ht="20.100000000000001" customHeight="1" x14ac:dyDescent="0.45">
      <c r="A606" s="156">
        <v>46133</v>
      </c>
      <c r="B606" s="152" t="s">
        <v>205</v>
      </c>
      <c r="C606" s="149" t="s">
        <v>69</v>
      </c>
      <c r="D606" s="159" t="s">
        <v>204</v>
      </c>
      <c r="E606" s="180"/>
      <c r="F606" s="458">
        <v>1</v>
      </c>
      <c r="G606" s="164"/>
      <c r="H606" s="169">
        <f t="shared" si="30"/>
        <v>0</v>
      </c>
      <c r="I606" s="173"/>
      <c r="J606" s="171"/>
      <c r="K606" s="149"/>
      <c r="L606" s="149"/>
      <c r="M606" s="159"/>
      <c r="N606" s="596">
        <f t="shared" si="31"/>
        <v>8</v>
      </c>
      <c r="O606" s="176"/>
      <c r="P606" s="179">
        <f>IF(A606&lt;&gt;"", Снабжения!H606 / VLOOKUP(A606, 'Курс валют'!$A:$D, 4, 0), "")</f>
        <v>0</v>
      </c>
    </row>
    <row r="607" spans="1:16" ht="20.100000000000001" customHeight="1" x14ac:dyDescent="0.45">
      <c r="A607" s="156">
        <v>46134</v>
      </c>
      <c r="B607" s="152" t="s">
        <v>189</v>
      </c>
      <c r="C607" s="149" t="s">
        <v>69</v>
      </c>
      <c r="D607" s="159" t="s">
        <v>220</v>
      </c>
      <c r="E607" s="180"/>
      <c r="F607" s="458">
        <v>37</v>
      </c>
      <c r="G607" s="164"/>
      <c r="H607" s="169">
        <f t="shared" si="30"/>
        <v>0</v>
      </c>
      <c r="I607" s="173"/>
      <c r="J607" s="171"/>
      <c r="K607" s="149"/>
      <c r="L607" s="149"/>
      <c r="M607" s="159"/>
      <c r="N607" s="596">
        <f t="shared" si="31"/>
        <v>309</v>
      </c>
      <c r="O607" s="176"/>
      <c r="P607" s="179">
        <f>IF(A607&lt;&gt;"", Снабжения!H607 / VLOOKUP(A607, 'Курс валют'!$A:$D, 4, 0), "")</f>
        <v>0</v>
      </c>
    </row>
    <row r="608" spans="1:16" ht="20.100000000000001" customHeight="1" x14ac:dyDescent="0.45">
      <c r="A608" s="156">
        <v>46134</v>
      </c>
      <c r="B608" s="152" t="s">
        <v>259</v>
      </c>
      <c r="C608" s="149" t="s">
        <v>62</v>
      </c>
      <c r="D608" s="159" t="s">
        <v>220</v>
      </c>
      <c r="E608" s="180"/>
      <c r="F608" s="458">
        <v>40</v>
      </c>
      <c r="G608" s="164"/>
      <c r="H608" s="169">
        <f t="shared" si="30"/>
        <v>0</v>
      </c>
      <c r="I608" s="173"/>
      <c r="J608" s="171"/>
      <c r="K608" s="149"/>
      <c r="L608" s="149"/>
      <c r="M608" s="159"/>
      <c r="N608" s="596">
        <f t="shared" si="31"/>
        <v>40</v>
      </c>
      <c r="O608" s="176"/>
      <c r="P608" s="179">
        <f>IF(A608&lt;&gt;"", Снабжения!H608 / VLOOKUP(A608, 'Курс валют'!$A:$D, 4, 0), "")</f>
        <v>0</v>
      </c>
    </row>
    <row r="609" spans="1:16" ht="20.100000000000001" customHeight="1" x14ac:dyDescent="0.45">
      <c r="A609" s="156">
        <v>46134</v>
      </c>
      <c r="B609" s="152" t="s">
        <v>219</v>
      </c>
      <c r="C609" s="149" t="s">
        <v>59</v>
      </c>
      <c r="D609" s="159" t="s">
        <v>220</v>
      </c>
      <c r="E609" s="180"/>
      <c r="F609" s="458">
        <v>2.5</v>
      </c>
      <c r="G609" s="164"/>
      <c r="H609" s="169">
        <f t="shared" si="30"/>
        <v>0</v>
      </c>
      <c r="I609" s="173"/>
      <c r="J609" s="171"/>
      <c r="K609" s="149"/>
      <c r="L609" s="149"/>
      <c r="M609" s="159"/>
      <c r="N609" s="596">
        <f t="shared" si="31"/>
        <v>41.5</v>
      </c>
      <c r="O609" s="176"/>
      <c r="P609" s="179">
        <f>IF(A609&lt;&gt;"", Снабжения!H609 / VLOOKUP(A609, 'Курс валют'!$A:$D, 4, 0), "")</f>
        <v>0</v>
      </c>
    </row>
    <row r="610" spans="1:16" ht="20.100000000000001" customHeight="1" x14ac:dyDescent="0.45">
      <c r="A610" s="156">
        <v>46135</v>
      </c>
      <c r="B610" s="152" t="s">
        <v>188</v>
      </c>
      <c r="C610" s="149" t="s">
        <v>59</v>
      </c>
      <c r="D610" s="159" t="s">
        <v>187</v>
      </c>
      <c r="E610" s="180"/>
      <c r="F610" s="458">
        <v>8</v>
      </c>
      <c r="G610" s="164"/>
      <c r="H610" s="169">
        <f t="shared" si="30"/>
        <v>0</v>
      </c>
      <c r="I610" s="173"/>
      <c r="J610" s="171"/>
      <c r="K610" s="149"/>
      <c r="L610" s="149"/>
      <c r="M610" s="159"/>
      <c r="N610" s="596">
        <f t="shared" si="31"/>
        <v>20</v>
      </c>
      <c r="O610" s="176"/>
      <c r="P610" s="179">
        <f>IF(A610&lt;&gt;"", Снабжения!H610 / VLOOKUP(A610, 'Курс валют'!$A:$D, 4, 0), "")</f>
        <v>0</v>
      </c>
    </row>
    <row r="611" spans="1:16" ht="20.100000000000001" customHeight="1" x14ac:dyDescent="0.45">
      <c r="A611" s="156">
        <v>46135</v>
      </c>
      <c r="B611" s="152" t="s">
        <v>186</v>
      </c>
      <c r="C611" s="149" t="s">
        <v>59</v>
      </c>
      <c r="D611" s="159" t="s">
        <v>187</v>
      </c>
      <c r="E611" s="180"/>
      <c r="F611" s="458">
        <v>20</v>
      </c>
      <c r="G611" s="164"/>
      <c r="H611" s="169">
        <f t="shared" si="30"/>
        <v>0</v>
      </c>
      <c r="I611" s="173"/>
      <c r="J611" s="171"/>
      <c r="K611" s="149"/>
      <c r="L611" s="149"/>
      <c r="M611" s="159"/>
      <c r="N611" s="596">
        <f t="shared" si="31"/>
        <v>40</v>
      </c>
      <c r="O611" s="176"/>
      <c r="P611" s="179">
        <f>IF(A611&lt;&gt;"", Снабжения!H611 / VLOOKUP(A611, 'Курс валют'!$A:$D, 4, 0), "")</f>
        <v>0</v>
      </c>
    </row>
    <row r="612" spans="1:16" ht="20.100000000000001" customHeight="1" x14ac:dyDescent="0.45">
      <c r="A612" s="156">
        <v>46135</v>
      </c>
      <c r="B612" s="152" t="s">
        <v>190</v>
      </c>
      <c r="C612" s="149" t="s">
        <v>59</v>
      </c>
      <c r="D612" s="159" t="s">
        <v>187</v>
      </c>
      <c r="E612" s="180"/>
      <c r="F612" s="458">
        <v>11</v>
      </c>
      <c r="G612" s="164"/>
      <c r="H612" s="169">
        <f t="shared" si="30"/>
        <v>0</v>
      </c>
      <c r="I612" s="173"/>
      <c r="J612" s="171"/>
      <c r="K612" s="149"/>
      <c r="L612" s="149"/>
      <c r="M612" s="159"/>
      <c r="N612" s="596">
        <f t="shared" si="31"/>
        <v>80</v>
      </c>
      <c r="O612" s="176"/>
      <c r="P612" s="179">
        <f>IF(A612&lt;&gt;"", Снабжения!H612 / VLOOKUP(A612, 'Курс валют'!$A:$D, 4, 0), "")</f>
        <v>0</v>
      </c>
    </row>
    <row r="613" spans="1:16" ht="20.100000000000001" customHeight="1" x14ac:dyDescent="0.45">
      <c r="A613" s="156">
        <v>46135</v>
      </c>
      <c r="B613" s="152" t="s">
        <v>209</v>
      </c>
      <c r="C613" s="149" t="s">
        <v>69</v>
      </c>
      <c r="D613" s="159" t="s">
        <v>220</v>
      </c>
      <c r="E613" s="180"/>
      <c r="F613" s="458">
        <v>4</v>
      </c>
      <c r="G613" s="164"/>
      <c r="H613" s="169">
        <f t="shared" si="30"/>
        <v>0</v>
      </c>
      <c r="I613" s="173"/>
      <c r="J613" s="171"/>
      <c r="K613" s="149"/>
      <c r="L613" s="149"/>
      <c r="M613" s="159"/>
      <c r="N613" s="596">
        <f t="shared" si="31"/>
        <v>128</v>
      </c>
      <c r="O613" s="176"/>
      <c r="P613" s="179">
        <f>IF(A613&lt;&gt;"", Снабжения!H613 / VLOOKUP(A613, 'Курс валют'!$A:$D, 4, 0), "")</f>
        <v>0</v>
      </c>
    </row>
    <row r="614" spans="1:16" ht="20.100000000000001" customHeight="1" x14ac:dyDescent="0.45">
      <c r="A614" s="156">
        <v>46135</v>
      </c>
      <c r="B614" s="152" t="s">
        <v>182</v>
      </c>
      <c r="C614" s="149" t="s">
        <v>69</v>
      </c>
      <c r="D614" s="159" t="s">
        <v>220</v>
      </c>
      <c r="E614" s="180"/>
      <c r="F614" s="458">
        <v>2</v>
      </c>
      <c r="G614" s="164"/>
      <c r="H614" s="169">
        <f t="shared" si="30"/>
        <v>0</v>
      </c>
      <c r="I614" s="173"/>
      <c r="J614" s="171"/>
      <c r="K614" s="149"/>
      <c r="L614" s="149"/>
      <c r="M614" s="159"/>
      <c r="N614" s="596">
        <f t="shared" si="31"/>
        <v>22</v>
      </c>
      <c r="O614" s="176"/>
      <c r="P614" s="179">
        <f>IF(A614&lt;&gt;"", Снабжения!H614 / VLOOKUP(A614, 'Курс валют'!$A:$D, 4, 0), "")</f>
        <v>0</v>
      </c>
    </row>
    <row r="615" spans="1:16" ht="20.100000000000001" customHeight="1" x14ac:dyDescent="0.45">
      <c r="A615" s="156">
        <v>46136</v>
      </c>
      <c r="B615" s="152" t="s">
        <v>209</v>
      </c>
      <c r="C615" s="149" t="s">
        <v>69</v>
      </c>
      <c r="D615" s="159" t="s">
        <v>220</v>
      </c>
      <c r="E615" s="180"/>
      <c r="F615" s="458">
        <v>3</v>
      </c>
      <c r="G615" s="164"/>
      <c r="H615" s="169">
        <f t="shared" si="30"/>
        <v>0</v>
      </c>
      <c r="I615" s="173"/>
      <c r="J615" s="171"/>
      <c r="K615" s="149"/>
      <c r="L615" s="149"/>
      <c r="M615" s="159"/>
      <c r="N615" s="596">
        <f t="shared" si="31"/>
        <v>128</v>
      </c>
      <c r="O615" s="176"/>
      <c r="P615" s="179">
        <f>IF(A615&lt;&gt;"", Снабжения!H615 / VLOOKUP(A615, 'Курс валют'!$A:$D, 4, 0), "")</f>
        <v>0</v>
      </c>
    </row>
    <row r="616" spans="1:16" ht="20.100000000000001" customHeight="1" x14ac:dyDescent="0.45">
      <c r="A616" s="156">
        <v>46136</v>
      </c>
      <c r="B616" s="152" t="s">
        <v>189</v>
      </c>
      <c r="C616" s="149" t="s">
        <v>69</v>
      </c>
      <c r="D616" s="159" t="s">
        <v>220</v>
      </c>
      <c r="E616" s="180"/>
      <c r="F616" s="458">
        <v>3</v>
      </c>
      <c r="G616" s="164"/>
      <c r="H616" s="169">
        <f t="shared" si="30"/>
        <v>0</v>
      </c>
      <c r="I616" s="173"/>
      <c r="J616" s="171"/>
      <c r="K616" s="149"/>
      <c r="L616" s="149"/>
      <c r="M616" s="159"/>
      <c r="N616" s="596">
        <f t="shared" si="31"/>
        <v>309</v>
      </c>
      <c r="O616" s="176"/>
      <c r="P616" s="179">
        <f>IF(A616&lt;&gt;"", Снабжения!H616 / VLOOKUP(A616, 'Курс валют'!$A:$D, 4, 0), "")</f>
        <v>0</v>
      </c>
    </row>
    <row r="617" spans="1:16" ht="20.100000000000001" customHeight="1" x14ac:dyDescent="0.45">
      <c r="A617" s="156">
        <v>46136</v>
      </c>
      <c r="B617" s="152" t="s">
        <v>228</v>
      </c>
      <c r="C617" s="149" t="s">
        <v>59</v>
      </c>
      <c r="D617" s="159" t="s">
        <v>187</v>
      </c>
      <c r="E617" s="180"/>
      <c r="F617" s="458">
        <v>50</v>
      </c>
      <c r="G617" s="164"/>
      <c r="H617" s="169">
        <f t="shared" si="30"/>
        <v>0</v>
      </c>
      <c r="I617" s="173"/>
      <c r="J617" s="171"/>
      <c r="K617" s="149"/>
      <c r="L617" s="149"/>
      <c r="M617" s="159"/>
      <c r="N617" s="596">
        <f t="shared" si="31"/>
        <v>125</v>
      </c>
      <c r="O617" s="176"/>
      <c r="P617" s="179">
        <f>IF(A617&lt;&gt;"", Снабжения!H617 / VLOOKUP(A617, 'Курс валют'!$A:$D, 4, 0), "")</f>
        <v>0</v>
      </c>
    </row>
    <row r="618" spans="1:16" ht="20.100000000000001" customHeight="1" x14ac:dyDescent="0.45">
      <c r="A618" s="156">
        <v>46136</v>
      </c>
      <c r="B618" s="152" t="s">
        <v>271</v>
      </c>
      <c r="C618" s="149" t="s">
        <v>69</v>
      </c>
      <c r="D618" s="159" t="s">
        <v>220</v>
      </c>
      <c r="E618" s="180"/>
      <c r="F618" s="458">
        <v>15</v>
      </c>
      <c r="G618" s="164"/>
      <c r="H618" s="169">
        <f t="shared" si="30"/>
        <v>0</v>
      </c>
      <c r="I618" s="173"/>
      <c r="J618" s="171"/>
      <c r="K618" s="149"/>
      <c r="L618" s="149"/>
      <c r="M618" s="159"/>
      <c r="N618" s="596">
        <f t="shared" si="31"/>
        <v>42</v>
      </c>
      <c r="O618" s="176"/>
      <c r="P618" s="179">
        <f>IF(A618&lt;&gt;"", Снабжения!H618 / VLOOKUP(A618, 'Курс валют'!$A:$D, 4, 0), "")</f>
        <v>0</v>
      </c>
    </row>
    <row r="619" spans="1:16" ht="20.100000000000001" customHeight="1" x14ac:dyDescent="0.45">
      <c r="A619" s="156">
        <v>46136</v>
      </c>
      <c r="B619" s="152" t="s">
        <v>272</v>
      </c>
      <c r="C619" s="149" t="s">
        <v>69</v>
      </c>
      <c r="D619" s="159" t="s">
        <v>220</v>
      </c>
      <c r="E619" s="180"/>
      <c r="F619" s="458">
        <v>5</v>
      </c>
      <c r="G619" s="164"/>
      <c r="H619" s="169">
        <f t="shared" si="30"/>
        <v>0</v>
      </c>
      <c r="I619" s="173"/>
      <c r="J619" s="171"/>
      <c r="K619" s="149"/>
      <c r="L619" s="149"/>
      <c r="M619" s="159"/>
      <c r="N619" s="596">
        <f t="shared" si="31"/>
        <v>87</v>
      </c>
      <c r="O619" s="176"/>
      <c r="P619" s="179">
        <f>IF(A619&lt;&gt;"", Снабжения!H619 / VLOOKUP(A619, 'Курс валют'!$A:$D, 4, 0), "")</f>
        <v>0</v>
      </c>
    </row>
    <row r="620" spans="1:16" ht="20.100000000000001" customHeight="1" x14ac:dyDescent="0.45">
      <c r="A620" s="156">
        <v>46136</v>
      </c>
      <c r="B620" s="152" t="s">
        <v>284</v>
      </c>
      <c r="C620" s="149" t="s">
        <v>69</v>
      </c>
      <c r="D620" s="159" t="s">
        <v>220</v>
      </c>
      <c r="E620" s="180"/>
      <c r="F620" s="458">
        <v>2</v>
      </c>
      <c r="G620" s="164"/>
      <c r="H620" s="169">
        <f t="shared" si="30"/>
        <v>0</v>
      </c>
      <c r="I620" s="173"/>
      <c r="J620" s="171"/>
      <c r="K620" s="149"/>
      <c r="L620" s="149"/>
      <c r="M620" s="159"/>
      <c r="N620" s="596">
        <f t="shared" si="31"/>
        <v>1</v>
      </c>
      <c r="O620" s="176"/>
      <c r="P620" s="179">
        <f>IF(A620&lt;&gt;"", Снабжения!H620 / VLOOKUP(A620, 'Курс валют'!$A:$D, 4, 0), "")</f>
        <v>0</v>
      </c>
    </row>
    <row r="621" spans="1:16" ht="20.100000000000001" customHeight="1" x14ac:dyDescent="0.45">
      <c r="A621" s="156">
        <v>46136</v>
      </c>
      <c r="B621" s="152" t="s">
        <v>219</v>
      </c>
      <c r="C621" s="149" t="s">
        <v>69</v>
      </c>
      <c r="D621" s="159" t="s">
        <v>220</v>
      </c>
      <c r="E621" s="180"/>
      <c r="F621" s="458">
        <v>2.5</v>
      </c>
      <c r="G621" s="164"/>
      <c r="H621" s="169">
        <f t="shared" si="30"/>
        <v>0</v>
      </c>
      <c r="I621" s="173"/>
      <c r="J621" s="171"/>
      <c r="K621" s="149"/>
      <c r="L621" s="149"/>
      <c r="M621" s="159"/>
      <c r="N621" s="596">
        <f t="shared" si="31"/>
        <v>41.5</v>
      </c>
      <c r="O621" s="176"/>
      <c r="P621" s="179">
        <f>IF(A621&lt;&gt;"", Снабжения!H621 / VLOOKUP(A621, 'Курс валют'!$A:$D, 4, 0), "")</f>
        <v>0</v>
      </c>
    </row>
    <row r="622" spans="1:16" ht="20.100000000000001" customHeight="1" x14ac:dyDescent="0.45">
      <c r="A622" s="156">
        <v>46136</v>
      </c>
      <c r="B622" s="152" t="s">
        <v>259</v>
      </c>
      <c r="C622" s="149" t="s">
        <v>62</v>
      </c>
      <c r="D622" s="159" t="s">
        <v>220</v>
      </c>
      <c r="E622" s="180"/>
      <c r="F622" s="458">
        <v>40</v>
      </c>
      <c r="G622" s="164"/>
      <c r="H622" s="169">
        <f t="shared" si="30"/>
        <v>0</v>
      </c>
      <c r="I622" s="173"/>
      <c r="J622" s="171"/>
      <c r="K622" s="149"/>
      <c r="L622" s="149"/>
      <c r="M622" s="159"/>
      <c r="N622" s="596">
        <f t="shared" si="31"/>
        <v>40</v>
      </c>
      <c r="O622" s="176"/>
      <c r="P622" s="179">
        <f>IF(A622&lt;&gt;"", Снабжения!H622 / VLOOKUP(A622, 'Курс валют'!$A:$D, 4, 0), "")</f>
        <v>0</v>
      </c>
    </row>
    <row r="623" spans="1:16" ht="20.100000000000001" customHeight="1" x14ac:dyDescent="0.45">
      <c r="A623" s="156">
        <v>46136</v>
      </c>
      <c r="B623" s="152" t="s">
        <v>283</v>
      </c>
      <c r="C623" s="149" t="s">
        <v>127</v>
      </c>
      <c r="D623" s="159" t="s">
        <v>220</v>
      </c>
      <c r="E623" s="180"/>
      <c r="F623" s="458">
        <v>1</v>
      </c>
      <c r="G623" s="164"/>
      <c r="H623" s="169">
        <f t="shared" si="30"/>
        <v>0</v>
      </c>
      <c r="I623" s="173"/>
      <c r="J623" s="171"/>
      <c r="K623" s="149"/>
      <c r="L623" s="149"/>
      <c r="M623" s="159"/>
      <c r="N623" s="596">
        <f t="shared" si="31"/>
        <v>18</v>
      </c>
      <c r="O623" s="176"/>
      <c r="P623" s="179">
        <f>IF(A623&lt;&gt;"", Снабжения!H623 / VLOOKUP(A623, 'Курс валют'!$A:$D, 4, 0), "")</f>
        <v>0</v>
      </c>
    </row>
    <row r="624" spans="1:16" ht="20.100000000000001" customHeight="1" x14ac:dyDescent="0.45">
      <c r="A624" s="156">
        <v>46137</v>
      </c>
      <c r="B624" s="152" t="s">
        <v>189</v>
      </c>
      <c r="C624" s="149" t="s">
        <v>69</v>
      </c>
      <c r="D624" s="159" t="s">
        <v>220</v>
      </c>
      <c r="E624" s="180"/>
      <c r="F624" s="458">
        <v>40</v>
      </c>
      <c r="G624" s="164"/>
      <c r="H624" s="169">
        <f t="shared" si="30"/>
        <v>0</v>
      </c>
      <c r="I624" s="173"/>
      <c r="J624" s="171"/>
      <c r="K624" s="149"/>
      <c r="L624" s="149"/>
      <c r="M624" s="159"/>
      <c r="N624" s="596">
        <f t="shared" si="31"/>
        <v>309</v>
      </c>
      <c r="O624" s="176"/>
      <c r="P624" s="179">
        <f>IF(A624&lt;&gt;"", Снабжения!H624 / VLOOKUP(A624, 'Курс валют'!$A:$D, 4, 0), "")</f>
        <v>0</v>
      </c>
    </row>
    <row r="625" spans="1:16" ht="20.100000000000001" customHeight="1" x14ac:dyDescent="0.45">
      <c r="A625" s="156">
        <v>46137</v>
      </c>
      <c r="B625" s="152" t="s">
        <v>188</v>
      </c>
      <c r="C625" s="149" t="s">
        <v>59</v>
      </c>
      <c r="D625" s="159" t="s">
        <v>187</v>
      </c>
      <c r="E625" s="180"/>
      <c r="F625" s="458">
        <v>13</v>
      </c>
      <c r="G625" s="164"/>
      <c r="H625" s="169">
        <f t="shared" si="30"/>
        <v>0</v>
      </c>
      <c r="I625" s="173"/>
      <c r="J625" s="171"/>
      <c r="K625" s="149"/>
      <c r="L625" s="149"/>
      <c r="M625" s="159"/>
      <c r="N625" s="596">
        <f t="shared" si="31"/>
        <v>20</v>
      </c>
      <c r="O625" s="176"/>
      <c r="P625" s="179">
        <f>IF(A625&lt;&gt;"", Снабжения!H625 / VLOOKUP(A625, 'Курс валют'!$A:$D, 4, 0), "")</f>
        <v>0</v>
      </c>
    </row>
    <row r="626" spans="1:16" ht="20.100000000000001" customHeight="1" x14ac:dyDescent="0.45">
      <c r="A626" s="156">
        <v>46137</v>
      </c>
      <c r="B626" s="152" t="s">
        <v>223</v>
      </c>
      <c r="C626" s="149" t="s">
        <v>69</v>
      </c>
      <c r="D626" s="159" t="s">
        <v>220</v>
      </c>
      <c r="E626" s="180"/>
      <c r="F626" s="458">
        <v>2</v>
      </c>
      <c r="G626" s="164"/>
      <c r="H626" s="169">
        <f t="shared" si="30"/>
        <v>0</v>
      </c>
      <c r="I626" s="173"/>
      <c r="J626" s="171"/>
      <c r="K626" s="149"/>
      <c r="L626" s="149"/>
      <c r="M626" s="159"/>
      <c r="N626" s="596">
        <f t="shared" si="31"/>
        <v>8</v>
      </c>
      <c r="O626" s="176"/>
      <c r="P626" s="179">
        <f>IF(A626&lt;&gt;"", Снабжения!H626 / VLOOKUP(A626, 'Курс валют'!$A:$D, 4, 0), "")</f>
        <v>0</v>
      </c>
    </row>
    <row r="627" spans="1:16" ht="20.100000000000001" customHeight="1" x14ac:dyDescent="0.45">
      <c r="A627" s="156">
        <v>46137</v>
      </c>
      <c r="B627" s="152" t="s">
        <v>295</v>
      </c>
      <c r="C627" s="149" t="s">
        <v>69</v>
      </c>
      <c r="D627" s="159" t="s">
        <v>204</v>
      </c>
      <c r="E627" s="180"/>
      <c r="F627" s="458">
        <v>1</v>
      </c>
      <c r="G627" s="164"/>
      <c r="H627" s="169">
        <f t="shared" si="30"/>
        <v>0</v>
      </c>
      <c r="I627" s="173"/>
      <c r="J627" s="171"/>
      <c r="K627" s="149"/>
      <c r="L627" s="149"/>
      <c r="M627" s="159"/>
      <c r="N627" s="596">
        <f t="shared" si="31"/>
        <v>1</v>
      </c>
      <c r="O627" s="176"/>
      <c r="P627" s="179">
        <f>IF(A627&lt;&gt;"", Снабжения!H627 / VLOOKUP(A627, 'Курс валют'!$A:$D, 4, 0), "")</f>
        <v>0</v>
      </c>
    </row>
    <row r="628" spans="1:16" ht="20.100000000000001" customHeight="1" x14ac:dyDescent="0.45">
      <c r="A628" s="156">
        <v>46137</v>
      </c>
      <c r="B628" s="152" t="s">
        <v>253</v>
      </c>
      <c r="C628" s="149" t="s">
        <v>69</v>
      </c>
      <c r="D628" s="159" t="s">
        <v>220</v>
      </c>
      <c r="E628" s="180"/>
      <c r="F628" s="458">
        <v>1</v>
      </c>
      <c r="G628" s="164"/>
      <c r="H628" s="169">
        <f t="shared" si="30"/>
        <v>0</v>
      </c>
      <c r="I628" s="173"/>
      <c r="J628" s="171"/>
      <c r="K628" s="149"/>
      <c r="L628" s="149"/>
      <c r="M628" s="159"/>
      <c r="N628" s="596">
        <f t="shared" si="31"/>
        <v>8</v>
      </c>
      <c r="O628" s="176"/>
      <c r="P628" s="179">
        <f>IF(A628&lt;&gt;"", Снабжения!H628 / VLOOKUP(A628, 'Курс валют'!$A:$D, 4, 0), "")</f>
        <v>0</v>
      </c>
    </row>
    <row r="629" spans="1:16" ht="20.100000000000001" customHeight="1" x14ac:dyDescent="0.45">
      <c r="A629" s="156">
        <v>46138</v>
      </c>
      <c r="B629" s="152" t="s">
        <v>203</v>
      </c>
      <c r="C629" s="149" t="s">
        <v>69</v>
      </c>
      <c r="D629" s="159" t="s">
        <v>204</v>
      </c>
      <c r="E629" s="180"/>
      <c r="F629" s="458">
        <v>1</v>
      </c>
      <c r="G629" s="164"/>
      <c r="H629" s="169">
        <f t="shared" si="30"/>
        <v>0</v>
      </c>
      <c r="I629" s="173"/>
      <c r="J629" s="171"/>
      <c r="K629" s="149"/>
      <c r="L629" s="149"/>
      <c r="M629" s="159"/>
      <c r="N629" s="596">
        <f t="shared" si="31"/>
        <v>11</v>
      </c>
      <c r="O629" s="176"/>
      <c r="P629" s="179">
        <f>IF(A629&lt;&gt;"", Снабжения!H629 / VLOOKUP(A629, 'Курс валют'!$A:$D, 4, 0), "")</f>
        <v>0</v>
      </c>
    </row>
    <row r="630" spans="1:16" ht="20.100000000000001" customHeight="1" x14ac:dyDescent="0.45">
      <c r="A630" s="156">
        <v>46138</v>
      </c>
      <c r="B630" s="152" t="s">
        <v>205</v>
      </c>
      <c r="C630" s="149" t="s">
        <v>69</v>
      </c>
      <c r="D630" s="159" t="s">
        <v>204</v>
      </c>
      <c r="E630" s="180"/>
      <c r="F630" s="458">
        <v>2</v>
      </c>
      <c r="G630" s="164"/>
      <c r="H630" s="169">
        <f t="shared" si="30"/>
        <v>0</v>
      </c>
      <c r="I630" s="173"/>
      <c r="J630" s="171"/>
      <c r="K630" s="149"/>
      <c r="L630" s="149"/>
      <c r="M630" s="159"/>
      <c r="N630" s="596">
        <f t="shared" si="31"/>
        <v>8</v>
      </c>
      <c r="O630" s="176"/>
      <c r="P630" s="179">
        <f>IF(A630&lt;&gt;"", Снабжения!H630 / VLOOKUP(A630, 'Курс валют'!$A:$D, 4, 0), "")</f>
        <v>0</v>
      </c>
    </row>
    <row r="631" spans="1:16" ht="20.100000000000001" customHeight="1" x14ac:dyDescent="0.45">
      <c r="A631" s="156">
        <v>46138</v>
      </c>
      <c r="B631" s="152" t="s">
        <v>253</v>
      </c>
      <c r="C631" s="149" t="s">
        <v>69</v>
      </c>
      <c r="D631" s="159" t="s">
        <v>204</v>
      </c>
      <c r="E631" s="180"/>
      <c r="F631" s="458">
        <v>2</v>
      </c>
      <c r="G631" s="164"/>
      <c r="H631" s="169">
        <f t="shared" si="30"/>
        <v>0</v>
      </c>
      <c r="I631" s="173"/>
      <c r="J631" s="171"/>
      <c r="K631" s="149"/>
      <c r="L631" s="149"/>
      <c r="M631" s="159"/>
      <c r="N631" s="596">
        <f t="shared" si="31"/>
        <v>8</v>
      </c>
      <c r="O631" s="176"/>
      <c r="P631" s="179">
        <f>IF(A631&lt;&gt;"", Снабжения!H631 / VLOOKUP(A631, 'Курс валют'!$A:$D, 4, 0), "")</f>
        <v>0</v>
      </c>
    </row>
    <row r="632" spans="1:16" ht="20.100000000000001" customHeight="1" x14ac:dyDescent="0.45">
      <c r="A632" s="156">
        <v>46138</v>
      </c>
      <c r="B632" s="152" t="s">
        <v>182</v>
      </c>
      <c r="C632" s="149" t="s">
        <v>69</v>
      </c>
      <c r="D632" s="159" t="s">
        <v>220</v>
      </c>
      <c r="E632" s="180"/>
      <c r="F632" s="458">
        <v>2</v>
      </c>
      <c r="G632" s="164"/>
      <c r="H632" s="169">
        <f t="shared" si="30"/>
        <v>0</v>
      </c>
      <c r="I632" s="173"/>
      <c r="J632" s="171"/>
      <c r="K632" s="149"/>
      <c r="L632" s="149"/>
      <c r="M632" s="159"/>
      <c r="N632" s="596">
        <f t="shared" si="31"/>
        <v>22</v>
      </c>
      <c r="O632" s="176"/>
      <c r="P632" s="179">
        <f>IF(A632&lt;&gt;"", Снабжения!H632 / VLOOKUP(A632, 'Курс валют'!$A:$D, 4, 0), "")</f>
        <v>0</v>
      </c>
    </row>
    <row r="633" spans="1:16" ht="20.100000000000001" customHeight="1" x14ac:dyDescent="0.45">
      <c r="A633" s="156">
        <v>46138</v>
      </c>
      <c r="B633" s="152" t="s">
        <v>219</v>
      </c>
      <c r="C633" s="149" t="s">
        <v>59</v>
      </c>
      <c r="D633" s="159" t="s">
        <v>220</v>
      </c>
      <c r="E633" s="180"/>
      <c r="F633" s="458">
        <v>2.5</v>
      </c>
      <c r="G633" s="164"/>
      <c r="H633" s="169">
        <f t="shared" si="30"/>
        <v>0</v>
      </c>
      <c r="I633" s="173"/>
      <c r="J633" s="171"/>
      <c r="K633" s="149"/>
      <c r="L633" s="149"/>
      <c r="M633" s="159"/>
      <c r="N633" s="596">
        <f t="shared" si="31"/>
        <v>41.5</v>
      </c>
      <c r="O633" s="176"/>
      <c r="P633" s="179">
        <f>IF(A633&lt;&gt;"", Снабжения!H633 / VLOOKUP(A633, 'Курс валют'!$A:$D, 4, 0), "")</f>
        <v>0</v>
      </c>
    </row>
    <row r="634" spans="1:16" ht="20.100000000000001" customHeight="1" x14ac:dyDescent="0.45">
      <c r="A634" s="156">
        <v>46138</v>
      </c>
      <c r="B634" s="152" t="s">
        <v>186</v>
      </c>
      <c r="C634" s="149" t="s">
        <v>59</v>
      </c>
      <c r="D634" s="159" t="s">
        <v>187</v>
      </c>
      <c r="E634" s="180"/>
      <c r="F634" s="458">
        <v>20</v>
      </c>
      <c r="G634" s="164"/>
      <c r="H634" s="169">
        <f t="shared" si="30"/>
        <v>0</v>
      </c>
      <c r="I634" s="173"/>
      <c r="J634" s="171"/>
      <c r="K634" s="149"/>
      <c r="L634" s="149"/>
      <c r="M634" s="159"/>
      <c r="N634" s="596">
        <f t="shared" si="31"/>
        <v>40</v>
      </c>
      <c r="O634" s="176"/>
      <c r="P634" s="179">
        <f>IF(A634&lt;&gt;"", Снабжения!H634 / VLOOKUP(A634, 'Курс валют'!$A:$D, 4, 0), "")</f>
        <v>0</v>
      </c>
    </row>
    <row r="635" spans="1:16" ht="20.100000000000001" customHeight="1" x14ac:dyDescent="0.45">
      <c r="A635" s="156">
        <v>46138</v>
      </c>
      <c r="B635" s="152" t="s">
        <v>189</v>
      </c>
      <c r="C635" s="149" t="s">
        <v>69</v>
      </c>
      <c r="D635" s="159" t="s">
        <v>220</v>
      </c>
      <c r="E635" s="180"/>
      <c r="F635" s="458">
        <v>2</v>
      </c>
      <c r="G635" s="164"/>
      <c r="H635" s="169">
        <f t="shared" si="30"/>
        <v>0</v>
      </c>
      <c r="I635" s="173"/>
      <c r="J635" s="171"/>
      <c r="K635" s="149"/>
      <c r="L635" s="149"/>
      <c r="M635" s="159"/>
      <c r="N635" s="596">
        <f t="shared" si="31"/>
        <v>309</v>
      </c>
      <c r="O635" s="176"/>
      <c r="P635" s="179">
        <f>IF(A635&lt;&gt;"", Снабжения!H635 / VLOOKUP(A635, 'Курс валют'!$A:$D, 4, 0), "")</f>
        <v>0</v>
      </c>
    </row>
    <row r="636" spans="1:16" ht="20.100000000000001" customHeight="1" x14ac:dyDescent="0.45">
      <c r="A636" s="156">
        <v>46138</v>
      </c>
      <c r="B636" s="152" t="s">
        <v>228</v>
      </c>
      <c r="C636" s="149" t="s">
        <v>59</v>
      </c>
      <c r="D636" s="159" t="s">
        <v>187</v>
      </c>
      <c r="E636" s="180"/>
      <c r="F636" s="458">
        <v>175</v>
      </c>
      <c r="G636" s="164"/>
      <c r="H636" s="169">
        <f t="shared" si="30"/>
        <v>0</v>
      </c>
      <c r="I636" s="173"/>
      <c r="J636" s="171"/>
      <c r="K636" s="149"/>
      <c r="L636" s="149"/>
      <c r="M636" s="159"/>
      <c r="N636" s="596">
        <f t="shared" si="31"/>
        <v>125</v>
      </c>
      <c r="O636" s="176"/>
      <c r="P636" s="179">
        <f>IF(A636&lt;&gt;"", Снабжения!H636 / VLOOKUP(A636, 'Курс валют'!$A:$D, 4, 0), "")</f>
        <v>0</v>
      </c>
    </row>
    <row r="637" spans="1:16" ht="20.100000000000001" customHeight="1" x14ac:dyDescent="0.45">
      <c r="A637" s="156">
        <v>46138</v>
      </c>
      <c r="B637" s="152" t="s">
        <v>240</v>
      </c>
      <c r="C637" s="149" t="s">
        <v>69</v>
      </c>
      <c r="D637" s="159" t="s">
        <v>220</v>
      </c>
      <c r="E637" s="180"/>
      <c r="F637" s="458">
        <v>5</v>
      </c>
      <c r="G637" s="164"/>
      <c r="H637" s="169">
        <f t="shared" si="30"/>
        <v>0</v>
      </c>
      <c r="I637" s="173"/>
      <c r="J637" s="171"/>
      <c r="K637" s="149"/>
      <c r="L637" s="149"/>
      <c r="M637" s="159"/>
      <c r="N637" s="596">
        <f t="shared" si="31"/>
        <v>9</v>
      </c>
      <c r="O637" s="176"/>
      <c r="P637" s="179">
        <f>IF(A637&lt;&gt;"", Снабжения!H637 / VLOOKUP(A637, 'Курс валют'!$A:$D, 4, 0), "")</f>
        <v>0</v>
      </c>
    </row>
    <row r="638" spans="1:16" ht="20.100000000000001" customHeight="1" x14ac:dyDescent="0.45">
      <c r="A638" s="156">
        <v>46138</v>
      </c>
      <c r="B638" s="152" t="s">
        <v>209</v>
      </c>
      <c r="C638" s="149" t="s">
        <v>69</v>
      </c>
      <c r="D638" s="159" t="s">
        <v>220</v>
      </c>
      <c r="E638" s="180"/>
      <c r="F638" s="458">
        <v>6</v>
      </c>
      <c r="G638" s="164"/>
      <c r="H638" s="169">
        <f t="shared" si="30"/>
        <v>0</v>
      </c>
      <c r="I638" s="173"/>
      <c r="J638" s="171"/>
      <c r="K638" s="149"/>
      <c r="L638" s="149"/>
      <c r="M638" s="159"/>
      <c r="N638" s="596">
        <f t="shared" si="31"/>
        <v>128</v>
      </c>
      <c r="O638" s="176"/>
      <c r="P638" s="179">
        <f>IF(A638&lt;&gt;"", Снабжения!H638 / VLOOKUP(A638, 'Курс валют'!$A:$D, 4, 0), "")</f>
        <v>0</v>
      </c>
    </row>
    <row r="639" spans="1:16" ht="20.100000000000001" customHeight="1" x14ac:dyDescent="0.45">
      <c r="A639" s="156">
        <v>46138</v>
      </c>
      <c r="B639" s="152" t="s">
        <v>230</v>
      </c>
      <c r="C639" s="149" t="s">
        <v>85</v>
      </c>
      <c r="D639" s="159" t="s">
        <v>220</v>
      </c>
      <c r="E639" s="180"/>
      <c r="F639" s="458">
        <v>100</v>
      </c>
      <c r="G639" s="164"/>
      <c r="H639" s="169">
        <f t="shared" si="30"/>
        <v>0</v>
      </c>
      <c r="I639" s="173"/>
      <c r="J639" s="171"/>
      <c r="K639" s="149"/>
      <c r="L639" s="149"/>
      <c r="M639" s="159"/>
      <c r="N639" s="596">
        <f t="shared" si="31"/>
        <v>400</v>
      </c>
      <c r="O639" s="176"/>
      <c r="P639" s="179">
        <f>IF(A639&lt;&gt;"", Снабжения!H639 / VLOOKUP(A639, 'Курс валют'!$A:$D, 4, 0), "")</f>
        <v>0</v>
      </c>
    </row>
    <row r="640" spans="1:16" ht="20.100000000000001" customHeight="1" x14ac:dyDescent="0.45">
      <c r="A640" s="156">
        <v>46138</v>
      </c>
      <c r="B640" s="152" t="s">
        <v>188</v>
      </c>
      <c r="C640" s="149" t="s">
        <v>69</v>
      </c>
      <c r="D640" s="159" t="s">
        <v>187</v>
      </c>
      <c r="E640" s="180"/>
      <c r="F640" s="458">
        <v>3</v>
      </c>
      <c r="G640" s="164"/>
      <c r="H640" s="169">
        <f t="shared" si="30"/>
        <v>0</v>
      </c>
      <c r="I640" s="173"/>
      <c r="J640" s="171"/>
      <c r="K640" s="149"/>
      <c r="L640" s="149"/>
      <c r="M640" s="159"/>
      <c r="N640" s="596">
        <f t="shared" si="31"/>
        <v>20</v>
      </c>
      <c r="O640" s="176"/>
      <c r="P640" s="179">
        <f>IF(A640&lt;&gt;"", Снабжения!H640 / VLOOKUP(A640, 'Курс валют'!$A:$D, 4, 0), "")</f>
        <v>0</v>
      </c>
    </row>
    <row r="641" spans="1:16" ht="20.100000000000001" customHeight="1" x14ac:dyDescent="0.45">
      <c r="A641" s="156">
        <v>46138</v>
      </c>
      <c r="B641" s="152" t="s">
        <v>248</v>
      </c>
      <c r="C641" s="149" t="s">
        <v>69</v>
      </c>
      <c r="D641" s="159" t="s">
        <v>204</v>
      </c>
      <c r="E641" s="180"/>
      <c r="F641" s="458">
        <v>1</v>
      </c>
      <c r="G641" s="164"/>
      <c r="H641" s="169">
        <f t="shared" si="30"/>
        <v>0</v>
      </c>
      <c r="I641" s="173"/>
      <c r="J641" s="171"/>
      <c r="K641" s="149"/>
      <c r="L641" s="149"/>
      <c r="M641" s="159"/>
      <c r="N641" s="596">
        <f t="shared" si="31"/>
        <v>1</v>
      </c>
      <c r="O641" s="176"/>
      <c r="P641" s="179">
        <f>IF(A641&lt;&gt;"", Снабжения!H641 / VLOOKUP(A641, 'Курс валют'!$A:$D, 4, 0), "")</f>
        <v>0</v>
      </c>
    </row>
    <row r="642" spans="1:16" ht="20.100000000000001" customHeight="1" x14ac:dyDescent="0.45">
      <c r="A642" s="156">
        <v>46138</v>
      </c>
      <c r="B642" s="152" t="s">
        <v>247</v>
      </c>
      <c r="C642" s="149" t="s">
        <v>69</v>
      </c>
      <c r="D642" s="159" t="s">
        <v>204</v>
      </c>
      <c r="E642" s="180"/>
      <c r="F642" s="458">
        <v>1</v>
      </c>
      <c r="G642" s="164"/>
      <c r="H642" s="169">
        <f t="shared" si="30"/>
        <v>0</v>
      </c>
      <c r="I642" s="173"/>
      <c r="J642" s="171"/>
      <c r="K642" s="149"/>
      <c r="L642" s="149"/>
      <c r="M642" s="159"/>
      <c r="N642" s="596">
        <f t="shared" si="31"/>
        <v>2</v>
      </c>
      <c r="O642" s="176"/>
      <c r="P642" s="179">
        <f>IF(A642&lt;&gt;"", Снабжения!H642 / VLOOKUP(A642, 'Курс валют'!$A:$D, 4, 0), "")</f>
        <v>0</v>
      </c>
    </row>
    <row r="643" spans="1:16" ht="20.100000000000001" customHeight="1" x14ac:dyDescent="0.45">
      <c r="A643" s="156">
        <v>46138</v>
      </c>
      <c r="B643" s="152" t="s">
        <v>212</v>
      </c>
      <c r="C643" s="149" t="s">
        <v>85</v>
      </c>
      <c r="D643" s="159" t="s">
        <v>204</v>
      </c>
      <c r="E643" s="180"/>
      <c r="F643" s="458">
        <v>5</v>
      </c>
      <c r="G643" s="164"/>
      <c r="H643" s="169">
        <f t="shared" si="30"/>
        <v>0</v>
      </c>
      <c r="I643" s="173"/>
      <c r="J643" s="171"/>
      <c r="K643" s="149"/>
      <c r="L643" s="149"/>
      <c r="M643" s="159"/>
      <c r="N643" s="596">
        <f t="shared" si="31"/>
        <v>74.5</v>
      </c>
      <c r="O643" s="176"/>
      <c r="P643" s="179">
        <f>IF(A643&lt;&gt;"", Снабжения!H643 / VLOOKUP(A643, 'Курс валют'!$A:$D, 4, 0), "")</f>
        <v>0</v>
      </c>
    </row>
    <row r="644" spans="1:16" ht="20.100000000000001" customHeight="1" x14ac:dyDescent="0.45">
      <c r="A644" s="156">
        <v>46139</v>
      </c>
      <c r="B644" s="152" t="s">
        <v>189</v>
      </c>
      <c r="C644" s="149" t="s">
        <v>69</v>
      </c>
      <c r="D644" s="159" t="s">
        <v>220</v>
      </c>
      <c r="E644" s="180"/>
      <c r="F644" s="458">
        <v>37</v>
      </c>
      <c r="G644" s="164"/>
      <c r="H644" s="169">
        <f t="shared" si="30"/>
        <v>0</v>
      </c>
      <c r="I644" s="173"/>
      <c r="J644" s="171"/>
      <c r="K644" s="149"/>
      <c r="L644" s="149"/>
      <c r="M644" s="159"/>
      <c r="N644" s="596">
        <f t="shared" si="31"/>
        <v>309</v>
      </c>
      <c r="O644" s="176"/>
      <c r="P644" s="179">
        <f>IF(A644&lt;&gt;"", Снабжения!H644 / VLOOKUP(A644, 'Курс валют'!$A:$D, 4, 0), "")</f>
        <v>0</v>
      </c>
    </row>
    <row r="645" spans="1:16" ht="20.100000000000001" customHeight="1" x14ac:dyDescent="0.45">
      <c r="A645" s="156">
        <v>46139</v>
      </c>
      <c r="B645" s="152" t="s">
        <v>188</v>
      </c>
      <c r="C645" s="149" t="s">
        <v>59</v>
      </c>
      <c r="D645" s="159" t="s">
        <v>187</v>
      </c>
      <c r="E645" s="180"/>
      <c r="F645" s="458">
        <v>15.5</v>
      </c>
      <c r="G645" s="164"/>
      <c r="H645" s="169">
        <f t="shared" si="30"/>
        <v>0</v>
      </c>
      <c r="I645" s="173"/>
      <c r="J645" s="171"/>
      <c r="K645" s="149"/>
      <c r="L645" s="149"/>
      <c r="M645" s="159"/>
      <c r="N645" s="596">
        <f t="shared" si="31"/>
        <v>20</v>
      </c>
      <c r="O645" s="176"/>
      <c r="P645" s="179">
        <f>IF(A645&lt;&gt;"", Снабжения!H645 / VLOOKUP(A645, 'Курс валют'!$A:$D, 4, 0), "")</f>
        <v>0</v>
      </c>
    </row>
    <row r="646" spans="1:16" ht="20.100000000000001" customHeight="1" x14ac:dyDescent="0.45">
      <c r="A646" s="156">
        <v>46139</v>
      </c>
      <c r="B646" s="152" t="s">
        <v>186</v>
      </c>
      <c r="C646" s="149" t="s">
        <v>59</v>
      </c>
      <c r="D646" s="159" t="s">
        <v>187</v>
      </c>
      <c r="E646" s="180"/>
      <c r="F646" s="458">
        <v>20</v>
      </c>
      <c r="G646" s="164"/>
      <c r="H646" s="169">
        <f t="shared" si="30"/>
        <v>0</v>
      </c>
      <c r="I646" s="173"/>
      <c r="J646" s="171"/>
      <c r="K646" s="149"/>
      <c r="L646" s="149"/>
      <c r="M646" s="159"/>
      <c r="N646" s="596">
        <f t="shared" si="31"/>
        <v>40</v>
      </c>
      <c r="O646" s="176"/>
      <c r="P646" s="179">
        <f>IF(A646&lt;&gt;"", Снабжения!H646 / VLOOKUP(A646, 'Курс валют'!$A:$D, 4, 0), "")</f>
        <v>0</v>
      </c>
    </row>
    <row r="647" spans="1:16" ht="20.100000000000001" customHeight="1" x14ac:dyDescent="0.45">
      <c r="A647" s="156">
        <v>46139</v>
      </c>
      <c r="B647" s="152" t="s">
        <v>228</v>
      </c>
      <c r="C647" s="149" t="s">
        <v>59</v>
      </c>
      <c r="D647" s="159" t="s">
        <v>187</v>
      </c>
      <c r="E647" s="180"/>
      <c r="F647" s="458">
        <v>50</v>
      </c>
      <c r="G647" s="164"/>
      <c r="H647" s="169">
        <f t="shared" si="30"/>
        <v>0</v>
      </c>
      <c r="I647" s="173"/>
      <c r="J647" s="171"/>
      <c r="K647" s="149"/>
      <c r="L647" s="149"/>
      <c r="M647" s="159"/>
      <c r="N647" s="596">
        <f t="shared" si="31"/>
        <v>125</v>
      </c>
      <c r="O647" s="176"/>
      <c r="P647" s="179">
        <f>IF(A647&lt;&gt;"", Снабжения!H647 / VLOOKUP(A647, 'Курс валют'!$A:$D, 4, 0), "")</f>
        <v>0</v>
      </c>
    </row>
    <row r="648" spans="1:16" ht="20.100000000000001" customHeight="1" x14ac:dyDescent="0.45">
      <c r="A648" s="156">
        <v>46139</v>
      </c>
      <c r="B648" s="152" t="s">
        <v>209</v>
      </c>
      <c r="C648" s="149" t="s">
        <v>69</v>
      </c>
      <c r="D648" s="159" t="s">
        <v>220</v>
      </c>
      <c r="E648" s="180"/>
      <c r="F648" s="458">
        <v>5</v>
      </c>
      <c r="G648" s="164"/>
      <c r="H648" s="169">
        <f t="shared" si="30"/>
        <v>0</v>
      </c>
      <c r="I648" s="173"/>
      <c r="J648" s="171"/>
      <c r="K648" s="149"/>
      <c r="L648" s="149"/>
      <c r="M648" s="159"/>
      <c r="N648" s="596">
        <f t="shared" si="31"/>
        <v>128</v>
      </c>
      <c r="O648" s="176"/>
      <c r="P648" s="179">
        <f>IF(A648&lt;&gt;"", Снабжения!H648 / VLOOKUP(A648, 'Курс валют'!$A:$D, 4, 0), "")</f>
        <v>0</v>
      </c>
    </row>
    <row r="649" spans="1:16" ht="20.100000000000001" customHeight="1" x14ac:dyDescent="0.45">
      <c r="A649" s="156">
        <v>46139</v>
      </c>
      <c r="B649" s="152" t="s">
        <v>190</v>
      </c>
      <c r="C649" s="149" t="s">
        <v>59</v>
      </c>
      <c r="D649" s="159" t="s">
        <v>187</v>
      </c>
      <c r="E649" s="180"/>
      <c r="F649" s="458">
        <v>9</v>
      </c>
      <c r="G649" s="164"/>
      <c r="H649" s="169">
        <f t="shared" ref="H649:H716" si="32">G649*E649</f>
        <v>0</v>
      </c>
      <c r="I649" s="173"/>
      <c r="J649" s="171"/>
      <c r="K649" s="149"/>
      <c r="L649" s="149"/>
      <c r="M649" s="159"/>
      <c r="N649" s="596">
        <f t="shared" si="31"/>
        <v>80</v>
      </c>
      <c r="O649" s="176"/>
      <c r="P649" s="179">
        <f>IF(A649&lt;&gt;"", Снабжения!H649 / VLOOKUP(A649, 'Курс валют'!$A:$D, 4, 0), "")</f>
        <v>0</v>
      </c>
    </row>
    <row r="650" spans="1:16" ht="20.100000000000001" customHeight="1" x14ac:dyDescent="0.45">
      <c r="A650" s="156">
        <v>46139</v>
      </c>
      <c r="B650" s="152" t="s">
        <v>254</v>
      </c>
      <c r="C650" s="149" t="s">
        <v>69</v>
      </c>
      <c r="D650" s="159" t="s">
        <v>220</v>
      </c>
      <c r="E650" s="180"/>
      <c r="F650" s="458">
        <v>5</v>
      </c>
      <c r="G650" s="164"/>
      <c r="H650" s="169">
        <f t="shared" si="32"/>
        <v>0</v>
      </c>
      <c r="I650" s="173"/>
      <c r="J650" s="171"/>
      <c r="K650" s="149"/>
      <c r="L650" s="149"/>
      <c r="M650" s="159"/>
      <c r="N650" s="596">
        <f t="shared" si="31"/>
        <v>33</v>
      </c>
      <c r="O650" s="176"/>
      <c r="P650" s="179">
        <f>IF(A650&lt;&gt;"", Снабжения!H650 / VLOOKUP(A650, 'Курс валют'!$A:$D, 4, 0), "")</f>
        <v>0</v>
      </c>
    </row>
    <row r="651" spans="1:16" ht="20.100000000000001" customHeight="1" x14ac:dyDescent="0.45">
      <c r="A651" s="156">
        <v>46139</v>
      </c>
      <c r="B651" s="152" t="s">
        <v>240</v>
      </c>
      <c r="C651" s="149" t="s">
        <v>69</v>
      </c>
      <c r="D651" s="159" t="s">
        <v>220</v>
      </c>
      <c r="E651" s="180"/>
      <c r="F651" s="458">
        <v>1</v>
      </c>
      <c r="G651" s="164"/>
      <c r="H651" s="169">
        <f t="shared" si="32"/>
        <v>0</v>
      </c>
      <c r="I651" s="173"/>
      <c r="J651" s="171"/>
      <c r="K651" s="149"/>
      <c r="L651" s="149"/>
      <c r="M651" s="159"/>
      <c r="N651" s="596">
        <f t="shared" si="31"/>
        <v>9</v>
      </c>
      <c r="O651" s="176"/>
      <c r="P651" s="179">
        <f>IF(A651&lt;&gt;"", Снабжения!H651 / VLOOKUP(A651, 'Курс валют'!$A:$D, 4, 0), "")</f>
        <v>0</v>
      </c>
    </row>
    <row r="652" spans="1:16" ht="20.100000000000001" customHeight="1" x14ac:dyDescent="0.45">
      <c r="A652" s="156">
        <v>46139</v>
      </c>
      <c r="B652" s="152" t="s">
        <v>219</v>
      </c>
      <c r="C652" s="149" t="s">
        <v>59</v>
      </c>
      <c r="D652" s="159" t="s">
        <v>220</v>
      </c>
      <c r="E652" s="180"/>
      <c r="F652" s="458">
        <v>2.5</v>
      </c>
      <c r="G652" s="164"/>
      <c r="H652" s="169">
        <f t="shared" si="32"/>
        <v>0</v>
      </c>
      <c r="I652" s="173"/>
      <c r="J652" s="171"/>
      <c r="K652" s="149"/>
      <c r="L652" s="149"/>
      <c r="M652" s="159"/>
      <c r="N652" s="596">
        <f t="shared" si="31"/>
        <v>41.5</v>
      </c>
      <c r="O652" s="176"/>
      <c r="P652" s="179">
        <f>IF(A652&lt;&gt;"", Снабжения!H652 / VLOOKUP(A652, 'Курс валют'!$A:$D, 4, 0), "")</f>
        <v>0</v>
      </c>
    </row>
    <row r="653" spans="1:16" ht="20.100000000000001" customHeight="1" x14ac:dyDescent="0.45">
      <c r="A653" s="156">
        <v>46139</v>
      </c>
      <c r="B653" s="152" t="s">
        <v>296</v>
      </c>
      <c r="C653" s="149" t="s">
        <v>127</v>
      </c>
      <c r="D653" s="159" t="s">
        <v>220</v>
      </c>
      <c r="E653" s="180">
        <v>4</v>
      </c>
      <c r="F653" s="458"/>
      <c r="G653" s="164"/>
      <c r="H653" s="169">
        <f>G653*E653</f>
        <v>0</v>
      </c>
      <c r="I653" s="173"/>
      <c r="J653" s="171"/>
      <c r="K653" s="149"/>
      <c r="L653" s="149"/>
      <c r="M653" s="159"/>
      <c r="N653" s="596">
        <f t="shared" si="31"/>
        <v>20</v>
      </c>
      <c r="O653" s="176"/>
      <c r="P653" s="179">
        <f>IF(A653&lt;&gt;"", Снабжения!H653 / VLOOKUP(A653, 'Курс валют'!$A:$D, 4, 0), "")</f>
        <v>0</v>
      </c>
    </row>
    <row r="654" spans="1:16" ht="20.100000000000001" customHeight="1" x14ac:dyDescent="0.45">
      <c r="A654" s="156">
        <v>46139</v>
      </c>
      <c r="B654" s="152" t="s">
        <v>283</v>
      </c>
      <c r="C654" s="149" t="s">
        <v>127</v>
      </c>
      <c r="D654" s="159" t="s">
        <v>220</v>
      </c>
      <c r="E654" s="180"/>
      <c r="F654" s="458">
        <v>1</v>
      </c>
      <c r="G654" s="164"/>
      <c r="H654" s="169">
        <f t="shared" si="32"/>
        <v>0</v>
      </c>
      <c r="I654" s="173"/>
      <c r="J654" s="171"/>
      <c r="K654" s="149"/>
      <c r="L654" s="149"/>
      <c r="M654" s="159"/>
      <c r="N654" s="596">
        <f t="shared" ref="N654:N717" si="33">SUMIF(B:B,B654,E:E)-SUMIF(B:B,B654,F:F)</f>
        <v>18</v>
      </c>
      <c r="O654" s="176"/>
      <c r="P654" s="179">
        <f>IF(A654&lt;&gt;"", Снабжения!H654 / VLOOKUP(A654, 'Курс валют'!$A:$D, 4, 0), "")</f>
        <v>0</v>
      </c>
    </row>
    <row r="655" spans="1:16" ht="20.100000000000001" customHeight="1" x14ac:dyDescent="0.45">
      <c r="A655" s="156">
        <v>46140</v>
      </c>
      <c r="B655" s="152" t="s">
        <v>189</v>
      </c>
      <c r="C655" s="149" t="s">
        <v>69</v>
      </c>
      <c r="D655" s="159" t="s">
        <v>220</v>
      </c>
      <c r="E655" s="180"/>
      <c r="F655" s="458">
        <v>3</v>
      </c>
      <c r="G655" s="164"/>
      <c r="H655" s="169">
        <f t="shared" si="32"/>
        <v>0</v>
      </c>
      <c r="I655" s="173"/>
      <c r="J655" s="171"/>
      <c r="K655" s="149"/>
      <c r="L655" s="149"/>
      <c r="M655" s="159"/>
      <c r="N655" s="596">
        <f t="shared" si="33"/>
        <v>309</v>
      </c>
      <c r="O655" s="176"/>
      <c r="P655" s="179">
        <f>IF(A655&lt;&gt;"", Снабжения!H655 / VLOOKUP(A655, 'Курс валют'!$A:$D, 4, 0), "")</f>
        <v>0</v>
      </c>
    </row>
    <row r="656" spans="1:16" ht="20.100000000000001" customHeight="1" x14ac:dyDescent="0.45">
      <c r="A656" s="156">
        <v>46140</v>
      </c>
      <c r="B656" s="152" t="s">
        <v>188</v>
      </c>
      <c r="C656" s="149" t="s">
        <v>59</v>
      </c>
      <c r="D656" s="159" t="s">
        <v>187</v>
      </c>
      <c r="E656" s="180"/>
      <c r="F656" s="458">
        <v>20</v>
      </c>
      <c r="G656" s="164"/>
      <c r="H656" s="169">
        <f t="shared" si="32"/>
        <v>0</v>
      </c>
      <c r="I656" s="173"/>
      <c r="J656" s="171"/>
      <c r="K656" s="149"/>
      <c r="L656" s="149"/>
      <c r="M656" s="159"/>
      <c r="N656" s="596">
        <f t="shared" si="33"/>
        <v>20</v>
      </c>
      <c r="O656" s="176"/>
      <c r="P656" s="179">
        <f>IF(A656&lt;&gt;"", Снабжения!H656 / VLOOKUP(A656, 'Курс валют'!$A:$D, 4, 0), "")</f>
        <v>0</v>
      </c>
    </row>
    <row r="657" spans="1:16" ht="20.100000000000001" customHeight="1" x14ac:dyDescent="0.45">
      <c r="A657" s="156">
        <v>46140</v>
      </c>
      <c r="B657" s="152" t="s">
        <v>209</v>
      </c>
      <c r="C657" s="149" t="s">
        <v>69</v>
      </c>
      <c r="D657" s="159" t="s">
        <v>220</v>
      </c>
      <c r="E657" s="180"/>
      <c r="F657" s="458">
        <v>3</v>
      </c>
      <c r="G657" s="164"/>
      <c r="H657" s="169">
        <f t="shared" si="32"/>
        <v>0</v>
      </c>
      <c r="I657" s="173"/>
      <c r="J657" s="171"/>
      <c r="K657" s="149"/>
      <c r="L657" s="149"/>
      <c r="M657" s="159"/>
      <c r="N657" s="596">
        <f t="shared" si="33"/>
        <v>128</v>
      </c>
      <c r="O657" s="176"/>
      <c r="P657" s="179">
        <f>IF(A657&lt;&gt;"", Снабжения!H657 / VLOOKUP(A657, 'Курс валют'!$A:$D, 4, 0), "")</f>
        <v>0</v>
      </c>
    </row>
    <row r="658" spans="1:16" ht="20.100000000000001" customHeight="1" x14ac:dyDescent="0.45">
      <c r="A658" s="156">
        <v>46140</v>
      </c>
      <c r="B658" s="152" t="s">
        <v>223</v>
      </c>
      <c r="C658" s="149" t="s">
        <v>69</v>
      </c>
      <c r="D658" s="159" t="s">
        <v>220</v>
      </c>
      <c r="E658" s="180"/>
      <c r="F658" s="458">
        <v>3</v>
      </c>
      <c r="G658" s="164"/>
      <c r="H658" s="169">
        <f t="shared" si="32"/>
        <v>0</v>
      </c>
      <c r="I658" s="173"/>
      <c r="J658" s="171"/>
      <c r="K658" s="149"/>
      <c r="L658" s="149"/>
      <c r="M658" s="159"/>
      <c r="N658" s="596">
        <f t="shared" si="33"/>
        <v>8</v>
      </c>
      <c r="O658" s="176"/>
      <c r="P658" s="179">
        <f>IF(A658&lt;&gt;"", Снабжения!H658 / VLOOKUP(A658, 'Курс валют'!$A:$D, 4, 0), "")</f>
        <v>0</v>
      </c>
    </row>
    <row r="659" spans="1:16" ht="20.100000000000001" customHeight="1" x14ac:dyDescent="0.45">
      <c r="A659" s="156">
        <v>46141</v>
      </c>
      <c r="B659" s="152" t="s">
        <v>189</v>
      </c>
      <c r="C659" s="149" t="s">
        <v>69</v>
      </c>
      <c r="D659" s="159" t="s">
        <v>220</v>
      </c>
      <c r="E659" s="180"/>
      <c r="F659" s="458">
        <v>45</v>
      </c>
      <c r="G659" s="164"/>
      <c r="H659" s="169">
        <f t="shared" si="32"/>
        <v>0</v>
      </c>
      <c r="I659" s="173"/>
      <c r="J659" s="171"/>
      <c r="K659" s="149"/>
      <c r="L659" s="149"/>
      <c r="M659" s="159"/>
      <c r="N659" s="596">
        <f t="shared" si="33"/>
        <v>309</v>
      </c>
      <c r="O659" s="176"/>
      <c r="P659" s="179">
        <f>IF(A659&lt;&gt;"", Снабжения!H659 / VLOOKUP(A659, 'Курс валют'!$A:$D, 4, 0), "")</f>
        <v>0</v>
      </c>
    </row>
    <row r="660" spans="1:16" ht="20.100000000000001" customHeight="1" x14ac:dyDescent="0.45">
      <c r="A660" s="156">
        <v>46141</v>
      </c>
      <c r="B660" s="152" t="s">
        <v>240</v>
      </c>
      <c r="C660" s="149" t="s">
        <v>69</v>
      </c>
      <c r="D660" s="159" t="s">
        <v>220</v>
      </c>
      <c r="E660" s="180"/>
      <c r="F660" s="458">
        <v>3</v>
      </c>
      <c r="G660" s="164"/>
      <c r="H660" s="169">
        <f t="shared" si="32"/>
        <v>0</v>
      </c>
      <c r="I660" s="173"/>
      <c r="J660" s="171"/>
      <c r="K660" s="149"/>
      <c r="L660" s="149"/>
      <c r="M660" s="159"/>
      <c r="N660" s="596">
        <f t="shared" si="33"/>
        <v>9</v>
      </c>
      <c r="O660" s="176"/>
      <c r="P660" s="179">
        <f>IF(A660&lt;&gt;"", Снабжения!H660 / VLOOKUP(A660, 'Курс валют'!$A:$D, 4, 0), "")</f>
        <v>0</v>
      </c>
    </row>
    <row r="661" spans="1:16" ht="20.100000000000001" customHeight="1" x14ac:dyDescent="0.45">
      <c r="A661" s="156">
        <v>46141</v>
      </c>
      <c r="B661" s="152" t="s">
        <v>259</v>
      </c>
      <c r="C661" s="149" t="s">
        <v>62</v>
      </c>
      <c r="D661" s="159" t="s">
        <v>220</v>
      </c>
      <c r="E661" s="180"/>
      <c r="F661" s="458">
        <v>40</v>
      </c>
      <c r="G661" s="164"/>
      <c r="H661" s="169">
        <f t="shared" si="32"/>
        <v>0</v>
      </c>
      <c r="I661" s="173"/>
      <c r="J661" s="171"/>
      <c r="K661" s="149"/>
      <c r="L661" s="149"/>
      <c r="M661" s="159"/>
      <c r="N661" s="596">
        <f t="shared" si="33"/>
        <v>40</v>
      </c>
      <c r="O661" s="176"/>
      <c r="P661" s="179">
        <f>IF(A661&lt;&gt;"", Снабжения!H661 / VLOOKUP(A661, 'Курс валют'!$A:$D, 4, 0), "")</f>
        <v>0</v>
      </c>
    </row>
    <row r="662" spans="1:16" ht="20.100000000000001" customHeight="1" x14ac:dyDescent="0.45">
      <c r="A662" s="156">
        <v>46141</v>
      </c>
      <c r="B662" s="152" t="s">
        <v>203</v>
      </c>
      <c r="C662" s="149" t="s">
        <v>69</v>
      </c>
      <c r="D662" s="159" t="s">
        <v>204</v>
      </c>
      <c r="E662" s="180"/>
      <c r="F662" s="458">
        <v>3</v>
      </c>
      <c r="G662" s="164"/>
      <c r="H662" s="169">
        <f t="shared" si="32"/>
        <v>0</v>
      </c>
      <c r="I662" s="173"/>
      <c r="J662" s="171"/>
      <c r="K662" s="149"/>
      <c r="L662" s="149"/>
      <c r="M662" s="159"/>
      <c r="N662" s="596">
        <f t="shared" si="33"/>
        <v>11</v>
      </c>
      <c r="O662" s="176"/>
      <c r="P662" s="179">
        <f>IF(A662&lt;&gt;"", Снабжения!H662 / VLOOKUP(A662, 'Курс валют'!$A:$D, 4, 0), "")</f>
        <v>0</v>
      </c>
    </row>
    <row r="663" spans="1:16" ht="20.100000000000001" customHeight="1" x14ac:dyDescent="0.45">
      <c r="A663" s="156">
        <v>46141</v>
      </c>
      <c r="B663" s="152" t="s">
        <v>263</v>
      </c>
      <c r="C663" s="149" t="s">
        <v>69</v>
      </c>
      <c r="D663" s="159" t="s">
        <v>220</v>
      </c>
      <c r="E663" s="180"/>
      <c r="F663" s="458">
        <v>2</v>
      </c>
      <c r="G663" s="164"/>
      <c r="H663" s="169">
        <f t="shared" si="32"/>
        <v>0</v>
      </c>
      <c r="I663" s="173"/>
      <c r="J663" s="171"/>
      <c r="K663" s="149"/>
      <c r="L663" s="149"/>
      <c r="M663" s="159"/>
      <c r="N663" s="596">
        <f t="shared" si="33"/>
        <v>18</v>
      </c>
      <c r="O663" s="176"/>
      <c r="P663" s="179">
        <f>IF(A663&lt;&gt;"", Снабжения!H663 / VLOOKUP(A663, 'Курс валют'!$A:$D, 4, 0), "")</f>
        <v>0</v>
      </c>
    </row>
    <row r="664" spans="1:16" ht="20.100000000000001" customHeight="1" x14ac:dyDescent="0.45">
      <c r="A664" s="156">
        <v>46141</v>
      </c>
      <c r="B664" s="152" t="s">
        <v>253</v>
      </c>
      <c r="C664" s="149" t="s">
        <v>69</v>
      </c>
      <c r="D664" s="159" t="s">
        <v>204</v>
      </c>
      <c r="E664" s="180"/>
      <c r="F664" s="458">
        <v>3</v>
      </c>
      <c r="G664" s="164"/>
      <c r="H664" s="169">
        <f t="shared" si="32"/>
        <v>0</v>
      </c>
      <c r="I664" s="173"/>
      <c r="J664" s="171"/>
      <c r="K664" s="149"/>
      <c r="L664" s="149"/>
      <c r="M664" s="159"/>
      <c r="N664" s="596">
        <f t="shared" si="33"/>
        <v>8</v>
      </c>
      <c r="O664" s="176"/>
      <c r="P664" s="179">
        <f>IF(A664&lt;&gt;"", Снабжения!H664 / VLOOKUP(A664, 'Курс валют'!$A:$D, 4, 0), "")</f>
        <v>0</v>
      </c>
    </row>
    <row r="665" spans="1:16" ht="20.100000000000001" customHeight="1" x14ac:dyDescent="0.45">
      <c r="A665" s="156">
        <v>46141</v>
      </c>
      <c r="B665" s="152" t="s">
        <v>186</v>
      </c>
      <c r="C665" s="149" t="s">
        <v>59</v>
      </c>
      <c r="D665" s="159" t="s">
        <v>187</v>
      </c>
      <c r="E665" s="180">
        <v>20</v>
      </c>
      <c r="F665" s="458">
        <v>20</v>
      </c>
      <c r="G665" s="164">
        <v>15000</v>
      </c>
      <c r="H665" s="169">
        <f t="shared" si="32"/>
        <v>300000</v>
      </c>
      <c r="I665" s="173"/>
      <c r="J665" s="171"/>
      <c r="K665" s="149"/>
      <c r="L665" s="149"/>
      <c r="M665" s="159"/>
      <c r="N665" s="596">
        <f t="shared" si="33"/>
        <v>40</v>
      </c>
      <c r="O665" s="176"/>
      <c r="P665" s="179">
        <f>IF(A665&lt;&gt;"", Снабжения!H665 / VLOOKUP(A665, 'Курс валют'!$A:$D, 4, 0), "")</f>
        <v>24.793388429752067</v>
      </c>
    </row>
    <row r="666" spans="1:16" ht="20.100000000000001" customHeight="1" x14ac:dyDescent="0.45">
      <c r="A666" s="156">
        <v>46142</v>
      </c>
      <c r="B666" s="152" t="s">
        <v>189</v>
      </c>
      <c r="C666" s="149" t="s">
        <v>69</v>
      </c>
      <c r="D666" s="159" t="s">
        <v>220</v>
      </c>
      <c r="E666" s="180"/>
      <c r="F666" s="458">
        <v>15</v>
      </c>
      <c r="G666" s="164"/>
      <c r="H666" s="169">
        <f t="shared" si="32"/>
        <v>0</v>
      </c>
      <c r="I666" s="173"/>
      <c r="J666" s="171"/>
      <c r="K666" s="149"/>
      <c r="L666" s="149"/>
      <c r="M666" s="159"/>
      <c r="N666" s="596">
        <f t="shared" si="33"/>
        <v>309</v>
      </c>
      <c r="O666" s="176"/>
      <c r="P666" s="179">
        <f>IF(A666&lt;&gt;"", Снабжения!H666 / VLOOKUP(A666, 'Курс валют'!$A:$D, 4, 0), "")</f>
        <v>0</v>
      </c>
    </row>
    <row r="667" spans="1:16" ht="20.100000000000001" customHeight="1" x14ac:dyDescent="0.45">
      <c r="A667" s="156">
        <v>46142</v>
      </c>
      <c r="B667" s="152" t="s">
        <v>208</v>
      </c>
      <c r="C667" s="149" t="s">
        <v>69</v>
      </c>
      <c r="D667" s="159" t="s">
        <v>220</v>
      </c>
      <c r="E667" s="180"/>
      <c r="F667" s="458">
        <v>2</v>
      </c>
      <c r="G667" s="164"/>
      <c r="H667" s="169">
        <f t="shared" si="32"/>
        <v>0</v>
      </c>
      <c r="I667" s="173"/>
      <c r="J667" s="171"/>
      <c r="K667" s="149"/>
      <c r="L667" s="149"/>
      <c r="M667" s="159"/>
      <c r="N667" s="596">
        <f t="shared" si="33"/>
        <v>10</v>
      </c>
      <c r="O667" s="176"/>
      <c r="P667" s="179">
        <f>IF(A667&lt;&gt;"", Снабжения!H667 / VLOOKUP(A667, 'Курс валют'!$A:$D, 4, 0), "")</f>
        <v>0</v>
      </c>
    </row>
    <row r="668" spans="1:16" ht="20.100000000000001" customHeight="1" x14ac:dyDescent="0.45">
      <c r="A668" s="156">
        <v>46142</v>
      </c>
      <c r="B668" s="152" t="s">
        <v>228</v>
      </c>
      <c r="C668" s="149" t="s">
        <v>59</v>
      </c>
      <c r="D668" s="159" t="s">
        <v>187</v>
      </c>
      <c r="E668" s="180"/>
      <c r="F668" s="458">
        <v>200</v>
      </c>
      <c r="G668" s="164"/>
      <c r="H668" s="169">
        <f t="shared" si="32"/>
        <v>0</v>
      </c>
      <c r="I668" s="173"/>
      <c r="J668" s="171"/>
      <c r="K668" s="149"/>
      <c r="L668" s="149"/>
      <c r="M668" s="159"/>
      <c r="N668" s="596">
        <f t="shared" si="33"/>
        <v>125</v>
      </c>
      <c r="O668" s="176"/>
      <c r="P668" s="179">
        <f>IF(A668&lt;&gt;"", Снабжения!H668 / VLOOKUP(A668, 'Курс валют'!$A:$D, 4, 0), "")</f>
        <v>0</v>
      </c>
    </row>
    <row r="669" spans="1:16" ht="20.100000000000001" customHeight="1" x14ac:dyDescent="0.45">
      <c r="A669" s="156">
        <v>46142</v>
      </c>
      <c r="B669" s="152" t="s">
        <v>190</v>
      </c>
      <c r="C669" s="149" t="s">
        <v>59</v>
      </c>
      <c r="D669" s="159" t="s">
        <v>187</v>
      </c>
      <c r="E669" s="180"/>
      <c r="F669" s="458">
        <v>20</v>
      </c>
      <c r="G669" s="164"/>
      <c r="H669" s="169">
        <f t="shared" si="32"/>
        <v>0</v>
      </c>
      <c r="I669" s="173"/>
      <c r="J669" s="171"/>
      <c r="K669" s="149"/>
      <c r="L669" s="149"/>
      <c r="M669" s="159"/>
      <c r="N669" s="596">
        <f t="shared" si="33"/>
        <v>80</v>
      </c>
      <c r="O669" s="176"/>
      <c r="P669" s="179">
        <f>IF(A669&lt;&gt;"", Снабжения!H669 / VLOOKUP(A669, 'Курс валют'!$A:$D, 4, 0), "")</f>
        <v>0</v>
      </c>
    </row>
    <row r="670" spans="1:16" ht="20.100000000000001" customHeight="1" x14ac:dyDescent="0.45">
      <c r="A670" s="156">
        <v>46142</v>
      </c>
      <c r="B670" s="152" t="s">
        <v>209</v>
      </c>
      <c r="C670" s="149" t="s">
        <v>69</v>
      </c>
      <c r="D670" s="159" t="s">
        <v>220</v>
      </c>
      <c r="E670" s="180"/>
      <c r="F670" s="458">
        <v>2</v>
      </c>
      <c r="G670" s="164"/>
      <c r="H670" s="169">
        <f t="shared" si="32"/>
        <v>0</v>
      </c>
      <c r="I670" s="173"/>
      <c r="J670" s="171"/>
      <c r="K670" s="149"/>
      <c r="L670" s="149"/>
      <c r="M670" s="159"/>
      <c r="N670" s="596">
        <f t="shared" si="33"/>
        <v>128</v>
      </c>
      <c r="O670" s="176"/>
      <c r="P670" s="179">
        <f>IF(A670&lt;&gt;"", Снабжения!H670 / VLOOKUP(A670, 'Курс валют'!$A:$D, 4, 0), "")</f>
        <v>0</v>
      </c>
    </row>
    <row r="671" spans="1:16" ht="20.100000000000001" customHeight="1" x14ac:dyDescent="0.45">
      <c r="A671" s="156"/>
      <c r="B671" s="152" t="s">
        <v>190</v>
      </c>
      <c r="C671" s="149" t="s">
        <v>59</v>
      </c>
      <c r="D671" s="159" t="s">
        <v>187</v>
      </c>
      <c r="E671" s="180"/>
      <c r="F671" s="458">
        <v>21.7</v>
      </c>
      <c r="G671" s="164"/>
      <c r="H671" s="169">
        <f t="shared" si="32"/>
        <v>0</v>
      </c>
      <c r="I671" s="173"/>
      <c r="J671" s="171"/>
      <c r="K671" s="149"/>
      <c r="L671" s="149"/>
      <c r="M671" s="159"/>
      <c r="N671" s="596">
        <f t="shared" si="33"/>
        <v>80</v>
      </c>
      <c r="O671" s="176"/>
      <c r="P671" s="179" t="str">
        <f>IF(A671&lt;&gt;"", Снабжения!H671 / VLOOKUP(A671, 'Курс валют'!$A:$D, 4, 0), "")</f>
        <v/>
      </c>
    </row>
    <row r="672" spans="1:16" ht="20.100000000000001" customHeight="1" x14ac:dyDescent="0.45">
      <c r="A672" s="156"/>
      <c r="B672" s="152" t="s">
        <v>208</v>
      </c>
      <c r="C672" s="149" t="s">
        <v>69</v>
      </c>
      <c r="D672" s="159" t="s">
        <v>220</v>
      </c>
      <c r="E672" s="180"/>
      <c r="F672" s="458">
        <v>6</v>
      </c>
      <c r="G672" s="164"/>
      <c r="H672" s="169">
        <f>G672*E672</f>
        <v>0</v>
      </c>
      <c r="I672" s="173"/>
      <c r="J672" s="171"/>
      <c r="K672" s="149"/>
      <c r="L672" s="149"/>
      <c r="M672" s="159"/>
      <c r="N672" s="596">
        <f t="shared" si="33"/>
        <v>10</v>
      </c>
      <c r="O672" s="176"/>
      <c r="P672" s="179" t="str">
        <f>IF(A672&lt;&gt;"", Снабжения!H672 / VLOOKUP(A672, 'Курс валют'!$A:$D, 4, 0), "")</f>
        <v/>
      </c>
    </row>
    <row r="673" spans="1:16" ht="20.100000000000001" customHeight="1" x14ac:dyDescent="0.45">
      <c r="A673" s="156"/>
      <c r="B673" s="152" t="s">
        <v>188</v>
      </c>
      <c r="C673" s="149" t="s">
        <v>59</v>
      </c>
      <c r="D673" s="159" t="s">
        <v>187</v>
      </c>
      <c r="E673" s="180"/>
      <c r="F673" s="458">
        <v>12.5</v>
      </c>
      <c r="G673" s="164"/>
      <c r="H673" s="169">
        <f t="shared" si="32"/>
        <v>0</v>
      </c>
      <c r="I673" s="173"/>
      <c r="J673" s="171"/>
      <c r="K673" s="149"/>
      <c r="L673" s="149"/>
      <c r="M673" s="159"/>
      <c r="N673" s="596">
        <f t="shared" si="33"/>
        <v>20</v>
      </c>
      <c r="O673" s="176"/>
      <c r="P673" s="179" t="str">
        <f>IF(A673&lt;&gt;"", Снабжения!H673 / VLOOKUP(A673, 'Курс валют'!$A:$D, 4, 0), "")</f>
        <v/>
      </c>
    </row>
    <row r="674" spans="1:16" ht="20.100000000000001" customHeight="1" x14ac:dyDescent="0.45">
      <c r="A674" s="156"/>
      <c r="B674" s="152" t="s">
        <v>230</v>
      </c>
      <c r="C674" s="149" t="s">
        <v>85</v>
      </c>
      <c r="D674" s="159" t="s">
        <v>220</v>
      </c>
      <c r="E674" s="180"/>
      <c r="F674" s="458">
        <v>500</v>
      </c>
      <c r="G674" s="164"/>
      <c r="H674" s="169">
        <f t="shared" si="32"/>
        <v>0</v>
      </c>
      <c r="I674" s="173"/>
      <c r="J674" s="171"/>
      <c r="K674" s="149"/>
      <c r="L674" s="149"/>
      <c r="M674" s="159"/>
      <c r="N674" s="596">
        <f t="shared" si="33"/>
        <v>400</v>
      </c>
      <c r="O674" s="176"/>
      <c r="P674" s="179" t="str">
        <f>IF(A674&lt;&gt;"", Снабжения!H674 / VLOOKUP(A674, 'Курс валют'!$A:$D, 4, 0), "")</f>
        <v/>
      </c>
    </row>
    <row r="675" spans="1:16" ht="20.100000000000001" customHeight="1" x14ac:dyDescent="0.45">
      <c r="A675" s="156"/>
      <c r="B675" s="152" t="s">
        <v>228</v>
      </c>
      <c r="C675" s="149" t="s">
        <v>59</v>
      </c>
      <c r="D675" s="159" t="s">
        <v>187</v>
      </c>
      <c r="E675" s="180">
        <v>106</v>
      </c>
      <c r="F675" s="458">
        <v>1169</v>
      </c>
      <c r="G675" s="164"/>
      <c r="H675" s="169">
        <f t="shared" si="32"/>
        <v>0</v>
      </c>
      <c r="I675" s="173"/>
      <c r="J675" s="171"/>
      <c r="K675" s="149"/>
      <c r="L675" s="149"/>
      <c r="M675" s="159"/>
      <c r="N675" s="596">
        <f t="shared" si="33"/>
        <v>125</v>
      </c>
      <c r="O675" s="176"/>
      <c r="P675" s="179" t="str">
        <f>IF(A675&lt;&gt;"", Снабжения!H675 / VLOOKUP(A675, 'Курс валют'!$A:$D, 4, 0), "")</f>
        <v/>
      </c>
    </row>
    <row r="676" spans="1:16" ht="20.100000000000001" customHeight="1" x14ac:dyDescent="0.45">
      <c r="A676" s="156"/>
      <c r="B676" s="152" t="s">
        <v>283</v>
      </c>
      <c r="C676" s="149" t="s">
        <v>127</v>
      </c>
      <c r="D676" s="159" t="s">
        <v>220</v>
      </c>
      <c r="E676" s="180">
        <v>31</v>
      </c>
      <c r="F676" s="458"/>
      <c r="G676" s="164"/>
      <c r="H676" s="169">
        <f t="shared" si="32"/>
        <v>0</v>
      </c>
      <c r="I676" s="173"/>
      <c r="J676" s="171"/>
      <c r="K676" s="149"/>
      <c r="L676" s="149"/>
      <c r="M676" s="159"/>
      <c r="N676" s="596">
        <f t="shared" si="33"/>
        <v>18</v>
      </c>
      <c r="O676" s="176"/>
      <c r="P676" s="179" t="str">
        <f>IF(A676&lt;&gt;"", Снабжения!H676 / VLOOKUP(A676, 'Курс валют'!$A:$D, 4, 0), "")</f>
        <v/>
      </c>
    </row>
    <row r="677" spans="1:16" ht="20.100000000000001" customHeight="1" x14ac:dyDescent="0.45">
      <c r="A677" s="156"/>
      <c r="B677" s="152" t="s">
        <v>248</v>
      </c>
      <c r="C677" s="149" t="s">
        <v>69</v>
      </c>
      <c r="D677" s="159" t="s">
        <v>204</v>
      </c>
      <c r="E677" s="180"/>
      <c r="F677" s="458">
        <v>1</v>
      </c>
      <c r="G677" s="164"/>
      <c r="H677" s="169">
        <f t="shared" si="32"/>
        <v>0</v>
      </c>
      <c r="I677" s="173"/>
      <c r="J677" s="171"/>
      <c r="K677" s="149"/>
      <c r="L677" s="149"/>
      <c r="M677" s="159"/>
      <c r="N677" s="596">
        <f t="shared" si="33"/>
        <v>1</v>
      </c>
      <c r="O677" s="176"/>
      <c r="P677" s="179" t="str">
        <f>IF(A677&lt;&gt;"", Снабжения!H677 / VLOOKUP(A677, 'Курс валют'!$A:$D, 4, 0), "")</f>
        <v/>
      </c>
    </row>
    <row r="678" spans="1:16" ht="20.100000000000001" customHeight="1" x14ac:dyDescent="0.45">
      <c r="A678" s="156"/>
      <c r="B678" s="152" t="s">
        <v>283</v>
      </c>
      <c r="C678" s="149" t="s">
        <v>69</v>
      </c>
      <c r="D678" s="159" t="s">
        <v>220</v>
      </c>
      <c r="E678" s="180">
        <v>2</v>
      </c>
      <c r="F678" s="458"/>
      <c r="G678" s="164"/>
      <c r="H678" s="169">
        <f t="shared" si="32"/>
        <v>0</v>
      </c>
      <c r="I678" s="173"/>
      <c r="J678" s="171"/>
      <c r="K678" s="149"/>
      <c r="L678" s="149"/>
      <c r="M678" s="159"/>
      <c r="N678" s="596">
        <f t="shared" si="33"/>
        <v>18</v>
      </c>
      <c r="O678" s="176"/>
      <c r="P678" s="179" t="str">
        <f>IF(A678&lt;&gt;"", Снабжения!H678 / VLOOKUP(A678, 'Курс валют'!$A:$D, 4, 0), "")</f>
        <v/>
      </c>
    </row>
    <row r="679" spans="1:16" ht="20.100000000000001" customHeight="1" x14ac:dyDescent="0.45">
      <c r="A679" s="156"/>
      <c r="B679" s="152" t="s">
        <v>182</v>
      </c>
      <c r="C679" s="149" t="s">
        <v>69</v>
      </c>
      <c r="D679" s="159" t="s">
        <v>220</v>
      </c>
      <c r="E679" s="180">
        <v>1</v>
      </c>
      <c r="F679" s="458">
        <v>4</v>
      </c>
      <c r="G679" s="164"/>
      <c r="H679" s="169">
        <f t="shared" si="32"/>
        <v>0</v>
      </c>
      <c r="I679" s="173"/>
      <c r="J679" s="171"/>
      <c r="K679" s="149"/>
      <c r="L679" s="149"/>
      <c r="M679" s="159"/>
      <c r="N679" s="596">
        <f t="shared" si="33"/>
        <v>22</v>
      </c>
      <c r="O679" s="176"/>
      <c r="P679" s="179" t="str">
        <f>IF(A679&lt;&gt;"", Снабжения!H679 / VLOOKUP(A679, 'Курс валют'!$A:$D, 4, 0), "")</f>
        <v/>
      </c>
    </row>
    <row r="680" spans="1:16" ht="20.100000000000001" customHeight="1" x14ac:dyDescent="0.45">
      <c r="A680" s="156"/>
      <c r="B680" s="152" t="s">
        <v>196</v>
      </c>
      <c r="C680" s="149" t="s">
        <v>69</v>
      </c>
      <c r="D680" s="159" t="s">
        <v>220</v>
      </c>
      <c r="E680" s="180"/>
      <c r="F680" s="458">
        <v>7</v>
      </c>
      <c r="G680" s="164"/>
      <c r="H680" s="169">
        <f t="shared" si="32"/>
        <v>0</v>
      </c>
      <c r="I680" s="173"/>
      <c r="J680" s="171"/>
      <c r="K680" s="149"/>
      <c r="L680" s="149"/>
      <c r="M680" s="159"/>
      <c r="N680" s="596">
        <f t="shared" si="33"/>
        <v>1</v>
      </c>
      <c r="O680" s="176"/>
      <c r="P680" s="179" t="str">
        <f>IF(A680&lt;&gt;"", Снабжения!H680 / VLOOKUP(A680, 'Курс валют'!$A:$D, 4, 0), "")</f>
        <v/>
      </c>
    </row>
    <row r="681" spans="1:16" ht="20.100000000000001" customHeight="1" x14ac:dyDescent="0.45">
      <c r="A681" s="156"/>
      <c r="B681" s="152" t="s">
        <v>258</v>
      </c>
      <c r="C681" s="149" t="s">
        <v>69</v>
      </c>
      <c r="D681" s="159" t="s">
        <v>220</v>
      </c>
      <c r="E681" s="180"/>
      <c r="F681" s="458"/>
      <c r="G681" s="164"/>
      <c r="H681" s="169">
        <f t="shared" si="32"/>
        <v>0</v>
      </c>
      <c r="I681" s="173"/>
      <c r="J681" s="171"/>
      <c r="K681" s="149"/>
      <c r="L681" s="149"/>
      <c r="M681" s="159"/>
      <c r="N681" s="596">
        <f t="shared" si="33"/>
        <v>4</v>
      </c>
      <c r="O681" s="176"/>
      <c r="P681" s="179" t="str">
        <f>IF(A681&lt;&gt;"", Снабжения!H681 / VLOOKUP(A681, 'Курс валют'!$A:$D, 4, 0), "")</f>
        <v/>
      </c>
    </row>
    <row r="682" spans="1:16" ht="20.100000000000001" customHeight="1" x14ac:dyDescent="0.45">
      <c r="A682" s="156"/>
      <c r="B682" s="152" t="s">
        <v>276</v>
      </c>
      <c r="C682" s="149" t="s">
        <v>69</v>
      </c>
      <c r="D682" s="159" t="s">
        <v>220</v>
      </c>
      <c r="E682" s="180"/>
      <c r="F682" s="458">
        <v>80</v>
      </c>
      <c r="G682" s="164"/>
      <c r="H682" s="169">
        <f t="shared" si="32"/>
        <v>0</v>
      </c>
      <c r="I682" s="173"/>
      <c r="J682" s="171"/>
      <c r="K682" s="149"/>
      <c r="L682" s="149"/>
      <c r="M682" s="159"/>
      <c r="N682" s="596">
        <f t="shared" si="33"/>
        <v>20</v>
      </c>
      <c r="O682" s="176"/>
      <c r="P682" s="179" t="str">
        <f>IF(A682&lt;&gt;"", Снабжения!H682 / VLOOKUP(A682, 'Курс валют'!$A:$D, 4, 0), "")</f>
        <v/>
      </c>
    </row>
    <row r="683" spans="1:16" ht="20.100000000000001" customHeight="1" x14ac:dyDescent="0.45">
      <c r="A683" s="156"/>
      <c r="B683" s="152" t="s">
        <v>259</v>
      </c>
      <c r="C683" s="149" t="s">
        <v>62</v>
      </c>
      <c r="D683" s="159" t="s">
        <v>220</v>
      </c>
      <c r="E683" s="180"/>
      <c r="F683" s="458">
        <v>120</v>
      </c>
      <c r="G683" s="164"/>
      <c r="H683" s="169">
        <f t="shared" si="32"/>
        <v>0</v>
      </c>
      <c r="I683" s="173"/>
      <c r="J683" s="171"/>
      <c r="K683" s="149"/>
      <c r="L683" s="149"/>
      <c r="M683" s="159"/>
      <c r="N683" s="596">
        <f t="shared" si="33"/>
        <v>40</v>
      </c>
      <c r="O683" s="176"/>
      <c r="P683" s="179" t="str">
        <f>IF(A683&lt;&gt;"", Снабжения!H683 / VLOOKUP(A683, 'Курс валют'!$A:$D, 4, 0), "")</f>
        <v/>
      </c>
    </row>
    <row r="684" spans="1:16" ht="20.100000000000001" customHeight="1" x14ac:dyDescent="0.45">
      <c r="A684" s="156"/>
      <c r="B684" s="152" t="s">
        <v>189</v>
      </c>
      <c r="C684" s="149" t="s">
        <v>69</v>
      </c>
      <c r="D684" s="159" t="s">
        <v>220</v>
      </c>
      <c r="E684" s="180">
        <v>32</v>
      </c>
      <c r="F684" s="458">
        <v>115</v>
      </c>
      <c r="G684" s="164"/>
      <c r="H684" s="169">
        <f t="shared" si="32"/>
        <v>0</v>
      </c>
      <c r="I684" s="173"/>
      <c r="J684" s="171"/>
      <c r="K684" s="149"/>
      <c r="L684" s="149"/>
      <c r="M684" s="159"/>
      <c r="N684" s="596">
        <f t="shared" si="33"/>
        <v>309</v>
      </c>
      <c r="O684" s="176"/>
      <c r="P684" s="179" t="str">
        <f>IF(A684&lt;&gt;"", Снабжения!H684 / VLOOKUP(A684, 'Курс валют'!$A:$D, 4, 0), "")</f>
        <v/>
      </c>
    </row>
    <row r="685" spans="1:16" ht="20.100000000000001" customHeight="1" x14ac:dyDescent="0.45">
      <c r="A685" s="156"/>
      <c r="B685" s="152" t="s">
        <v>209</v>
      </c>
      <c r="C685" s="149" t="s">
        <v>69</v>
      </c>
      <c r="D685" s="159" t="s">
        <v>220</v>
      </c>
      <c r="E685" s="180"/>
      <c r="F685" s="458">
        <v>48</v>
      </c>
      <c r="G685" s="164"/>
      <c r="H685" s="169">
        <f t="shared" si="32"/>
        <v>0</v>
      </c>
      <c r="I685" s="173"/>
      <c r="J685" s="171"/>
      <c r="K685" s="149"/>
      <c r="L685" s="149"/>
      <c r="M685" s="159"/>
      <c r="N685" s="596">
        <f t="shared" si="33"/>
        <v>128</v>
      </c>
      <c r="O685" s="176"/>
      <c r="P685" s="179" t="str">
        <f>IF(A685&lt;&gt;"", Снабжения!H685 / VLOOKUP(A685, 'Курс валют'!$A:$D, 4, 0), "")</f>
        <v/>
      </c>
    </row>
    <row r="686" spans="1:16" ht="20.100000000000001" customHeight="1" x14ac:dyDescent="0.45">
      <c r="A686" s="156"/>
      <c r="B686" s="152" t="s">
        <v>210</v>
      </c>
      <c r="C686" s="149" t="s">
        <v>69</v>
      </c>
      <c r="D686" s="159" t="s">
        <v>220</v>
      </c>
      <c r="E686" s="180"/>
      <c r="F686" s="458">
        <v>464</v>
      </c>
      <c r="G686" s="164"/>
      <c r="H686" s="169">
        <f t="shared" si="32"/>
        <v>0</v>
      </c>
      <c r="I686" s="173"/>
      <c r="J686" s="171"/>
      <c r="K686" s="149"/>
      <c r="L686" s="149"/>
      <c r="M686" s="159"/>
      <c r="N686" s="596">
        <f t="shared" si="33"/>
        <v>405</v>
      </c>
      <c r="O686" s="176"/>
      <c r="P686" s="179" t="str">
        <f>IF(A686&lt;&gt;"", Снабжения!H686 / VLOOKUP(A686, 'Курс валют'!$A:$D, 4, 0), "")</f>
        <v/>
      </c>
    </row>
    <row r="687" spans="1:16" ht="20.100000000000001" customHeight="1" x14ac:dyDescent="0.45">
      <c r="A687" s="156"/>
      <c r="B687" s="152" t="s">
        <v>203</v>
      </c>
      <c r="C687" s="149" t="s">
        <v>69</v>
      </c>
      <c r="D687" s="159" t="s">
        <v>204</v>
      </c>
      <c r="E687" s="180">
        <v>6</v>
      </c>
      <c r="F687" s="458"/>
      <c r="G687" s="164"/>
      <c r="H687" s="169">
        <f t="shared" si="32"/>
        <v>0</v>
      </c>
      <c r="I687" s="173"/>
      <c r="J687" s="171"/>
      <c r="K687" s="149"/>
      <c r="L687" s="149"/>
      <c r="M687" s="159"/>
      <c r="N687" s="596">
        <f t="shared" si="33"/>
        <v>11</v>
      </c>
      <c r="O687" s="176"/>
      <c r="P687" s="179" t="str">
        <f>IF(A687&lt;&gt;"", Снабжения!H687 / VLOOKUP(A687, 'Курс валют'!$A:$D, 4, 0), "")</f>
        <v/>
      </c>
    </row>
    <row r="688" spans="1:16" ht="20.100000000000001" customHeight="1" x14ac:dyDescent="0.45">
      <c r="A688" s="156"/>
      <c r="B688" s="152" t="s">
        <v>295</v>
      </c>
      <c r="C688" s="149" t="s">
        <v>69</v>
      </c>
      <c r="D688" s="159" t="s">
        <v>204</v>
      </c>
      <c r="E688" s="180"/>
      <c r="F688" s="458">
        <v>16</v>
      </c>
      <c r="G688" s="164"/>
      <c r="H688" s="169">
        <f t="shared" si="32"/>
        <v>0</v>
      </c>
      <c r="I688" s="173"/>
      <c r="J688" s="171"/>
      <c r="K688" s="149"/>
      <c r="L688" s="149"/>
      <c r="M688" s="159"/>
      <c r="N688" s="596">
        <f t="shared" si="33"/>
        <v>1</v>
      </c>
      <c r="O688" s="176"/>
      <c r="P688" s="179" t="str">
        <f>IF(A688&lt;&gt;"", Снабжения!H688 / VLOOKUP(A688, 'Курс валют'!$A:$D, 4, 0), "")</f>
        <v/>
      </c>
    </row>
    <row r="689" spans="1:16" ht="20.100000000000001" customHeight="1" x14ac:dyDescent="0.45">
      <c r="A689" s="156"/>
      <c r="B689" s="152" t="s">
        <v>247</v>
      </c>
      <c r="C689" s="149" t="s">
        <v>69</v>
      </c>
      <c r="D689" s="159" t="s">
        <v>204</v>
      </c>
      <c r="E689" s="180"/>
      <c r="F689" s="458"/>
      <c r="G689" s="164"/>
      <c r="H689" s="169">
        <f t="shared" si="32"/>
        <v>0</v>
      </c>
      <c r="I689" s="173"/>
      <c r="J689" s="171"/>
      <c r="K689" s="149"/>
      <c r="L689" s="149"/>
      <c r="M689" s="159"/>
      <c r="N689" s="596">
        <f t="shared" si="33"/>
        <v>2</v>
      </c>
      <c r="O689" s="176"/>
      <c r="P689" s="179" t="str">
        <f>IF(A689&lt;&gt;"", Снабжения!H689 / VLOOKUP(A689, 'Курс валют'!$A:$D, 4, 0), "")</f>
        <v/>
      </c>
    </row>
    <row r="690" spans="1:16" ht="20.100000000000001" customHeight="1" x14ac:dyDescent="0.45">
      <c r="A690" s="156"/>
      <c r="B690" s="152" t="s">
        <v>253</v>
      </c>
      <c r="C690" s="149" t="s">
        <v>69</v>
      </c>
      <c r="D690" s="159" t="s">
        <v>204</v>
      </c>
      <c r="E690" s="180">
        <v>3</v>
      </c>
      <c r="F690" s="458"/>
      <c r="G690" s="164"/>
      <c r="H690" s="169">
        <f t="shared" si="32"/>
        <v>0</v>
      </c>
      <c r="I690" s="173"/>
      <c r="J690" s="171"/>
      <c r="K690" s="149"/>
      <c r="L690" s="149"/>
      <c r="M690" s="159"/>
      <c r="N690" s="596">
        <f t="shared" si="33"/>
        <v>8</v>
      </c>
      <c r="O690" s="176"/>
      <c r="P690" s="179" t="str">
        <f>IF(A690&lt;&gt;"", Снабжения!H690 / VLOOKUP(A690, 'Курс валют'!$A:$D, 4, 0), "")</f>
        <v/>
      </c>
    </row>
    <row r="691" spans="1:16" ht="20.100000000000001" customHeight="1" x14ac:dyDescent="0.45">
      <c r="A691" s="156"/>
      <c r="B691" s="152" t="s">
        <v>284</v>
      </c>
      <c r="C691" s="149" t="s">
        <v>69</v>
      </c>
      <c r="D691" s="159" t="s">
        <v>220</v>
      </c>
      <c r="E691" s="180">
        <v>1</v>
      </c>
      <c r="F691" s="458"/>
      <c r="G691" s="164"/>
      <c r="H691" s="169">
        <f t="shared" si="32"/>
        <v>0</v>
      </c>
      <c r="I691" s="173"/>
      <c r="J691" s="171"/>
      <c r="K691" s="149"/>
      <c r="L691" s="149"/>
      <c r="M691" s="159"/>
      <c r="N691" s="596">
        <f t="shared" si="33"/>
        <v>1</v>
      </c>
      <c r="O691" s="176"/>
      <c r="P691" s="179" t="str">
        <f>IF(A691&lt;&gt;"", Снабжения!H691 / VLOOKUP(A691, 'Курс валют'!$A:$D, 4, 0), "")</f>
        <v/>
      </c>
    </row>
    <row r="692" spans="1:16" ht="20.100000000000001" customHeight="1" x14ac:dyDescent="0.45">
      <c r="A692" s="156"/>
      <c r="B692" s="152" t="s">
        <v>271</v>
      </c>
      <c r="C692" s="149" t="s">
        <v>69</v>
      </c>
      <c r="D692" s="159" t="s">
        <v>220</v>
      </c>
      <c r="E692" s="180"/>
      <c r="F692" s="458">
        <v>29</v>
      </c>
      <c r="G692" s="164"/>
      <c r="H692" s="169">
        <f t="shared" si="32"/>
        <v>0</v>
      </c>
      <c r="I692" s="173"/>
      <c r="J692" s="171"/>
      <c r="K692" s="149"/>
      <c r="L692" s="149"/>
      <c r="M692" s="159"/>
      <c r="N692" s="596">
        <f t="shared" si="33"/>
        <v>42</v>
      </c>
      <c r="O692" s="176"/>
      <c r="P692" s="179" t="str">
        <f>IF(A692&lt;&gt;"", Снабжения!H692 / VLOOKUP(A692, 'Курс валют'!$A:$D, 4, 0), "")</f>
        <v/>
      </c>
    </row>
    <row r="693" spans="1:16" ht="20.100000000000001" customHeight="1" x14ac:dyDescent="0.45">
      <c r="A693" s="156"/>
      <c r="B693" s="152" t="s">
        <v>272</v>
      </c>
      <c r="C693" s="149" t="s">
        <v>69</v>
      </c>
      <c r="D693" s="159" t="s">
        <v>220</v>
      </c>
      <c r="E693" s="180">
        <v>2</v>
      </c>
      <c r="F693" s="458">
        <v>8</v>
      </c>
      <c r="G693" s="164"/>
      <c r="H693" s="169">
        <f t="shared" si="32"/>
        <v>0</v>
      </c>
      <c r="I693" s="173"/>
      <c r="J693" s="171"/>
      <c r="K693" s="149"/>
      <c r="L693" s="149"/>
      <c r="M693" s="159"/>
      <c r="N693" s="596">
        <f t="shared" si="33"/>
        <v>87</v>
      </c>
      <c r="O693" s="176"/>
      <c r="P693" s="179" t="str">
        <f>IF(A693&lt;&gt;"", Снабжения!H693 / VLOOKUP(A693, 'Курс валют'!$A:$D, 4, 0), "")</f>
        <v/>
      </c>
    </row>
    <row r="694" spans="1:16" ht="20.100000000000001" customHeight="1" x14ac:dyDescent="0.45">
      <c r="A694" s="156"/>
      <c r="B694" s="152" t="s">
        <v>223</v>
      </c>
      <c r="C694" s="149" t="s">
        <v>69</v>
      </c>
      <c r="D694" s="159" t="s">
        <v>220</v>
      </c>
      <c r="E694" s="180">
        <v>4</v>
      </c>
      <c r="F694" s="458"/>
      <c r="G694" s="164"/>
      <c r="H694" s="169">
        <f t="shared" si="32"/>
        <v>0</v>
      </c>
      <c r="I694" s="173"/>
      <c r="J694" s="171"/>
      <c r="K694" s="149"/>
      <c r="L694" s="149"/>
      <c r="M694" s="159"/>
      <c r="N694" s="596">
        <f t="shared" si="33"/>
        <v>8</v>
      </c>
      <c r="O694" s="176"/>
      <c r="P694" s="179" t="str">
        <f>IF(A694&lt;&gt;"", Снабжения!H694 / VLOOKUP(A694, 'Курс валют'!$A:$D, 4, 0), "")</f>
        <v/>
      </c>
    </row>
    <row r="695" spans="1:16" ht="20.100000000000001" customHeight="1" x14ac:dyDescent="0.45">
      <c r="A695" s="156"/>
      <c r="B695" s="152" t="s">
        <v>254</v>
      </c>
      <c r="C695" s="149" t="s">
        <v>69</v>
      </c>
      <c r="D695" s="159" t="s">
        <v>220</v>
      </c>
      <c r="E695" s="180"/>
      <c r="F695" s="458">
        <v>4</v>
      </c>
      <c r="G695" s="164"/>
      <c r="H695" s="169">
        <f t="shared" si="32"/>
        <v>0</v>
      </c>
      <c r="I695" s="173"/>
      <c r="J695" s="171"/>
      <c r="K695" s="149"/>
      <c r="L695" s="149"/>
      <c r="M695" s="159"/>
      <c r="N695" s="596">
        <f t="shared" si="33"/>
        <v>33</v>
      </c>
      <c r="O695" s="176"/>
      <c r="P695" s="179" t="str">
        <f>IF(A695&lt;&gt;"", Снабжения!H695 / VLOOKUP(A695, 'Курс валют'!$A:$D, 4, 0), "")</f>
        <v/>
      </c>
    </row>
    <row r="696" spans="1:16" ht="20.100000000000001" customHeight="1" x14ac:dyDescent="0.45">
      <c r="A696" s="156"/>
      <c r="B696" s="152" t="s">
        <v>191</v>
      </c>
      <c r="C696" s="149" t="s">
        <v>69</v>
      </c>
      <c r="D696" s="159" t="s">
        <v>220</v>
      </c>
      <c r="E696" s="180"/>
      <c r="F696" s="458"/>
      <c r="G696" s="164"/>
      <c r="H696" s="169">
        <f t="shared" si="32"/>
        <v>0</v>
      </c>
      <c r="I696" s="173"/>
      <c r="J696" s="171"/>
      <c r="K696" s="149"/>
      <c r="L696" s="149"/>
      <c r="M696" s="159"/>
      <c r="N696" s="596">
        <f t="shared" si="33"/>
        <v>2</v>
      </c>
      <c r="O696" s="176"/>
      <c r="P696" s="179" t="str">
        <f>IF(A696&lt;&gt;"", Снабжения!H696 / VLOOKUP(A696, 'Курс валют'!$A:$D, 4, 0), "")</f>
        <v/>
      </c>
    </row>
    <row r="697" spans="1:16" ht="20.100000000000001" customHeight="1" x14ac:dyDescent="0.45">
      <c r="A697" s="156"/>
      <c r="B697" s="152" t="s">
        <v>240</v>
      </c>
      <c r="C697" s="149" t="s">
        <v>69</v>
      </c>
      <c r="D697" s="159" t="s">
        <v>220</v>
      </c>
      <c r="E697" s="180"/>
      <c r="F697" s="458">
        <v>2</v>
      </c>
      <c r="G697" s="164"/>
      <c r="H697" s="169">
        <f t="shared" si="32"/>
        <v>0</v>
      </c>
      <c r="I697" s="173"/>
      <c r="J697" s="171"/>
      <c r="K697" s="149"/>
      <c r="L697" s="149"/>
      <c r="M697" s="159"/>
      <c r="N697" s="596">
        <f t="shared" si="33"/>
        <v>9</v>
      </c>
      <c r="O697" s="176"/>
      <c r="P697" s="179" t="str">
        <f>IF(A697&lt;&gt;"", Снабжения!H697 / VLOOKUP(A697, 'Курс валют'!$A:$D, 4, 0), "")</f>
        <v/>
      </c>
    </row>
    <row r="698" spans="1:16" ht="20.100000000000001" customHeight="1" x14ac:dyDescent="0.45">
      <c r="A698" s="156"/>
      <c r="B698" s="152" t="s">
        <v>263</v>
      </c>
      <c r="C698" s="149" t="s">
        <v>69</v>
      </c>
      <c r="D698" s="159" t="s">
        <v>220</v>
      </c>
      <c r="E698" s="180"/>
      <c r="F698" s="458">
        <v>5</v>
      </c>
      <c r="G698" s="164"/>
      <c r="H698" s="169">
        <f t="shared" si="32"/>
        <v>0</v>
      </c>
      <c r="I698" s="173"/>
      <c r="J698" s="171"/>
      <c r="K698" s="149"/>
      <c r="L698" s="149"/>
      <c r="M698" s="159"/>
      <c r="N698" s="596">
        <f t="shared" si="33"/>
        <v>18</v>
      </c>
      <c r="O698" s="176"/>
      <c r="P698" s="179" t="str">
        <f>IF(A698&lt;&gt;"", Снабжения!H698 / VLOOKUP(A698, 'Курс валют'!$A:$D, 4, 0), "")</f>
        <v/>
      </c>
    </row>
    <row r="699" spans="1:16" ht="20.100000000000001" customHeight="1" x14ac:dyDescent="0.45">
      <c r="A699" s="156"/>
      <c r="B699" s="152" t="s">
        <v>274</v>
      </c>
      <c r="C699" s="149" t="s">
        <v>69</v>
      </c>
      <c r="D699" s="159" t="s">
        <v>220</v>
      </c>
      <c r="E699" s="180"/>
      <c r="F699" s="458">
        <v>3</v>
      </c>
      <c r="G699" s="164"/>
      <c r="H699" s="169">
        <f t="shared" si="32"/>
        <v>0</v>
      </c>
      <c r="I699" s="173"/>
      <c r="J699" s="171"/>
      <c r="K699" s="149"/>
      <c r="L699" s="149"/>
      <c r="M699" s="159"/>
      <c r="N699" s="596">
        <f t="shared" si="33"/>
        <v>7</v>
      </c>
      <c r="O699" s="176"/>
      <c r="P699" s="179" t="str">
        <f>IF(A699&lt;&gt;"", Снабжения!H699 / VLOOKUP(A699, 'Курс валют'!$A:$D, 4, 0), "")</f>
        <v/>
      </c>
    </row>
    <row r="700" spans="1:16" ht="20.100000000000001" customHeight="1" x14ac:dyDescent="0.45">
      <c r="A700" s="156"/>
      <c r="B700" s="152" t="s">
        <v>224</v>
      </c>
      <c r="C700" s="149" t="s">
        <v>69</v>
      </c>
      <c r="D700" s="159" t="s">
        <v>220</v>
      </c>
      <c r="E700" s="180">
        <v>1</v>
      </c>
      <c r="F700" s="458"/>
      <c r="G700" s="164"/>
      <c r="H700" s="169">
        <f t="shared" si="32"/>
        <v>0</v>
      </c>
      <c r="I700" s="173"/>
      <c r="J700" s="171"/>
      <c r="K700" s="149"/>
      <c r="L700" s="149"/>
      <c r="M700" s="159"/>
      <c r="N700" s="596">
        <f t="shared" si="33"/>
        <v>8</v>
      </c>
      <c r="O700" s="176"/>
      <c r="P700" s="179" t="str">
        <f>IF(A700&lt;&gt;"", Снабжения!H700 / VLOOKUP(A700, 'Курс валют'!$A:$D, 4, 0), "")</f>
        <v/>
      </c>
    </row>
    <row r="701" spans="1:16" ht="20.100000000000001" customHeight="1" x14ac:dyDescent="0.45">
      <c r="A701" s="156"/>
      <c r="B701" s="152" t="s">
        <v>205</v>
      </c>
      <c r="C701" s="149" t="s">
        <v>69</v>
      </c>
      <c r="D701" s="159" t="s">
        <v>220</v>
      </c>
      <c r="E701" s="180"/>
      <c r="F701" s="458">
        <v>9</v>
      </c>
      <c r="G701" s="164"/>
      <c r="H701" s="169">
        <f>G701*E701</f>
        <v>0</v>
      </c>
      <c r="I701" s="173"/>
      <c r="J701" s="171"/>
      <c r="K701" s="149"/>
      <c r="L701" s="149"/>
      <c r="M701" s="159"/>
      <c r="N701" s="596">
        <f t="shared" si="33"/>
        <v>8</v>
      </c>
      <c r="O701" s="176"/>
      <c r="P701" s="179" t="str">
        <f>IF(A701&lt;&gt;"", Снабжения!H701 / VLOOKUP(A701, 'Курс валют'!$A:$D, 4, 0), "")</f>
        <v/>
      </c>
    </row>
    <row r="702" spans="1:16" ht="20.100000000000001" customHeight="1" x14ac:dyDescent="0.45">
      <c r="A702" s="156"/>
      <c r="B702" s="152" t="s">
        <v>186</v>
      </c>
      <c r="C702" s="149" t="s">
        <v>59</v>
      </c>
      <c r="D702" s="159" t="s">
        <v>187</v>
      </c>
      <c r="E702" s="180"/>
      <c r="F702" s="458">
        <v>38.200000000000003</v>
      </c>
      <c r="G702" s="164"/>
      <c r="H702" s="169">
        <f>G702*E702</f>
        <v>0</v>
      </c>
      <c r="I702" s="173"/>
      <c r="J702" s="171"/>
      <c r="K702" s="149"/>
      <c r="L702" s="149"/>
      <c r="M702" s="159"/>
      <c r="N702" s="596">
        <f t="shared" si="33"/>
        <v>40</v>
      </c>
      <c r="O702" s="176"/>
      <c r="P702" s="179" t="str">
        <f>IF(A702&lt;&gt;"", Снабжения!H702 / VLOOKUP(A702, 'Курс валют'!$A:$D, 4, 0), "")</f>
        <v/>
      </c>
    </row>
    <row r="703" spans="1:16" ht="20.100000000000001" customHeight="1" x14ac:dyDescent="0.45">
      <c r="A703" s="156"/>
      <c r="B703" s="152" t="s">
        <v>219</v>
      </c>
      <c r="C703" s="149" t="s">
        <v>59</v>
      </c>
      <c r="D703" s="159" t="s">
        <v>220</v>
      </c>
      <c r="E703" s="180"/>
      <c r="F703" s="458">
        <v>9</v>
      </c>
      <c r="G703" s="164"/>
      <c r="H703" s="169">
        <f t="shared" si="32"/>
        <v>0</v>
      </c>
      <c r="I703" s="173"/>
      <c r="J703" s="171"/>
      <c r="K703" s="149"/>
      <c r="L703" s="149"/>
      <c r="M703" s="159"/>
      <c r="N703" s="596">
        <f t="shared" si="33"/>
        <v>41.5</v>
      </c>
      <c r="O703" s="176"/>
      <c r="P703" s="179" t="str">
        <f>IF(A703&lt;&gt;"", Снабжения!H703 / VLOOKUP(A703, 'Курс валют'!$A:$D, 4, 0), "")</f>
        <v/>
      </c>
    </row>
    <row r="704" spans="1:16" ht="20.100000000000001" customHeight="1" x14ac:dyDescent="0.45">
      <c r="A704" s="156">
        <v>46143</v>
      </c>
      <c r="B704" s="152" t="s">
        <v>223</v>
      </c>
      <c r="C704" s="149" t="s">
        <v>69</v>
      </c>
      <c r="D704" s="159" t="s">
        <v>220</v>
      </c>
      <c r="E704" s="180"/>
      <c r="F704" s="458">
        <v>2</v>
      </c>
      <c r="G704" s="164"/>
      <c r="H704" s="169">
        <f t="shared" si="32"/>
        <v>0</v>
      </c>
      <c r="I704" s="173"/>
      <c r="J704" s="171"/>
      <c r="K704" s="149"/>
      <c r="L704" s="149"/>
      <c r="M704" s="159">
        <v>26</v>
      </c>
      <c r="N704" s="596">
        <f t="shared" si="33"/>
        <v>8</v>
      </c>
      <c r="O704" s="176"/>
      <c r="P704" s="179">
        <f>IF(A704&lt;&gt;"", Снабжения!H704 / VLOOKUP(A704, 'Курс валют'!$A:$D, 4, 0), "")</f>
        <v>0</v>
      </c>
    </row>
    <row r="705" spans="1:16" ht="20.100000000000001" customHeight="1" x14ac:dyDescent="0.45">
      <c r="A705" s="156">
        <v>46143</v>
      </c>
      <c r="B705" s="152" t="s">
        <v>208</v>
      </c>
      <c r="C705" s="149" t="s">
        <v>69</v>
      </c>
      <c r="D705" s="159" t="s">
        <v>220</v>
      </c>
      <c r="E705" s="180"/>
      <c r="F705" s="458">
        <v>1</v>
      </c>
      <c r="G705" s="164"/>
      <c r="H705" s="169">
        <f t="shared" si="32"/>
        <v>0</v>
      </c>
      <c r="I705" s="173"/>
      <c r="J705" s="171"/>
      <c r="K705" s="149"/>
      <c r="L705" s="149"/>
      <c r="M705" s="159"/>
      <c r="N705" s="596">
        <f t="shared" si="33"/>
        <v>10</v>
      </c>
      <c r="O705" s="176"/>
      <c r="P705" s="179">
        <f>IF(A705&lt;&gt;"", Снабжения!H705 / VLOOKUP(A705, 'Курс валют'!$A:$D, 4, 0), "")</f>
        <v>0</v>
      </c>
    </row>
    <row r="706" spans="1:16" ht="20.100000000000001" customHeight="1" x14ac:dyDescent="0.45">
      <c r="A706" s="156">
        <v>46143</v>
      </c>
      <c r="B706" s="152" t="s">
        <v>283</v>
      </c>
      <c r="C706" s="149" t="s">
        <v>127</v>
      </c>
      <c r="D706" s="159" t="s">
        <v>220</v>
      </c>
      <c r="E706" s="180"/>
      <c r="F706" s="458">
        <v>3</v>
      </c>
      <c r="G706" s="164"/>
      <c r="H706" s="169">
        <f t="shared" si="32"/>
        <v>0</v>
      </c>
      <c r="I706" s="173"/>
      <c r="J706" s="171"/>
      <c r="K706" s="149"/>
      <c r="L706" s="149"/>
      <c r="M706" s="159">
        <v>25</v>
      </c>
      <c r="N706" s="596">
        <f t="shared" si="33"/>
        <v>18</v>
      </c>
      <c r="O706" s="176"/>
      <c r="P706" s="179">
        <f>IF(A706&lt;&gt;"", Снабжения!H706 / VLOOKUP(A706, 'Курс валют'!$A:$D, 4, 0), "")</f>
        <v>0</v>
      </c>
    </row>
    <row r="707" spans="1:16" ht="20.100000000000001" customHeight="1" x14ac:dyDescent="0.45">
      <c r="A707" s="156">
        <v>46143</v>
      </c>
      <c r="B707" s="152" t="s">
        <v>228</v>
      </c>
      <c r="C707" s="149" t="s">
        <v>59</v>
      </c>
      <c r="D707" s="159" t="s">
        <v>187</v>
      </c>
      <c r="E707" s="180"/>
      <c r="F707" s="458">
        <v>150</v>
      </c>
      <c r="G707" s="164"/>
      <c r="H707" s="169">
        <f t="shared" si="32"/>
        <v>0</v>
      </c>
      <c r="I707" s="173"/>
      <c r="J707" s="171"/>
      <c r="K707" s="149"/>
      <c r="L707" s="149"/>
      <c r="M707" s="159">
        <v>250</v>
      </c>
      <c r="N707" s="596">
        <f t="shared" si="33"/>
        <v>125</v>
      </c>
      <c r="O707" s="176"/>
      <c r="P707" s="179">
        <f>IF(A707&lt;&gt;"", Снабжения!H707 / VLOOKUP(A707, 'Курс валют'!$A:$D, 4, 0), "")</f>
        <v>0</v>
      </c>
    </row>
    <row r="708" spans="1:16" ht="20.100000000000001" customHeight="1" x14ac:dyDescent="0.45">
      <c r="A708" s="156">
        <v>46143</v>
      </c>
      <c r="B708" s="152" t="s">
        <v>271</v>
      </c>
      <c r="C708" s="149" t="s">
        <v>69</v>
      </c>
      <c r="D708" s="159" t="s">
        <v>220</v>
      </c>
      <c r="E708" s="180"/>
      <c r="F708" s="458">
        <v>18</v>
      </c>
      <c r="G708" s="164"/>
      <c r="H708" s="169">
        <f t="shared" si="32"/>
        <v>0</v>
      </c>
      <c r="I708" s="173"/>
      <c r="J708" s="171"/>
      <c r="K708" s="149"/>
      <c r="L708" s="149"/>
      <c r="M708" s="159">
        <v>82</v>
      </c>
      <c r="N708" s="596">
        <f t="shared" si="33"/>
        <v>42</v>
      </c>
      <c r="O708" s="176"/>
      <c r="P708" s="179">
        <f>IF(A708&lt;&gt;"", Снабжения!H708 / VLOOKUP(A708, 'Курс валют'!$A:$D, 4, 0), "")</f>
        <v>0</v>
      </c>
    </row>
    <row r="709" spans="1:16" ht="20.100000000000001" customHeight="1" x14ac:dyDescent="0.45">
      <c r="A709" s="156">
        <v>46143</v>
      </c>
      <c r="B709" s="152" t="s">
        <v>209</v>
      </c>
      <c r="C709" s="149" t="s">
        <v>69</v>
      </c>
      <c r="D709" s="159" t="s">
        <v>220</v>
      </c>
      <c r="E709" s="180"/>
      <c r="F709" s="458">
        <v>4</v>
      </c>
      <c r="G709" s="164"/>
      <c r="H709" s="169">
        <f t="shared" si="32"/>
        <v>0</v>
      </c>
      <c r="I709" s="173"/>
      <c r="J709" s="171"/>
      <c r="K709" s="149"/>
      <c r="L709" s="149"/>
      <c r="M709" s="159">
        <v>166</v>
      </c>
      <c r="N709" s="596">
        <f t="shared" si="33"/>
        <v>128</v>
      </c>
      <c r="O709" s="176"/>
      <c r="P709" s="179">
        <f>IF(A709&lt;&gt;"", Снабжения!H709 / VLOOKUP(A709, 'Курс валют'!$A:$D, 4, 0), "")</f>
        <v>0</v>
      </c>
    </row>
    <row r="710" spans="1:16" ht="20.100000000000001" customHeight="1" x14ac:dyDescent="0.45">
      <c r="A710" s="156">
        <v>46143</v>
      </c>
      <c r="B710" s="152" t="s">
        <v>189</v>
      </c>
      <c r="C710" s="149" t="s">
        <v>69</v>
      </c>
      <c r="D710" s="159" t="s">
        <v>220</v>
      </c>
      <c r="E710" s="180"/>
      <c r="F710" s="458">
        <v>2</v>
      </c>
      <c r="G710" s="164"/>
      <c r="H710" s="169">
        <f t="shared" si="32"/>
        <v>0</v>
      </c>
      <c r="I710" s="173"/>
      <c r="J710" s="171"/>
      <c r="K710" s="149"/>
      <c r="L710" s="149"/>
      <c r="M710" s="159">
        <v>172</v>
      </c>
      <c r="N710" s="596">
        <f t="shared" si="33"/>
        <v>309</v>
      </c>
      <c r="O710" s="176"/>
      <c r="P710" s="179">
        <f>IF(A710&lt;&gt;"", Снабжения!H710 / VLOOKUP(A710, 'Курс валют'!$A:$D, 4, 0), "")</f>
        <v>0</v>
      </c>
    </row>
    <row r="711" spans="1:16" ht="20.100000000000001" customHeight="1" x14ac:dyDescent="0.45">
      <c r="A711" s="156">
        <v>46143</v>
      </c>
      <c r="B711" s="152" t="s">
        <v>254</v>
      </c>
      <c r="C711" s="149" t="s">
        <v>69</v>
      </c>
      <c r="D711" s="159" t="s">
        <v>220</v>
      </c>
      <c r="E711" s="180"/>
      <c r="F711" s="458">
        <v>19</v>
      </c>
      <c r="G711" s="164"/>
      <c r="H711" s="169">
        <f t="shared" si="32"/>
        <v>0</v>
      </c>
      <c r="I711" s="173"/>
      <c r="J711" s="171"/>
      <c r="K711" s="149"/>
      <c r="L711" s="149"/>
      <c r="M711" s="159"/>
      <c r="N711" s="596">
        <f t="shared" si="33"/>
        <v>33</v>
      </c>
      <c r="O711" s="176"/>
      <c r="P711" s="179">
        <f>IF(A711&lt;&gt;"", Снабжения!H711 / VLOOKUP(A711, 'Курс валют'!$A:$D, 4, 0), "")</f>
        <v>0</v>
      </c>
    </row>
    <row r="712" spans="1:16" ht="20.100000000000001" customHeight="1" x14ac:dyDescent="0.45">
      <c r="A712" s="156">
        <v>46144</v>
      </c>
      <c r="B712" s="152" t="s">
        <v>271</v>
      </c>
      <c r="C712" s="149" t="s">
        <v>69</v>
      </c>
      <c r="D712" s="159" t="s">
        <v>220</v>
      </c>
      <c r="E712" s="180">
        <v>50</v>
      </c>
      <c r="F712" s="458"/>
      <c r="G712" s="164">
        <v>9150</v>
      </c>
      <c r="H712" s="169">
        <f t="shared" si="32"/>
        <v>457500</v>
      </c>
      <c r="I712" s="173"/>
      <c r="J712" s="171"/>
      <c r="K712" s="149"/>
      <c r="L712" s="149"/>
      <c r="M712" s="159"/>
      <c r="N712" s="596">
        <f t="shared" si="33"/>
        <v>42</v>
      </c>
      <c r="O712" s="176"/>
      <c r="P712" s="179">
        <f>IF(A712&lt;&gt;"", Снабжения!H712 / VLOOKUP(A712, 'Курс валют'!$A:$D, 4, 0), "")</f>
        <v>38.125</v>
      </c>
    </row>
    <row r="713" spans="1:16" ht="20.100000000000001" customHeight="1" x14ac:dyDescent="0.45">
      <c r="A713" s="156">
        <v>46144</v>
      </c>
      <c r="B713" s="152" t="s">
        <v>208</v>
      </c>
      <c r="C713" s="149" t="s">
        <v>69</v>
      </c>
      <c r="D713" s="159" t="s">
        <v>220</v>
      </c>
      <c r="E713" s="180">
        <v>12</v>
      </c>
      <c r="F713" s="458"/>
      <c r="G713" s="164">
        <v>17000</v>
      </c>
      <c r="H713" s="169">
        <f t="shared" si="32"/>
        <v>204000</v>
      </c>
      <c r="I713" s="173"/>
      <c r="J713" s="171"/>
      <c r="K713" s="149"/>
      <c r="L713" s="149"/>
      <c r="M713" s="159"/>
      <c r="N713" s="596">
        <f t="shared" si="33"/>
        <v>10</v>
      </c>
      <c r="O713" s="176"/>
      <c r="P713" s="179">
        <f>IF(A713&lt;&gt;"", Снабжения!H713 / VLOOKUP(A713, 'Курс валют'!$A:$D, 4, 0), "")</f>
        <v>17</v>
      </c>
    </row>
    <row r="714" spans="1:16" ht="20.100000000000001" customHeight="1" x14ac:dyDescent="0.45">
      <c r="A714" s="156">
        <v>46144</v>
      </c>
      <c r="B714" s="152" t="s">
        <v>210</v>
      </c>
      <c r="C714" s="149" t="s">
        <v>69</v>
      </c>
      <c r="D714" s="159" t="s">
        <v>220</v>
      </c>
      <c r="E714" s="180">
        <v>405</v>
      </c>
      <c r="F714" s="458"/>
      <c r="G714" s="164">
        <v>344.44</v>
      </c>
      <c r="H714" s="169">
        <f t="shared" si="32"/>
        <v>139498.20000000001</v>
      </c>
      <c r="I714" s="173"/>
      <c r="J714" s="171"/>
      <c r="K714" s="149"/>
      <c r="L714" s="149"/>
      <c r="M714" s="159"/>
      <c r="N714" s="596">
        <f t="shared" si="33"/>
        <v>405</v>
      </c>
      <c r="O714" s="176"/>
      <c r="P714" s="179">
        <f>IF(A714&lt;&gt;"", Снабжения!H714 / VLOOKUP(A714, 'Курс валют'!$A:$D, 4, 0), "")</f>
        <v>11.62485</v>
      </c>
    </row>
    <row r="715" spans="1:16" ht="20.100000000000001" customHeight="1" x14ac:dyDescent="0.45">
      <c r="A715" s="156">
        <v>46144</v>
      </c>
      <c r="B715" s="152" t="s">
        <v>209</v>
      </c>
      <c r="C715" s="149" t="s">
        <v>69</v>
      </c>
      <c r="D715" s="159" t="s">
        <v>220</v>
      </c>
      <c r="E715" s="180">
        <v>100</v>
      </c>
      <c r="F715" s="458"/>
      <c r="G715" s="164">
        <v>1200</v>
      </c>
      <c r="H715" s="169">
        <f t="shared" si="32"/>
        <v>120000</v>
      </c>
      <c r="I715" s="173"/>
      <c r="J715" s="171"/>
      <c r="K715" s="149"/>
      <c r="L715" s="149"/>
      <c r="M715" s="159"/>
      <c r="N715" s="596">
        <f t="shared" si="33"/>
        <v>128</v>
      </c>
      <c r="O715" s="176"/>
      <c r="P715" s="179">
        <f>IF(A715&lt;&gt;"", Снабжения!H715 / VLOOKUP(A715, 'Курс валют'!$A:$D, 4, 0), "")</f>
        <v>10</v>
      </c>
    </row>
    <row r="716" spans="1:16" ht="20.100000000000001" customHeight="1" x14ac:dyDescent="0.45">
      <c r="A716" s="156">
        <v>46144</v>
      </c>
      <c r="B716" s="152" t="s">
        <v>205</v>
      </c>
      <c r="C716" s="149" t="s">
        <v>69</v>
      </c>
      <c r="D716" s="159" t="s">
        <v>204</v>
      </c>
      <c r="E716" s="180">
        <v>10</v>
      </c>
      <c r="F716" s="458"/>
      <c r="G716" s="164">
        <v>5600</v>
      </c>
      <c r="H716" s="169">
        <f t="shared" si="32"/>
        <v>56000</v>
      </c>
      <c r="I716" s="173"/>
      <c r="J716" s="171"/>
      <c r="K716" s="149"/>
      <c r="L716" s="149"/>
      <c r="M716" s="159"/>
      <c r="N716" s="596">
        <f t="shared" si="33"/>
        <v>8</v>
      </c>
      <c r="O716" s="176"/>
      <c r="P716" s="179">
        <f>IF(A716&lt;&gt;"", Снабжения!H716 / VLOOKUP(A716, 'Курс валют'!$A:$D, 4, 0), "")</f>
        <v>4.666666666666667</v>
      </c>
    </row>
    <row r="717" spans="1:16" ht="20.100000000000001" customHeight="1" x14ac:dyDescent="0.45">
      <c r="A717" s="156">
        <v>46144</v>
      </c>
      <c r="B717" s="152" t="s">
        <v>190</v>
      </c>
      <c r="C717" s="149" t="s">
        <v>59</v>
      </c>
      <c r="D717" s="159" t="s">
        <v>187</v>
      </c>
      <c r="E717" s="180">
        <v>100</v>
      </c>
      <c r="F717" s="458"/>
      <c r="G717" s="164">
        <v>26300</v>
      </c>
      <c r="H717" s="169">
        <f t="shared" ref="H717:H781" si="34">G717*E717</f>
        <v>2630000</v>
      </c>
      <c r="I717" s="173"/>
      <c r="J717" s="171"/>
      <c r="K717" s="149"/>
      <c r="L717" s="149"/>
      <c r="M717" s="159"/>
      <c r="N717" s="596">
        <f t="shared" si="33"/>
        <v>80</v>
      </c>
      <c r="O717" s="176"/>
      <c r="P717" s="179">
        <f>IF(A717&lt;&gt;"", Снабжения!H717 / VLOOKUP(A717, 'Курс валют'!$A:$D, 4, 0), "")</f>
        <v>219.16666666666666</v>
      </c>
    </row>
    <row r="718" spans="1:16" ht="20.100000000000001" customHeight="1" x14ac:dyDescent="0.45">
      <c r="A718" s="156">
        <v>46144</v>
      </c>
      <c r="B718" s="152" t="s">
        <v>182</v>
      </c>
      <c r="C718" s="149" t="s">
        <v>69</v>
      </c>
      <c r="D718" s="159" t="s">
        <v>220</v>
      </c>
      <c r="E718" s="180">
        <v>5</v>
      </c>
      <c r="F718" s="458"/>
      <c r="G718" s="164">
        <v>4900</v>
      </c>
      <c r="H718" s="169">
        <f t="shared" si="34"/>
        <v>24500</v>
      </c>
      <c r="I718" s="173"/>
      <c r="J718" s="171"/>
      <c r="K718" s="149"/>
      <c r="L718" s="149"/>
      <c r="M718" s="159"/>
      <c r="N718" s="596">
        <f t="shared" ref="N718:N781" si="35">SUMIF(B:B,B718,E:E)-SUMIF(B:B,B718,F:F)</f>
        <v>22</v>
      </c>
      <c r="O718" s="176"/>
      <c r="P718" s="179">
        <f>IF(A718&lt;&gt;"", Снабжения!H718 / VLOOKUP(A718, 'Курс валют'!$A:$D, 4, 0), "")</f>
        <v>2.0416666666666665</v>
      </c>
    </row>
    <row r="719" spans="1:16" ht="20.100000000000001" customHeight="1" x14ac:dyDescent="0.45">
      <c r="A719" s="156">
        <v>46144</v>
      </c>
      <c r="B719" s="152" t="s">
        <v>254</v>
      </c>
      <c r="C719" s="149" t="s">
        <v>69</v>
      </c>
      <c r="D719" s="159" t="s">
        <v>220</v>
      </c>
      <c r="E719" s="180">
        <v>24</v>
      </c>
      <c r="F719" s="458"/>
      <c r="G719" s="164">
        <v>45000</v>
      </c>
      <c r="H719" s="169">
        <f t="shared" si="34"/>
        <v>1080000</v>
      </c>
      <c r="I719" s="173"/>
      <c r="J719" s="171"/>
      <c r="K719" s="149"/>
      <c r="L719" s="149"/>
      <c r="M719" s="159"/>
      <c r="N719" s="596">
        <f t="shared" si="35"/>
        <v>33</v>
      </c>
      <c r="O719" s="176"/>
      <c r="P719" s="179">
        <f>IF(A719&lt;&gt;"", Снабжения!H719 / VLOOKUP(A719, 'Курс валют'!$A:$D, 4, 0), "")</f>
        <v>90</v>
      </c>
    </row>
    <row r="720" spans="1:16" ht="20.100000000000001" customHeight="1" x14ac:dyDescent="0.45">
      <c r="A720" s="156">
        <v>46144</v>
      </c>
      <c r="B720" s="152" t="s">
        <v>297</v>
      </c>
      <c r="C720" s="149" t="s">
        <v>69</v>
      </c>
      <c r="D720" s="159" t="s">
        <v>220</v>
      </c>
      <c r="E720" s="180">
        <v>2</v>
      </c>
      <c r="F720" s="458"/>
      <c r="G720" s="164">
        <v>14000</v>
      </c>
      <c r="H720" s="169">
        <f t="shared" si="34"/>
        <v>28000</v>
      </c>
      <c r="I720" s="173"/>
      <c r="J720" s="171"/>
      <c r="K720" s="149"/>
      <c r="L720" s="149"/>
      <c r="M720" s="159"/>
      <c r="N720" s="596">
        <f t="shared" si="35"/>
        <v>2</v>
      </c>
      <c r="O720" s="176"/>
      <c r="P720" s="179">
        <f>IF(A720&lt;&gt;"", Снабжения!H720 / VLOOKUP(A720, 'Курс валют'!$A:$D, 4, 0), "")</f>
        <v>2.3333333333333335</v>
      </c>
    </row>
    <row r="721" spans="1:16" ht="20.100000000000001" customHeight="1" x14ac:dyDescent="0.45">
      <c r="A721" s="156">
        <v>46144</v>
      </c>
      <c r="B721" s="152" t="s">
        <v>91</v>
      </c>
      <c r="C721" s="149" t="s">
        <v>65</v>
      </c>
      <c r="D721" s="159"/>
      <c r="E721" s="180"/>
      <c r="F721" s="458"/>
      <c r="G721" s="164"/>
      <c r="H721" s="169">
        <v>140000</v>
      </c>
      <c r="I721" s="173"/>
      <c r="J721" s="171"/>
      <c r="K721" s="149"/>
      <c r="L721" s="149"/>
      <c r="M721" s="159"/>
      <c r="N721" s="596">
        <f t="shared" si="35"/>
        <v>8</v>
      </c>
      <c r="O721" s="176"/>
      <c r="P721" s="179">
        <f>IF(A721&lt;&gt;"", Снабжения!H721 / VLOOKUP(A721, 'Курс валют'!$A:$D, 4, 0), "")</f>
        <v>11.666666666666666</v>
      </c>
    </row>
    <row r="722" spans="1:16" ht="20.100000000000001" customHeight="1" x14ac:dyDescent="0.45">
      <c r="A722" s="156">
        <v>46144</v>
      </c>
      <c r="B722" s="152" t="s">
        <v>186</v>
      </c>
      <c r="C722" s="149" t="s">
        <v>59</v>
      </c>
      <c r="D722" s="159" t="s">
        <v>187</v>
      </c>
      <c r="E722" s="180">
        <v>100</v>
      </c>
      <c r="F722" s="458"/>
      <c r="G722" s="164">
        <v>9500</v>
      </c>
      <c r="H722" s="169">
        <f t="shared" si="34"/>
        <v>950000</v>
      </c>
      <c r="I722" s="173"/>
      <c r="J722" s="171"/>
      <c r="K722" s="149"/>
      <c r="L722" s="149"/>
      <c r="M722" s="159"/>
      <c r="N722" s="596">
        <f t="shared" si="35"/>
        <v>40</v>
      </c>
      <c r="O722" s="176"/>
      <c r="P722" s="179">
        <f>IF(A722&lt;&gt;"", Снабжения!H722 / VLOOKUP(A722, 'Курс валют'!$A:$D, 4, 0), "")</f>
        <v>79.166666666666671</v>
      </c>
    </row>
    <row r="723" spans="1:16" ht="20.100000000000001" customHeight="1" x14ac:dyDescent="0.45">
      <c r="A723" s="156">
        <v>46144</v>
      </c>
      <c r="B723" s="152" t="s">
        <v>188</v>
      </c>
      <c r="C723" s="149" t="s">
        <v>59</v>
      </c>
      <c r="D723" s="159" t="s">
        <v>187</v>
      </c>
      <c r="E723" s="180">
        <v>100</v>
      </c>
      <c r="F723" s="458"/>
      <c r="G723" s="164">
        <v>9500</v>
      </c>
      <c r="H723" s="169">
        <f t="shared" si="34"/>
        <v>950000</v>
      </c>
      <c r="I723" s="173"/>
      <c r="J723" s="171"/>
      <c r="K723" s="149"/>
      <c r="L723" s="149"/>
      <c r="M723" s="159">
        <v>120</v>
      </c>
      <c r="N723" s="596">
        <f t="shared" si="35"/>
        <v>20</v>
      </c>
      <c r="O723" s="176"/>
      <c r="P723" s="179">
        <f>IF(A723&lt;&gt;"", Снабжения!H723 / VLOOKUP(A723, 'Курс валют'!$A:$D, 4, 0), "")</f>
        <v>79.166666666666671</v>
      </c>
    </row>
    <row r="724" spans="1:16" ht="20.100000000000001" customHeight="1" x14ac:dyDescent="0.45">
      <c r="A724" s="156">
        <v>46144</v>
      </c>
      <c r="B724" s="152" t="s">
        <v>91</v>
      </c>
      <c r="C724" s="149" t="s">
        <v>65</v>
      </c>
      <c r="D724" s="159"/>
      <c r="E724" s="180"/>
      <c r="F724" s="458"/>
      <c r="G724" s="164"/>
      <c r="H724" s="169">
        <v>300000</v>
      </c>
      <c r="I724" s="173"/>
      <c r="J724" s="171"/>
      <c r="K724" s="149"/>
      <c r="L724" s="149"/>
      <c r="M724" s="159"/>
      <c r="N724" s="596">
        <f t="shared" si="35"/>
        <v>8</v>
      </c>
      <c r="O724" s="176"/>
      <c r="P724" s="179">
        <f>IF(A724&lt;&gt;"", Снабжения!H724 / VLOOKUP(A724, 'Курс валют'!$A:$D, 4, 0), "")</f>
        <v>25</v>
      </c>
    </row>
    <row r="725" spans="1:16" ht="20.100000000000001" customHeight="1" x14ac:dyDescent="0.45">
      <c r="A725" s="156">
        <v>46144</v>
      </c>
      <c r="B725" s="152" t="s">
        <v>189</v>
      </c>
      <c r="C725" s="149" t="s">
        <v>69</v>
      </c>
      <c r="D725" s="159" t="s">
        <v>220</v>
      </c>
      <c r="E725" s="180"/>
      <c r="F725" s="458">
        <v>45</v>
      </c>
      <c r="G725" s="164"/>
      <c r="H725" s="169">
        <f t="shared" si="34"/>
        <v>0</v>
      </c>
      <c r="I725" s="173"/>
      <c r="J725" s="171"/>
      <c r="K725" s="149"/>
      <c r="L725" s="149"/>
      <c r="M725" s="159"/>
      <c r="N725" s="596">
        <f t="shared" si="35"/>
        <v>309</v>
      </c>
      <c r="O725" s="176"/>
      <c r="P725" s="179">
        <f>IF(A725&lt;&gt;"", Снабжения!H725 / VLOOKUP(A725, 'Курс валют'!$A:$D, 4, 0), "")</f>
        <v>0</v>
      </c>
    </row>
    <row r="726" spans="1:16" ht="20.100000000000001" customHeight="1" x14ac:dyDescent="0.45">
      <c r="A726" s="156">
        <v>46144</v>
      </c>
      <c r="B726" s="152" t="s">
        <v>203</v>
      </c>
      <c r="C726" s="149" t="s">
        <v>69</v>
      </c>
      <c r="D726" s="159" t="s">
        <v>220</v>
      </c>
      <c r="E726" s="180"/>
      <c r="F726" s="458">
        <v>1</v>
      </c>
      <c r="G726" s="164"/>
      <c r="H726" s="169">
        <f t="shared" si="34"/>
        <v>0</v>
      </c>
      <c r="I726" s="173"/>
      <c r="J726" s="171"/>
      <c r="K726" s="149"/>
      <c r="L726" s="149"/>
      <c r="M726" s="159"/>
      <c r="N726" s="596">
        <f t="shared" si="35"/>
        <v>11</v>
      </c>
      <c r="O726" s="176"/>
      <c r="P726" s="179">
        <f>IF(A726&lt;&gt;"", Снабжения!H726 / VLOOKUP(A726, 'Курс валют'!$A:$D, 4, 0), "")</f>
        <v>0</v>
      </c>
    </row>
    <row r="727" spans="1:16" ht="20.100000000000001" customHeight="1" x14ac:dyDescent="0.45">
      <c r="A727" s="156">
        <v>46144</v>
      </c>
      <c r="B727" s="152" t="s">
        <v>219</v>
      </c>
      <c r="C727" s="149" t="s">
        <v>59</v>
      </c>
      <c r="D727" s="159" t="s">
        <v>220</v>
      </c>
      <c r="E727" s="180"/>
      <c r="F727" s="458">
        <v>2.5</v>
      </c>
      <c r="G727" s="164"/>
      <c r="H727" s="169">
        <f t="shared" si="34"/>
        <v>0</v>
      </c>
      <c r="I727" s="173"/>
      <c r="J727" s="171"/>
      <c r="K727" s="149"/>
      <c r="L727" s="149"/>
      <c r="M727" s="159"/>
      <c r="N727" s="596">
        <f t="shared" si="35"/>
        <v>41.5</v>
      </c>
      <c r="O727" s="176"/>
      <c r="P727" s="179">
        <f>IF(A727&lt;&gt;"", Снабжения!H727 / VLOOKUP(A727, 'Курс валют'!$A:$D, 4, 0), "")</f>
        <v>0</v>
      </c>
    </row>
    <row r="728" spans="1:16" ht="20.100000000000001" customHeight="1" x14ac:dyDescent="0.45">
      <c r="A728" s="156">
        <v>46144</v>
      </c>
      <c r="B728" s="152" t="s">
        <v>228</v>
      </c>
      <c r="C728" s="149" t="s">
        <v>59</v>
      </c>
      <c r="D728" s="159" t="s">
        <v>187</v>
      </c>
      <c r="E728" s="180"/>
      <c r="F728" s="458">
        <v>50</v>
      </c>
      <c r="G728" s="164"/>
      <c r="H728" s="169">
        <f t="shared" si="34"/>
        <v>0</v>
      </c>
      <c r="I728" s="173"/>
      <c r="J728" s="171"/>
      <c r="K728" s="149"/>
      <c r="L728" s="149"/>
      <c r="M728" s="159"/>
      <c r="N728" s="596">
        <f t="shared" si="35"/>
        <v>125</v>
      </c>
      <c r="O728" s="176"/>
      <c r="P728" s="179">
        <f>IF(A728&lt;&gt;"", Снабжения!H728 / VLOOKUP(A728, 'Курс валют'!$A:$D, 4, 0), "")</f>
        <v>0</v>
      </c>
    </row>
    <row r="729" spans="1:16" ht="20.100000000000001" customHeight="1" x14ac:dyDescent="0.45">
      <c r="A729" s="156">
        <v>46144</v>
      </c>
      <c r="B729" s="152" t="s">
        <v>186</v>
      </c>
      <c r="C729" s="149" t="s">
        <v>59</v>
      </c>
      <c r="D729" s="159" t="s">
        <v>187</v>
      </c>
      <c r="E729" s="180"/>
      <c r="F729" s="458">
        <v>20</v>
      </c>
      <c r="G729" s="164"/>
      <c r="H729" s="169">
        <f t="shared" si="34"/>
        <v>0</v>
      </c>
      <c r="I729" s="173"/>
      <c r="J729" s="171"/>
      <c r="K729" s="149"/>
      <c r="L729" s="149"/>
      <c r="M729" s="159"/>
      <c r="N729" s="596">
        <f t="shared" si="35"/>
        <v>40</v>
      </c>
      <c r="O729" s="176"/>
      <c r="P729" s="179">
        <f>IF(A729&lt;&gt;"", Снабжения!H729 / VLOOKUP(A729, 'Курс валют'!$A:$D, 4, 0), "")</f>
        <v>0</v>
      </c>
    </row>
    <row r="730" spans="1:16" ht="20.100000000000001" customHeight="1" x14ac:dyDescent="0.45">
      <c r="A730" s="156">
        <v>46145</v>
      </c>
      <c r="B730" s="152" t="s">
        <v>223</v>
      </c>
      <c r="C730" s="149" t="s">
        <v>69</v>
      </c>
      <c r="D730" s="159" t="s">
        <v>220</v>
      </c>
      <c r="E730" s="180"/>
      <c r="F730" s="458">
        <v>4</v>
      </c>
      <c r="G730" s="164"/>
      <c r="H730" s="169">
        <f t="shared" si="34"/>
        <v>0</v>
      </c>
      <c r="I730" s="173"/>
      <c r="J730" s="171"/>
      <c r="K730" s="149"/>
      <c r="L730" s="149"/>
      <c r="M730" s="159"/>
      <c r="N730" s="596">
        <f t="shared" si="35"/>
        <v>8</v>
      </c>
      <c r="O730" s="176"/>
      <c r="P730" s="179">
        <f>IF(A730&lt;&gt;"", Снабжения!H730 / VLOOKUP(A730, 'Курс валют'!$A:$D, 4, 0), "")</f>
        <v>0</v>
      </c>
    </row>
    <row r="731" spans="1:16" ht="20.100000000000001" customHeight="1" x14ac:dyDescent="0.45">
      <c r="A731" s="156">
        <v>46145</v>
      </c>
      <c r="B731" s="152" t="s">
        <v>188</v>
      </c>
      <c r="C731" s="149" t="s">
        <v>59</v>
      </c>
      <c r="D731" s="159" t="s">
        <v>187</v>
      </c>
      <c r="E731" s="180"/>
      <c r="F731" s="458">
        <v>20</v>
      </c>
      <c r="G731" s="164"/>
      <c r="H731" s="169">
        <f t="shared" si="34"/>
        <v>0</v>
      </c>
      <c r="I731" s="173"/>
      <c r="J731" s="171"/>
      <c r="K731" s="149"/>
      <c r="L731" s="149"/>
      <c r="M731" s="159"/>
      <c r="N731" s="596">
        <f t="shared" si="35"/>
        <v>20</v>
      </c>
      <c r="O731" s="176"/>
      <c r="P731" s="179">
        <f>IF(A731&lt;&gt;"", Снабжения!H731 / VLOOKUP(A731, 'Курс валют'!$A:$D, 4, 0), "")</f>
        <v>0</v>
      </c>
    </row>
    <row r="732" spans="1:16" ht="20.100000000000001" customHeight="1" x14ac:dyDescent="0.45">
      <c r="A732" s="156">
        <v>46145</v>
      </c>
      <c r="B732" s="152" t="s">
        <v>203</v>
      </c>
      <c r="C732" s="149" t="s">
        <v>69</v>
      </c>
      <c r="D732" s="159" t="s">
        <v>220</v>
      </c>
      <c r="E732" s="180"/>
      <c r="F732" s="458">
        <v>1</v>
      </c>
      <c r="G732" s="164"/>
      <c r="H732" s="169">
        <f t="shared" si="34"/>
        <v>0</v>
      </c>
      <c r="I732" s="173"/>
      <c r="J732" s="171"/>
      <c r="K732" s="149"/>
      <c r="L732" s="149"/>
      <c r="M732" s="159"/>
      <c r="N732" s="596">
        <f t="shared" si="35"/>
        <v>11</v>
      </c>
      <c r="O732" s="176"/>
      <c r="P732" s="179">
        <f>IF(A732&lt;&gt;"", Снабжения!H732 / VLOOKUP(A732, 'Курс валют'!$A:$D, 4, 0), "")</f>
        <v>0</v>
      </c>
    </row>
    <row r="733" spans="1:16" ht="20.100000000000001" customHeight="1" x14ac:dyDescent="0.45">
      <c r="A733" s="156">
        <v>46145</v>
      </c>
      <c r="B733" s="152" t="s">
        <v>258</v>
      </c>
      <c r="C733" s="149" t="s">
        <v>298</v>
      </c>
      <c r="D733" s="159" t="s">
        <v>220</v>
      </c>
      <c r="E733" s="180"/>
      <c r="F733" s="458">
        <v>1</v>
      </c>
      <c r="G733" s="164"/>
      <c r="H733" s="169">
        <f t="shared" si="34"/>
        <v>0</v>
      </c>
      <c r="I733" s="173"/>
      <c r="J733" s="171"/>
      <c r="K733" s="149"/>
      <c r="L733" s="149"/>
      <c r="M733" s="159"/>
      <c r="N733" s="596">
        <f t="shared" si="35"/>
        <v>4</v>
      </c>
      <c r="O733" s="176"/>
      <c r="P733" s="179">
        <f>IF(A733&lt;&gt;"", Снабжения!H733 / VLOOKUP(A733, 'Курс валют'!$A:$D, 4, 0), "")</f>
        <v>0</v>
      </c>
    </row>
    <row r="734" spans="1:16" ht="20.100000000000001" customHeight="1" x14ac:dyDescent="0.45">
      <c r="A734" s="156">
        <v>46145</v>
      </c>
      <c r="B734" s="152" t="s">
        <v>189</v>
      </c>
      <c r="C734" s="149" t="s">
        <v>69</v>
      </c>
      <c r="D734" s="159" t="s">
        <v>220</v>
      </c>
      <c r="E734" s="180"/>
      <c r="F734" s="458">
        <v>2</v>
      </c>
      <c r="G734" s="164"/>
      <c r="H734" s="169">
        <f t="shared" si="34"/>
        <v>0</v>
      </c>
      <c r="I734" s="173"/>
      <c r="J734" s="171"/>
      <c r="K734" s="149"/>
      <c r="L734" s="149"/>
      <c r="M734" s="159"/>
      <c r="N734" s="596">
        <f t="shared" si="35"/>
        <v>309</v>
      </c>
      <c r="O734" s="176"/>
      <c r="P734" s="179">
        <f>IF(A734&lt;&gt;"", Снабжения!H734 / VLOOKUP(A734, 'Курс валют'!$A:$D, 4, 0), "")</f>
        <v>0</v>
      </c>
    </row>
    <row r="735" spans="1:16" ht="20.100000000000001" customHeight="1" x14ac:dyDescent="0.45">
      <c r="A735" s="156">
        <v>46145</v>
      </c>
      <c r="B735" s="152" t="s">
        <v>186</v>
      </c>
      <c r="C735" s="149" t="s">
        <v>59</v>
      </c>
      <c r="D735" s="159" t="s">
        <v>187</v>
      </c>
      <c r="E735" s="180"/>
      <c r="F735" s="458">
        <v>4</v>
      </c>
      <c r="G735" s="164"/>
      <c r="H735" s="169">
        <f t="shared" si="34"/>
        <v>0</v>
      </c>
      <c r="I735" s="173"/>
      <c r="J735" s="171"/>
      <c r="K735" s="149"/>
      <c r="L735" s="149"/>
      <c r="M735" s="159"/>
      <c r="N735" s="596">
        <f t="shared" si="35"/>
        <v>40</v>
      </c>
      <c r="O735" s="176"/>
      <c r="P735" s="179">
        <f>IF(A735&lt;&gt;"", Снабжения!H735 / VLOOKUP(A735, 'Курс валют'!$A:$D, 4, 0), "")</f>
        <v>0</v>
      </c>
    </row>
    <row r="736" spans="1:16" ht="20.100000000000001" customHeight="1" x14ac:dyDescent="0.45">
      <c r="A736" s="156">
        <v>46146</v>
      </c>
      <c r="B736" s="152" t="s">
        <v>223</v>
      </c>
      <c r="C736" s="149" t="s">
        <v>69</v>
      </c>
      <c r="D736" s="159" t="s">
        <v>220</v>
      </c>
      <c r="E736" s="180"/>
      <c r="F736" s="458">
        <v>4</v>
      </c>
      <c r="G736" s="164"/>
      <c r="H736" s="169">
        <f t="shared" si="34"/>
        <v>0</v>
      </c>
      <c r="I736" s="173"/>
      <c r="J736" s="171"/>
      <c r="K736" s="149"/>
      <c r="L736" s="149"/>
      <c r="M736" s="159"/>
      <c r="N736" s="596">
        <f t="shared" si="35"/>
        <v>8</v>
      </c>
      <c r="O736" s="176"/>
      <c r="P736" s="179">
        <f>IF(A736&lt;&gt;"", Снабжения!H736 / VLOOKUP(A736, 'Курс валют'!$A:$D, 4, 0), "")</f>
        <v>0</v>
      </c>
    </row>
    <row r="737" spans="1:16" ht="20.100000000000001" customHeight="1" x14ac:dyDescent="0.45">
      <c r="A737" s="156">
        <v>46146</v>
      </c>
      <c r="B737" s="152" t="s">
        <v>263</v>
      </c>
      <c r="C737" s="149" t="s">
        <v>69</v>
      </c>
      <c r="D737" s="159" t="s">
        <v>220</v>
      </c>
      <c r="E737" s="180"/>
      <c r="F737" s="458">
        <v>3</v>
      </c>
      <c r="G737" s="164"/>
      <c r="H737" s="169">
        <f t="shared" si="34"/>
        <v>0</v>
      </c>
      <c r="I737" s="173"/>
      <c r="J737" s="171"/>
      <c r="K737" s="149"/>
      <c r="L737" s="149"/>
      <c r="M737" s="159"/>
      <c r="N737" s="596">
        <f t="shared" si="35"/>
        <v>18</v>
      </c>
      <c r="O737" s="176"/>
      <c r="P737" s="179">
        <f>IF(A737&lt;&gt;"", Снабжения!H737 / VLOOKUP(A737, 'Курс валют'!$A:$D, 4, 0), "")</f>
        <v>0</v>
      </c>
    </row>
    <row r="738" spans="1:16" ht="20.100000000000001" customHeight="1" x14ac:dyDescent="0.45">
      <c r="A738" s="156">
        <v>46146</v>
      </c>
      <c r="B738" s="152" t="s">
        <v>228</v>
      </c>
      <c r="C738" s="149" t="s">
        <v>59</v>
      </c>
      <c r="D738" s="159" t="s">
        <v>187</v>
      </c>
      <c r="E738" s="180"/>
      <c r="F738" s="458">
        <v>125</v>
      </c>
      <c r="G738" s="164"/>
      <c r="H738" s="169">
        <f t="shared" si="34"/>
        <v>0</v>
      </c>
      <c r="I738" s="173"/>
      <c r="J738" s="171"/>
      <c r="K738" s="149"/>
      <c r="L738" s="149"/>
      <c r="M738" s="159"/>
      <c r="N738" s="596">
        <f t="shared" si="35"/>
        <v>125</v>
      </c>
      <c r="O738" s="176"/>
      <c r="P738" s="179">
        <f>IF(A738&lt;&gt;"", Снабжения!H738 / VLOOKUP(A738, 'Курс валют'!$A:$D, 4, 0), "")</f>
        <v>0</v>
      </c>
    </row>
    <row r="739" spans="1:16" ht="20.100000000000001" customHeight="1" x14ac:dyDescent="0.45">
      <c r="A739" s="156">
        <v>46146</v>
      </c>
      <c r="B739" s="152" t="s">
        <v>271</v>
      </c>
      <c r="C739" s="149" t="s">
        <v>69</v>
      </c>
      <c r="D739" s="159" t="s">
        <v>220</v>
      </c>
      <c r="E739" s="180"/>
      <c r="F739" s="458">
        <v>10</v>
      </c>
      <c r="G739" s="164"/>
      <c r="H739" s="169">
        <f t="shared" si="34"/>
        <v>0</v>
      </c>
      <c r="I739" s="173"/>
      <c r="J739" s="171"/>
      <c r="K739" s="149"/>
      <c r="L739" s="149"/>
      <c r="M739" s="159"/>
      <c r="N739" s="596">
        <f t="shared" si="35"/>
        <v>42</v>
      </c>
      <c r="O739" s="176"/>
      <c r="P739" s="179">
        <f>IF(A739&lt;&gt;"", Снабжения!H739 / VLOOKUP(A739, 'Курс валют'!$A:$D, 4, 0), "")</f>
        <v>0</v>
      </c>
    </row>
    <row r="740" spans="1:16" ht="20.100000000000001" customHeight="1" x14ac:dyDescent="0.45">
      <c r="A740" s="156">
        <v>46146</v>
      </c>
      <c r="B740" s="152" t="s">
        <v>209</v>
      </c>
      <c r="C740" s="149" t="s">
        <v>69</v>
      </c>
      <c r="D740" s="159" t="s">
        <v>220</v>
      </c>
      <c r="E740" s="180"/>
      <c r="F740" s="458">
        <v>5</v>
      </c>
      <c r="G740" s="164"/>
      <c r="H740" s="169">
        <f t="shared" si="34"/>
        <v>0</v>
      </c>
      <c r="I740" s="173"/>
      <c r="J740" s="171"/>
      <c r="K740" s="149"/>
      <c r="L740" s="149"/>
      <c r="M740" s="159"/>
      <c r="N740" s="596">
        <f t="shared" si="35"/>
        <v>128</v>
      </c>
      <c r="O740" s="176"/>
      <c r="P740" s="179">
        <f>IF(A740&lt;&gt;"", Снабжения!H740 / VLOOKUP(A740, 'Курс валют'!$A:$D, 4, 0), "")</f>
        <v>0</v>
      </c>
    </row>
    <row r="741" spans="1:16" ht="20.100000000000001" customHeight="1" x14ac:dyDescent="0.45">
      <c r="A741" s="156">
        <v>46146</v>
      </c>
      <c r="B741" s="152" t="s">
        <v>208</v>
      </c>
      <c r="C741" s="149" t="s">
        <v>69</v>
      </c>
      <c r="D741" s="159" t="s">
        <v>220</v>
      </c>
      <c r="E741" s="180"/>
      <c r="F741" s="458">
        <v>1</v>
      </c>
      <c r="G741" s="164"/>
      <c r="H741" s="169">
        <f t="shared" si="34"/>
        <v>0</v>
      </c>
      <c r="I741" s="173"/>
      <c r="J741" s="171"/>
      <c r="K741" s="149"/>
      <c r="L741" s="149"/>
      <c r="M741" s="159"/>
      <c r="N741" s="596">
        <f t="shared" si="35"/>
        <v>10</v>
      </c>
      <c r="O741" s="176"/>
      <c r="P741" s="179">
        <f>IF(A741&lt;&gt;"", Снабжения!H741 / VLOOKUP(A741, 'Курс валют'!$A:$D, 4, 0), "")</f>
        <v>0</v>
      </c>
    </row>
    <row r="742" spans="1:16" ht="20.100000000000001" customHeight="1" x14ac:dyDescent="0.45">
      <c r="A742" s="156">
        <v>46146</v>
      </c>
      <c r="B742" s="152" t="s">
        <v>210</v>
      </c>
      <c r="C742" s="149" t="s">
        <v>69</v>
      </c>
      <c r="D742" s="159" t="s">
        <v>220</v>
      </c>
      <c r="E742" s="180"/>
      <c r="F742" s="458">
        <v>45</v>
      </c>
      <c r="G742" s="164"/>
      <c r="H742" s="169">
        <f t="shared" si="34"/>
        <v>0</v>
      </c>
      <c r="I742" s="173"/>
      <c r="J742" s="171"/>
      <c r="K742" s="149"/>
      <c r="L742" s="149"/>
      <c r="M742" s="159"/>
      <c r="N742" s="596">
        <f t="shared" si="35"/>
        <v>405</v>
      </c>
      <c r="O742" s="176"/>
      <c r="P742" s="179">
        <f>IF(A742&lt;&gt;"", Снабжения!H742 / VLOOKUP(A742, 'Курс валют'!$A:$D, 4, 0), "")</f>
        <v>0</v>
      </c>
    </row>
    <row r="743" spans="1:16" ht="20.100000000000001" customHeight="1" x14ac:dyDescent="0.45">
      <c r="A743" s="156">
        <v>46146</v>
      </c>
      <c r="B743" s="152" t="s">
        <v>230</v>
      </c>
      <c r="C743" s="149" t="s">
        <v>85</v>
      </c>
      <c r="D743" s="159" t="s">
        <v>220</v>
      </c>
      <c r="E743" s="180"/>
      <c r="F743" s="458">
        <v>100</v>
      </c>
      <c r="G743" s="164"/>
      <c r="H743" s="169">
        <f t="shared" si="34"/>
        <v>0</v>
      </c>
      <c r="I743" s="173"/>
      <c r="J743" s="171"/>
      <c r="K743" s="149"/>
      <c r="L743" s="149"/>
      <c r="M743" s="159"/>
      <c r="N743" s="596">
        <f t="shared" si="35"/>
        <v>400</v>
      </c>
      <c r="O743" s="176"/>
      <c r="P743" s="179">
        <f>IF(A743&lt;&gt;"", Снабжения!H743 / VLOOKUP(A743, 'Курс валют'!$A:$D, 4, 0), "")</f>
        <v>0</v>
      </c>
    </row>
    <row r="744" spans="1:16" ht="20.100000000000001" customHeight="1" x14ac:dyDescent="0.45">
      <c r="A744" s="156">
        <v>46146</v>
      </c>
      <c r="B744" s="152" t="s">
        <v>259</v>
      </c>
      <c r="C744" s="149" t="s">
        <v>62</v>
      </c>
      <c r="D744" s="159" t="s">
        <v>220</v>
      </c>
      <c r="E744" s="180"/>
      <c r="F744" s="458">
        <v>40</v>
      </c>
      <c r="G744" s="164"/>
      <c r="H744" s="169">
        <f t="shared" si="34"/>
        <v>0</v>
      </c>
      <c r="I744" s="173"/>
      <c r="J744" s="171"/>
      <c r="K744" s="149"/>
      <c r="L744" s="149"/>
      <c r="M744" s="159"/>
      <c r="N744" s="596">
        <f t="shared" si="35"/>
        <v>40</v>
      </c>
      <c r="O744" s="176"/>
      <c r="P744" s="179">
        <f>IF(A744&lt;&gt;"", Снабжения!H744 / VLOOKUP(A744, 'Курс валют'!$A:$D, 4, 0), "")</f>
        <v>0</v>
      </c>
    </row>
    <row r="745" spans="1:16" ht="20.100000000000001" customHeight="1" x14ac:dyDescent="0.45">
      <c r="A745" s="156">
        <v>46146</v>
      </c>
      <c r="B745" s="152" t="s">
        <v>186</v>
      </c>
      <c r="C745" s="149" t="s">
        <v>59</v>
      </c>
      <c r="D745" s="159" t="s">
        <v>187</v>
      </c>
      <c r="E745" s="180"/>
      <c r="F745" s="458">
        <v>16</v>
      </c>
      <c r="G745" s="164"/>
      <c r="H745" s="169">
        <f t="shared" si="34"/>
        <v>0</v>
      </c>
      <c r="I745" s="173"/>
      <c r="J745" s="171"/>
      <c r="K745" s="149"/>
      <c r="L745" s="149"/>
      <c r="M745" s="159"/>
      <c r="N745" s="596">
        <f t="shared" si="35"/>
        <v>40</v>
      </c>
      <c r="O745" s="176"/>
      <c r="P745" s="179">
        <f>IF(A745&lt;&gt;"", Снабжения!H745 / VLOOKUP(A745, 'Курс валют'!$A:$D, 4, 0), "")</f>
        <v>0</v>
      </c>
    </row>
    <row r="746" spans="1:16" ht="20.100000000000001" customHeight="1" x14ac:dyDescent="0.45">
      <c r="A746" s="156">
        <v>46147</v>
      </c>
      <c r="B746" s="152" t="s">
        <v>189</v>
      </c>
      <c r="C746" s="149" t="s">
        <v>69</v>
      </c>
      <c r="D746" s="159" t="s">
        <v>220</v>
      </c>
      <c r="E746" s="180"/>
      <c r="F746" s="458">
        <v>36</v>
      </c>
      <c r="G746" s="164"/>
      <c r="H746" s="169">
        <f t="shared" si="34"/>
        <v>0</v>
      </c>
      <c r="I746" s="173"/>
      <c r="J746" s="171"/>
      <c r="K746" s="149"/>
      <c r="L746" s="149"/>
      <c r="M746" s="159"/>
      <c r="N746" s="596">
        <f t="shared" si="35"/>
        <v>309</v>
      </c>
      <c r="O746" s="176"/>
      <c r="P746" s="179">
        <f>IF(A746&lt;&gt;"", Снабжения!H746 / VLOOKUP(A746, 'Курс валют'!$A:$D, 4, 0), "")</f>
        <v>0</v>
      </c>
    </row>
    <row r="747" spans="1:16" ht="20.100000000000001" customHeight="1" x14ac:dyDescent="0.45">
      <c r="A747" s="156">
        <v>46147</v>
      </c>
      <c r="B747" s="152" t="s">
        <v>208</v>
      </c>
      <c r="C747" s="149" t="s">
        <v>69</v>
      </c>
      <c r="D747" s="159" t="s">
        <v>220</v>
      </c>
      <c r="E747" s="180"/>
      <c r="F747" s="458">
        <v>1</v>
      </c>
      <c r="G747" s="164"/>
      <c r="H747" s="169">
        <f t="shared" si="34"/>
        <v>0</v>
      </c>
      <c r="I747" s="173"/>
      <c r="J747" s="171"/>
      <c r="K747" s="149"/>
      <c r="L747" s="149"/>
      <c r="M747" s="159"/>
      <c r="N747" s="596">
        <f t="shared" si="35"/>
        <v>10</v>
      </c>
      <c r="O747" s="176"/>
      <c r="P747" s="179">
        <f>IF(A747&lt;&gt;"", Снабжения!H747 / VLOOKUP(A747, 'Курс валют'!$A:$D, 4, 0), "")</f>
        <v>0</v>
      </c>
    </row>
    <row r="748" spans="1:16" ht="20.100000000000001" customHeight="1" x14ac:dyDescent="0.45">
      <c r="A748" s="156">
        <v>46147</v>
      </c>
      <c r="B748" s="152" t="s">
        <v>284</v>
      </c>
      <c r="C748" s="149" t="s">
        <v>69</v>
      </c>
      <c r="D748" s="159" t="s">
        <v>220</v>
      </c>
      <c r="E748" s="180"/>
      <c r="F748" s="458">
        <v>1</v>
      </c>
      <c r="G748" s="164"/>
      <c r="H748" s="169">
        <f t="shared" si="34"/>
        <v>0</v>
      </c>
      <c r="I748" s="173"/>
      <c r="J748" s="171"/>
      <c r="K748" s="149"/>
      <c r="L748" s="149"/>
      <c r="M748" s="159"/>
      <c r="N748" s="596">
        <f t="shared" si="35"/>
        <v>1</v>
      </c>
      <c r="O748" s="176"/>
      <c r="P748" s="179">
        <f>IF(A748&lt;&gt;"", Снабжения!H748 / VLOOKUP(A748, 'Курс валют'!$A:$D, 4, 0), "")</f>
        <v>0</v>
      </c>
    </row>
    <row r="749" spans="1:16" ht="20.100000000000001" customHeight="1" x14ac:dyDescent="0.45">
      <c r="A749" s="156">
        <v>46147</v>
      </c>
      <c r="B749" s="152" t="s">
        <v>209</v>
      </c>
      <c r="C749" s="149" t="s">
        <v>69</v>
      </c>
      <c r="D749" s="159" t="s">
        <v>220</v>
      </c>
      <c r="E749" s="180"/>
      <c r="F749" s="458">
        <v>2</v>
      </c>
      <c r="G749" s="164"/>
      <c r="H749" s="169">
        <f t="shared" si="34"/>
        <v>0</v>
      </c>
      <c r="I749" s="173"/>
      <c r="J749" s="171"/>
      <c r="K749" s="149"/>
      <c r="L749" s="149"/>
      <c r="M749" s="159"/>
      <c r="N749" s="596">
        <f t="shared" si="35"/>
        <v>128</v>
      </c>
      <c r="O749" s="176"/>
      <c r="P749" s="179">
        <f>IF(A749&lt;&gt;"", Снабжения!H749 / VLOOKUP(A749, 'Курс валют'!$A:$D, 4, 0), "")</f>
        <v>0</v>
      </c>
    </row>
    <row r="750" spans="1:16" ht="20.100000000000001" customHeight="1" x14ac:dyDescent="0.45">
      <c r="A750" s="156">
        <v>46147</v>
      </c>
      <c r="B750" s="152" t="s">
        <v>182</v>
      </c>
      <c r="C750" s="149" t="s">
        <v>69</v>
      </c>
      <c r="D750" s="159" t="s">
        <v>220</v>
      </c>
      <c r="E750" s="180"/>
      <c r="F750" s="458">
        <v>2</v>
      </c>
      <c r="G750" s="164"/>
      <c r="H750" s="169">
        <f t="shared" si="34"/>
        <v>0</v>
      </c>
      <c r="I750" s="173"/>
      <c r="J750" s="171"/>
      <c r="K750" s="149"/>
      <c r="L750" s="149"/>
      <c r="M750" s="159"/>
      <c r="N750" s="596">
        <f t="shared" si="35"/>
        <v>22</v>
      </c>
      <c r="O750" s="176"/>
      <c r="P750" s="179">
        <f>IF(A750&lt;&gt;"", Снабжения!H750 / VLOOKUP(A750, 'Курс валют'!$A:$D, 4, 0), "")</f>
        <v>0</v>
      </c>
    </row>
    <row r="751" spans="1:16" ht="20.100000000000001" customHeight="1" x14ac:dyDescent="0.45">
      <c r="A751" s="156">
        <v>46148</v>
      </c>
      <c r="B751" s="152" t="s">
        <v>228</v>
      </c>
      <c r="C751" s="149" t="s">
        <v>59</v>
      </c>
      <c r="D751" s="159" t="s">
        <v>187</v>
      </c>
      <c r="E751" s="180">
        <v>994</v>
      </c>
      <c r="F751" s="458">
        <v>150</v>
      </c>
      <c r="G751" s="164">
        <v>9500</v>
      </c>
      <c r="H751" s="169">
        <f>G751*E751+250000</f>
        <v>9693000</v>
      </c>
      <c r="I751" s="173"/>
      <c r="J751" s="171"/>
      <c r="K751" s="149"/>
      <c r="L751" s="149"/>
      <c r="M751" s="159"/>
      <c r="N751" s="596">
        <f t="shared" si="35"/>
        <v>125</v>
      </c>
      <c r="O751" s="176"/>
      <c r="P751" s="179">
        <f>IF(A751&lt;&gt;"", Снабжения!H751 / VLOOKUP(A751, 'Курс валют'!$A:$D, 4, 0), "")</f>
        <v>821.4406779661017</v>
      </c>
    </row>
    <row r="752" spans="1:16" ht="20.100000000000001" customHeight="1" x14ac:dyDescent="0.45">
      <c r="A752" s="156">
        <v>46148</v>
      </c>
      <c r="B752" s="152" t="s">
        <v>91</v>
      </c>
      <c r="C752" s="149" t="s">
        <v>65</v>
      </c>
      <c r="D752" s="159"/>
      <c r="E752" s="180">
        <v>1</v>
      </c>
      <c r="F752" s="458"/>
      <c r="G752" s="164">
        <v>300000</v>
      </c>
      <c r="H752" s="169">
        <f>G752*E752</f>
        <v>300000</v>
      </c>
      <c r="I752" s="173"/>
      <c r="J752" s="171"/>
      <c r="K752" s="149"/>
      <c r="L752" s="149"/>
      <c r="M752" s="159"/>
      <c r="N752" s="596">
        <f t="shared" si="35"/>
        <v>8</v>
      </c>
      <c r="O752" s="176"/>
      <c r="P752" s="179">
        <f>IF(A752&lt;&gt;"", Снабжения!H752 / VLOOKUP(A752, 'Курс валют'!$A:$D, 4, 0), "")</f>
        <v>25.423728813559322</v>
      </c>
    </row>
    <row r="753" spans="1:16" ht="20.100000000000001" customHeight="1" x14ac:dyDescent="0.45">
      <c r="A753" s="156">
        <v>46148</v>
      </c>
      <c r="B753" s="152" t="s">
        <v>283</v>
      </c>
      <c r="C753" s="149" t="s">
        <v>127</v>
      </c>
      <c r="D753" s="159" t="s">
        <v>220</v>
      </c>
      <c r="E753" s="180"/>
      <c r="F753" s="458">
        <v>3</v>
      </c>
      <c r="G753" s="164"/>
      <c r="H753" s="169">
        <f t="shared" si="34"/>
        <v>0</v>
      </c>
      <c r="I753" s="173"/>
      <c r="J753" s="171"/>
      <c r="K753" s="149"/>
      <c r="L753" s="149"/>
      <c r="M753" s="159"/>
      <c r="N753" s="596">
        <f t="shared" si="35"/>
        <v>18</v>
      </c>
      <c r="O753" s="176"/>
      <c r="P753" s="179">
        <f>IF(A753&lt;&gt;"", Снабжения!H753 / VLOOKUP(A753, 'Курс валют'!$A:$D, 4, 0), "")</f>
        <v>0</v>
      </c>
    </row>
    <row r="754" spans="1:16" ht="20.100000000000001" customHeight="1" x14ac:dyDescent="0.45">
      <c r="A754" s="156">
        <v>46148</v>
      </c>
      <c r="B754" s="152" t="s">
        <v>271</v>
      </c>
      <c r="C754" s="149" t="s">
        <v>69</v>
      </c>
      <c r="D754" s="159" t="s">
        <v>220</v>
      </c>
      <c r="E754" s="180"/>
      <c r="F754" s="458">
        <v>7</v>
      </c>
      <c r="G754" s="164"/>
      <c r="H754" s="169">
        <f t="shared" si="34"/>
        <v>0</v>
      </c>
      <c r="I754" s="173"/>
      <c r="J754" s="171"/>
      <c r="K754" s="149"/>
      <c r="L754" s="149"/>
      <c r="M754" s="159"/>
      <c r="N754" s="596">
        <f t="shared" si="35"/>
        <v>42</v>
      </c>
      <c r="O754" s="176"/>
      <c r="P754" s="179">
        <f>IF(A754&lt;&gt;"", Снабжения!H754 / VLOOKUP(A754, 'Курс валют'!$A:$D, 4, 0), "")</f>
        <v>0</v>
      </c>
    </row>
    <row r="755" spans="1:16" ht="20.100000000000001" customHeight="1" x14ac:dyDescent="0.45">
      <c r="A755" s="156">
        <v>46148</v>
      </c>
      <c r="B755" s="152" t="s">
        <v>284</v>
      </c>
      <c r="C755" s="149" t="s">
        <v>69</v>
      </c>
      <c r="D755" s="159" t="s">
        <v>220</v>
      </c>
      <c r="E755" s="180"/>
      <c r="F755" s="458">
        <v>2</v>
      </c>
      <c r="G755" s="164"/>
      <c r="H755" s="169">
        <f t="shared" si="34"/>
        <v>0</v>
      </c>
      <c r="I755" s="173"/>
      <c r="J755" s="171"/>
      <c r="K755" s="149"/>
      <c r="L755" s="149"/>
      <c r="M755" s="159"/>
      <c r="N755" s="596">
        <f t="shared" si="35"/>
        <v>1</v>
      </c>
      <c r="O755" s="176"/>
      <c r="P755" s="179">
        <f>IF(A755&lt;&gt;"", Снабжения!H755 / VLOOKUP(A755, 'Курс валют'!$A:$D, 4, 0), "")</f>
        <v>0</v>
      </c>
    </row>
    <row r="756" spans="1:16" ht="20.100000000000001" customHeight="1" x14ac:dyDescent="0.45">
      <c r="A756" s="156">
        <v>46148</v>
      </c>
      <c r="B756" s="152" t="s">
        <v>254</v>
      </c>
      <c r="C756" s="149" t="s">
        <v>69</v>
      </c>
      <c r="D756" s="159" t="s">
        <v>220</v>
      </c>
      <c r="E756" s="180"/>
      <c r="F756" s="458">
        <v>4</v>
      </c>
      <c r="G756" s="164"/>
      <c r="H756" s="169">
        <f t="shared" si="34"/>
        <v>0</v>
      </c>
      <c r="I756" s="173"/>
      <c r="J756" s="171"/>
      <c r="K756" s="149"/>
      <c r="L756" s="149"/>
      <c r="M756" s="159"/>
      <c r="N756" s="596">
        <f t="shared" si="35"/>
        <v>33</v>
      </c>
      <c r="O756" s="176"/>
      <c r="P756" s="179">
        <f>IF(A756&lt;&gt;"", Снабжения!H756 / VLOOKUP(A756, 'Курс валют'!$A:$D, 4, 0), "")</f>
        <v>0</v>
      </c>
    </row>
    <row r="757" spans="1:16" ht="20.100000000000001" customHeight="1" x14ac:dyDescent="0.45">
      <c r="A757" s="156">
        <v>46148</v>
      </c>
      <c r="B757" s="152" t="s">
        <v>208</v>
      </c>
      <c r="C757" s="149" t="s">
        <v>69</v>
      </c>
      <c r="D757" s="159" t="s">
        <v>220</v>
      </c>
      <c r="E757" s="180"/>
      <c r="F757" s="458">
        <v>1</v>
      </c>
      <c r="G757" s="164"/>
      <c r="H757" s="169">
        <f t="shared" si="34"/>
        <v>0</v>
      </c>
      <c r="I757" s="173"/>
      <c r="J757" s="171"/>
      <c r="K757" s="149"/>
      <c r="L757" s="149"/>
      <c r="M757" s="159"/>
      <c r="N757" s="596">
        <f t="shared" si="35"/>
        <v>10</v>
      </c>
      <c r="O757" s="176"/>
      <c r="P757" s="179">
        <f>IF(A757&lt;&gt;"", Снабжения!H757 / VLOOKUP(A757, 'Курс валют'!$A:$D, 4, 0), "")</f>
        <v>0</v>
      </c>
    </row>
    <row r="758" spans="1:16" ht="20.100000000000001" customHeight="1" x14ac:dyDescent="0.45">
      <c r="A758" s="156">
        <v>46148</v>
      </c>
      <c r="B758" s="152" t="s">
        <v>189</v>
      </c>
      <c r="C758" s="149" t="s">
        <v>69</v>
      </c>
      <c r="D758" s="159" t="s">
        <v>220</v>
      </c>
      <c r="E758" s="180"/>
      <c r="F758" s="458">
        <v>9</v>
      </c>
      <c r="G758" s="164"/>
      <c r="H758" s="169">
        <f t="shared" si="34"/>
        <v>0</v>
      </c>
      <c r="I758" s="173"/>
      <c r="J758" s="171"/>
      <c r="K758" s="149"/>
      <c r="L758" s="149"/>
      <c r="M758" s="159"/>
      <c r="N758" s="596">
        <f t="shared" si="35"/>
        <v>309</v>
      </c>
      <c r="O758" s="176"/>
      <c r="P758" s="179">
        <f>IF(A758&lt;&gt;"", Снабжения!H758 / VLOOKUP(A758, 'Курс валют'!$A:$D, 4, 0), "")</f>
        <v>0</v>
      </c>
    </row>
    <row r="759" spans="1:16" ht="20.100000000000001" customHeight="1" x14ac:dyDescent="0.45">
      <c r="A759" s="156">
        <v>46148</v>
      </c>
      <c r="B759" s="152" t="s">
        <v>203</v>
      </c>
      <c r="C759" s="149" t="s">
        <v>69</v>
      </c>
      <c r="D759" s="159" t="s">
        <v>204</v>
      </c>
      <c r="E759" s="180"/>
      <c r="F759" s="458">
        <v>1</v>
      </c>
      <c r="G759" s="164"/>
      <c r="H759" s="169">
        <f t="shared" si="34"/>
        <v>0</v>
      </c>
      <c r="I759" s="173"/>
      <c r="J759" s="171"/>
      <c r="K759" s="149"/>
      <c r="L759" s="149"/>
      <c r="M759" s="159"/>
      <c r="N759" s="596">
        <f t="shared" si="35"/>
        <v>11</v>
      </c>
      <c r="O759" s="176"/>
      <c r="P759" s="179">
        <f>IF(A759&lt;&gt;"", Снабжения!H759 / VLOOKUP(A759, 'Курс валют'!$A:$D, 4, 0), "")</f>
        <v>0</v>
      </c>
    </row>
    <row r="760" spans="1:16" ht="20.100000000000001" customHeight="1" x14ac:dyDescent="0.45">
      <c r="A760" s="156">
        <v>46148</v>
      </c>
      <c r="B760" s="152" t="s">
        <v>205</v>
      </c>
      <c r="C760" s="149" t="s">
        <v>69</v>
      </c>
      <c r="D760" s="159" t="s">
        <v>204</v>
      </c>
      <c r="E760" s="180"/>
      <c r="F760" s="458">
        <v>1</v>
      </c>
      <c r="G760" s="164"/>
      <c r="H760" s="169">
        <f t="shared" si="34"/>
        <v>0</v>
      </c>
      <c r="I760" s="173"/>
      <c r="J760" s="171"/>
      <c r="K760" s="149"/>
      <c r="L760" s="149"/>
      <c r="M760" s="159"/>
      <c r="N760" s="596">
        <f t="shared" si="35"/>
        <v>8</v>
      </c>
      <c r="O760" s="176"/>
      <c r="P760" s="179">
        <f>IF(A760&lt;&gt;"", Снабжения!H760 / VLOOKUP(A760, 'Курс валют'!$A:$D, 4, 0), "")</f>
        <v>0</v>
      </c>
    </row>
    <row r="761" spans="1:16" ht="20.100000000000001" customHeight="1" x14ac:dyDescent="0.45">
      <c r="A761" s="156">
        <v>46148</v>
      </c>
      <c r="B761" s="152" t="s">
        <v>188</v>
      </c>
      <c r="C761" s="149" t="s">
        <v>59</v>
      </c>
      <c r="D761" s="159" t="s">
        <v>187</v>
      </c>
      <c r="E761" s="180"/>
      <c r="F761" s="458">
        <v>20</v>
      </c>
      <c r="G761" s="164"/>
      <c r="H761" s="169">
        <f t="shared" si="34"/>
        <v>0</v>
      </c>
      <c r="I761" s="173"/>
      <c r="J761" s="171"/>
      <c r="K761" s="149"/>
      <c r="L761" s="149"/>
      <c r="M761" s="159"/>
      <c r="N761" s="596">
        <f t="shared" si="35"/>
        <v>20</v>
      </c>
      <c r="O761" s="176"/>
      <c r="P761" s="179">
        <f>IF(A761&lt;&gt;"", Снабжения!H761 / VLOOKUP(A761, 'Курс валют'!$A:$D, 4, 0), "")</f>
        <v>0</v>
      </c>
    </row>
    <row r="762" spans="1:16" ht="20.100000000000001" customHeight="1" x14ac:dyDescent="0.45">
      <c r="A762" s="156">
        <v>46149</v>
      </c>
      <c r="B762" s="152" t="s">
        <v>186</v>
      </c>
      <c r="C762" s="149" t="s">
        <v>59</v>
      </c>
      <c r="D762" s="159" t="s">
        <v>187</v>
      </c>
      <c r="E762" s="180"/>
      <c r="F762" s="458">
        <v>20</v>
      </c>
      <c r="G762" s="164"/>
      <c r="H762" s="169">
        <f t="shared" si="34"/>
        <v>0</v>
      </c>
      <c r="I762" s="173"/>
      <c r="J762" s="171"/>
      <c r="K762" s="149"/>
      <c r="L762" s="149"/>
      <c r="M762" s="159"/>
      <c r="N762" s="596">
        <f t="shared" si="35"/>
        <v>40</v>
      </c>
      <c r="O762" s="176"/>
      <c r="P762" s="179">
        <f>IF(A762&lt;&gt;"", Снабжения!H762 / VLOOKUP(A762, 'Курс валют'!$A:$D, 4, 0), "")</f>
        <v>0</v>
      </c>
    </row>
    <row r="763" spans="1:16" ht="20.100000000000001" customHeight="1" x14ac:dyDescent="0.45">
      <c r="A763" s="156">
        <v>46149</v>
      </c>
      <c r="B763" s="152" t="s">
        <v>188</v>
      </c>
      <c r="C763" s="149" t="s">
        <v>59</v>
      </c>
      <c r="D763" s="159" t="s">
        <v>187</v>
      </c>
      <c r="E763" s="180"/>
      <c r="F763" s="458">
        <v>20</v>
      </c>
      <c r="G763" s="164"/>
      <c r="H763" s="169">
        <f t="shared" si="34"/>
        <v>0</v>
      </c>
      <c r="I763" s="173"/>
      <c r="J763" s="171"/>
      <c r="K763" s="149"/>
      <c r="L763" s="149"/>
      <c r="M763" s="159"/>
      <c r="N763" s="596">
        <f t="shared" si="35"/>
        <v>20</v>
      </c>
      <c r="O763" s="176"/>
      <c r="P763" s="179">
        <f>IF(A763&lt;&gt;"", Снабжения!H763 / VLOOKUP(A763, 'Курс валют'!$A:$D, 4, 0), "")</f>
        <v>0</v>
      </c>
    </row>
    <row r="764" spans="1:16" ht="20.100000000000001" customHeight="1" x14ac:dyDescent="0.45">
      <c r="A764" s="156">
        <v>46149</v>
      </c>
      <c r="B764" s="152" t="s">
        <v>189</v>
      </c>
      <c r="C764" s="149" t="s">
        <v>69</v>
      </c>
      <c r="D764" s="159" t="s">
        <v>220</v>
      </c>
      <c r="E764" s="180"/>
      <c r="F764" s="458">
        <v>38</v>
      </c>
      <c r="G764" s="164"/>
      <c r="H764" s="169">
        <f t="shared" si="34"/>
        <v>0</v>
      </c>
      <c r="I764" s="173"/>
      <c r="J764" s="171"/>
      <c r="K764" s="149"/>
      <c r="L764" s="149"/>
      <c r="M764" s="159"/>
      <c r="N764" s="596">
        <f t="shared" si="35"/>
        <v>309</v>
      </c>
      <c r="O764" s="176"/>
      <c r="P764" s="179">
        <f>IF(A764&lt;&gt;"", Снабжения!H764 / VLOOKUP(A764, 'Курс валют'!$A:$D, 4, 0), "")</f>
        <v>0</v>
      </c>
    </row>
    <row r="765" spans="1:16" ht="20.100000000000001" customHeight="1" x14ac:dyDescent="0.45">
      <c r="A765" s="156">
        <v>46149</v>
      </c>
      <c r="B765" s="152" t="s">
        <v>209</v>
      </c>
      <c r="C765" s="149" t="s">
        <v>69</v>
      </c>
      <c r="D765" s="159" t="s">
        <v>220</v>
      </c>
      <c r="E765" s="180"/>
      <c r="F765" s="458">
        <v>2</v>
      </c>
      <c r="G765" s="164"/>
      <c r="H765" s="169">
        <f t="shared" si="34"/>
        <v>0</v>
      </c>
      <c r="I765" s="173"/>
      <c r="J765" s="171"/>
      <c r="K765" s="149"/>
      <c r="L765" s="149"/>
      <c r="M765" s="159"/>
      <c r="N765" s="596">
        <f t="shared" si="35"/>
        <v>128</v>
      </c>
      <c r="O765" s="176"/>
      <c r="P765" s="179">
        <f>IF(A765&lt;&gt;"", Снабжения!H765 / VLOOKUP(A765, 'Курс валют'!$A:$D, 4, 0), "")</f>
        <v>0</v>
      </c>
    </row>
    <row r="766" spans="1:16" ht="20.100000000000001" customHeight="1" x14ac:dyDescent="0.45">
      <c r="A766" s="156">
        <v>46149</v>
      </c>
      <c r="B766" s="152" t="s">
        <v>182</v>
      </c>
      <c r="C766" s="149" t="s">
        <v>69</v>
      </c>
      <c r="D766" s="159" t="s">
        <v>220</v>
      </c>
      <c r="E766" s="180"/>
      <c r="F766" s="458">
        <v>3</v>
      </c>
      <c r="G766" s="164"/>
      <c r="H766" s="169">
        <f t="shared" si="34"/>
        <v>0</v>
      </c>
      <c r="I766" s="173"/>
      <c r="J766" s="171"/>
      <c r="K766" s="149"/>
      <c r="L766" s="149"/>
      <c r="M766" s="159"/>
      <c r="N766" s="596">
        <f t="shared" si="35"/>
        <v>22</v>
      </c>
      <c r="O766" s="176"/>
      <c r="P766" s="179">
        <f>IF(A766&lt;&gt;"", Снабжения!H766 / VLOOKUP(A766, 'Курс валют'!$A:$D, 4, 0), "")</f>
        <v>0</v>
      </c>
    </row>
    <row r="767" spans="1:16" ht="20.100000000000001" customHeight="1" x14ac:dyDescent="0.45">
      <c r="A767" s="156">
        <v>46149</v>
      </c>
      <c r="B767" s="152" t="s">
        <v>198</v>
      </c>
      <c r="C767" s="149" t="s">
        <v>69</v>
      </c>
      <c r="D767" s="159" t="s">
        <v>220</v>
      </c>
      <c r="E767" s="180"/>
      <c r="F767" s="458">
        <v>1</v>
      </c>
      <c r="G767" s="164"/>
      <c r="H767" s="169">
        <f t="shared" si="34"/>
        <v>0</v>
      </c>
      <c r="I767" s="173"/>
      <c r="J767" s="171"/>
      <c r="K767" s="149"/>
      <c r="L767" s="149"/>
      <c r="M767" s="159"/>
      <c r="N767" s="596">
        <f t="shared" si="35"/>
        <v>3</v>
      </c>
      <c r="O767" s="176"/>
      <c r="P767" s="179">
        <f>IF(A767&lt;&gt;"", Снабжения!H767 / VLOOKUP(A767, 'Курс валют'!$A:$D, 4, 0), "")</f>
        <v>0</v>
      </c>
    </row>
    <row r="768" spans="1:16" ht="20.100000000000001" customHeight="1" x14ac:dyDescent="0.45">
      <c r="A768" s="156">
        <v>46149</v>
      </c>
      <c r="B768" s="152" t="s">
        <v>219</v>
      </c>
      <c r="C768" s="149" t="s">
        <v>59</v>
      </c>
      <c r="D768" s="159" t="s">
        <v>220</v>
      </c>
      <c r="E768" s="180"/>
      <c r="F768" s="458">
        <v>2.5</v>
      </c>
      <c r="G768" s="164"/>
      <c r="H768" s="169">
        <f t="shared" si="34"/>
        <v>0</v>
      </c>
      <c r="I768" s="173"/>
      <c r="J768" s="171"/>
      <c r="K768" s="149"/>
      <c r="L768" s="149"/>
      <c r="M768" s="159"/>
      <c r="N768" s="596">
        <f t="shared" si="35"/>
        <v>41.5</v>
      </c>
      <c r="O768" s="176"/>
      <c r="P768" s="179">
        <f>IF(A768&lt;&gt;"", Снабжения!H768 / VLOOKUP(A768, 'Курс валют'!$A:$D, 4, 0), "")</f>
        <v>0</v>
      </c>
    </row>
    <row r="769" spans="1:16" ht="20.100000000000001" customHeight="1" x14ac:dyDescent="0.45">
      <c r="A769" s="156">
        <v>46149</v>
      </c>
      <c r="B769" s="152" t="s">
        <v>258</v>
      </c>
      <c r="C769" s="149" t="s">
        <v>69</v>
      </c>
      <c r="D769" s="159" t="s">
        <v>220</v>
      </c>
      <c r="E769" s="180"/>
      <c r="F769" s="458">
        <v>1</v>
      </c>
      <c r="G769" s="164"/>
      <c r="H769" s="169">
        <f t="shared" si="34"/>
        <v>0</v>
      </c>
      <c r="I769" s="173"/>
      <c r="J769" s="171"/>
      <c r="K769" s="149"/>
      <c r="L769" s="149"/>
      <c r="M769" s="159"/>
      <c r="N769" s="596">
        <f t="shared" si="35"/>
        <v>4</v>
      </c>
      <c r="O769" s="176"/>
      <c r="P769" s="179">
        <f>IF(A769&lt;&gt;"", Снабжения!H769 / VLOOKUP(A769, 'Курс валют'!$A:$D, 4, 0), "")</f>
        <v>0</v>
      </c>
    </row>
    <row r="770" spans="1:16" ht="20.100000000000001" customHeight="1" x14ac:dyDescent="0.45">
      <c r="A770" s="156">
        <v>46150</v>
      </c>
      <c r="B770" s="152" t="s">
        <v>259</v>
      </c>
      <c r="C770" s="149" t="s">
        <v>62</v>
      </c>
      <c r="D770" s="159" t="s">
        <v>220</v>
      </c>
      <c r="E770" s="180"/>
      <c r="F770" s="458">
        <v>40</v>
      </c>
      <c r="G770" s="164"/>
      <c r="H770" s="169">
        <f t="shared" si="34"/>
        <v>0</v>
      </c>
      <c r="I770" s="173"/>
      <c r="J770" s="171"/>
      <c r="K770" s="149"/>
      <c r="L770" s="149"/>
      <c r="M770" s="159"/>
      <c r="N770" s="596">
        <f t="shared" si="35"/>
        <v>40</v>
      </c>
      <c r="O770" s="176"/>
      <c r="P770" s="179">
        <f>IF(A770&lt;&gt;"", Снабжения!H770 / VLOOKUP(A770, 'Курс валют'!$A:$D, 4, 0), "")</f>
        <v>0</v>
      </c>
    </row>
    <row r="771" spans="1:16" ht="20.100000000000001" customHeight="1" x14ac:dyDescent="0.45">
      <c r="A771" s="156">
        <v>46150</v>
      </c>
      <c r="B771" s="152" t="s">
        <v>263</v>
      </c>
      <c r="C771" s="149" t="s">
        <v>69</v>
      </c>
      <c r="D771" s="159" t="s">
        <v>187</v>
      </c>
      <c r="E771" s="180"/>
      <c r="F771" s="458">
        <v>4</v>
      </c>
      <c r="G771" s="164"/>
      <c r="H771" s="169">
        <f t="shared" si="34"/>
        <v>0</v>
      </c>
      <c r="I771" s="173"/>
      <c r="J771" s="171"/>
      <c r="K771" s="149"/>
      <c r="L771" s="149"/>
      <c r="M771" s="159"/>
      <c r="N771" s="596">
        <f t="shared" si="35"/>
        <v>18</v>
      </c>
      <c r="O771" s="176"/>
      <c r="P771" s="179">
        <f>IF(A771&lt;&gt;"", Снабжения!H771 / VLOOKUP(A771, 'Курс валют'!$A:$D, 4, 0), "")</f>
        <v>0</v>
      </c>
    </row>
    <row r="772" spans="1:16" ht="20.100000000000001" customHeight="1" x14ac:dyDescent="0.45">
      <c r="A772" s="156">
        <v>46150</v>
      </c>
      <c r="B772" s="152" t="s">
        <v>208</v>
      </c>
      <c r="C772" s="149" t="s">
        <v>69</v>
      </c>
      <c r="D772" s="159" t="s">
        <v>220</v>
      </c>
      <c r="E772" s="180"/>
      <c r="F772" s="458">
        <v>1</v>
      </c>
      <c r="G772" s="164"/>
      <c r="H772" s="169">
        <f t="shared" si="34"/>
        <v>0</v>
      </c>
      <c r="I772" s="173"/>
      <c r="J772" s="171"/>
      <c r="K772" s="149"/>
      <c r="L772" s="149"/>
      <c r="M772" s="159"/>
      <c r="N772" s="596">
        <f t="shared" si="35"/>
        <v>10</v>
      </c>
      <c r="O772" s="176"/>
      <c r="P772" s="179">
        <f>IF(A772&lt;&gt;"", Снабжения!H772 / VLOOKUP(A772, 'Курс валют'!$A:$D, 4, 0), "")</f>
        <v>0</v>
      </c>
    </row>
    <row r="773" spans="1:16" ht="20.100000000000001" customHeight="1" x14ac:dyDescent="0.45">
      <c r="A773" s="156">
        <v>46150</v>
      </c>
      <c r="B773" s="152" t="s">
        <v>253</v>
      </c>
      <c r="C773" s="149" t="s">
        <v>69</v>
      </c>
      <c r="D773" s="159" t="s">
        <v>220</v>
      </c>
      <c r="E773" s="180"/>
      <c r="F773" s="458">
        <v>1</v>
      </c>
      <c r="G773" s="164"/>
      <c r="H773" s="169">
        <f t="shared" si="34"/>
        <v>0</v>
      </c>
      <c r="I773" s="173"/>
      <c r="J773" s="171"/>
      <c r="K773" s="149"/>
      <c r="L773" s="149"/>
      <c r="M773" s="159"/>
      <c r="N773" s="596">
        <f t="shared" si="35"/>
        <v>8</v>
      </c>
      <c r="O773" s="176"/>
      <c r="P773" s="179">
        <f>IF(A773&lt;&gt;"", Снабжения!H773 / VLOOKUP(A773, 'Курс валют'!$A:$D, 4, 0), "")</f>
        <v>0</v>
      </c>
    </row>
    <row r="774" spans="1:16" ht="20.100000000000001" customHeight="1" x14ac:dyDescent="0.45">
      <c r="A774" s="156">
        <v>46152</v>
      </c>
      <c r="B774" s="152" t="s">
        <v>189</v>
      </c>
      <c r="C774" s="149" t="s">
        <v>69</v>
      </c>
      <c r="D774" s="159" t="s">
        <v>220</v>
      </c>
      <c r="E774" s="180"/>
      <c r="F774" s="458">
        <v>41</v>
      </c>
      <c r="G774" s="164"/>
      <c r="H774" s="169">
        <f t="shared" si="34"/>
        <v>0</v>
      </c>
      <c r="I774" s="173"/>
      <c r="J774" s="171"/>
      <c r="K774" s="149"/>
      <c r="L774" s="149"/>
      <c r="M774" s="159" t="str">
        <f>C774</f>
        <v>шт</v>
      </c>
      <c r="N774" s="596">
        <f t="shared" si="35"/>
        <v>309</v>
      </c>
      <c r="O774" s="176"/>
      <c r="P774" s="179">
        <f>IF(A774&lt;&gt;"", Снабжения!H774 / VLOOKUP(A774, 'Курс валют'!$A:$D, 4, 0), "")</f>
        <v>0</v>
      </c>
    </row>
    <row r="775" spans="1:16" ht="20.100000000000001" customHeight="1" x14ac:dyDescent="0.45">
      <c r="A775" s="156">
        <v>46152</v>
      </c>
      <c r="B775" s="152" t="s">
        <v>186</v>
      </c>
      <c r="C775" s="149" t="s">
        <v>59</v>
      </c>
      <c r="D775" s="159" t="s">
        <v>187</v>
      </c>
      <c r="E775" s="180"/>
      <c r="F775" s="458">
        <v>20</v>
      </c>
      <c r="G775" s="164"/>
      <c r="H775" s="169">
        <f t="shared" si="34"/>
        <v>0</v>
      </c>
      <c r="I775" s="173"/>
      <c r="J775" s="171"/>
      <c r="K775" s="149"/>
      <c r="L775" s="149"/>
      <c r="M775" s="159" t="str">
        <f t="shared" ref="M775:M824" si="36">C775</f>
        <v>кг</v>
      </c>
      <c r="N775" s="596">
        <f t="shared" si="35"/>
        <v>40</v>
      </c>
      <c r="O775" s="176"/>
      <c r="P775" s="179">
        <f>IF(A775&lt;&gt;"", Снабжения!H775 / VLOOKUP(A775, 'Курс валют'!$A:$D, 4, 0), "")</f>
        <v>0</v>
      </c>
    </row>
    <row r="776" spans="1:16" ht="20.100000000000001" customHeight="1" x14ac:dyDescent="0.45">
      <c r="A776" s="156">
        <v>46152</v>
      </c>
      <c r="B776" s="152" t="s">
        <v>190</v>
      </c>
      <c r="C776" s="149" t="s">
        <v>59</v>
      </c>
      <c r="D776" s="159" t="s">
        <v>187</v>
      </c>
      <c r="E776" s="180"/>
      <c r="F776" s="458">
        <v>20</v>
      </c>
      <c r="G776" s="164"/>
      <c r="H776" s="169">
        <f t="shared" si="34"/>
        <v>0</v>
      </c>
      <c r="I776" s="173"/>
      <c r="J776" s="171"/>
      <c r="K776" s="149"/>
      <c r="L776" s="149"/>
      <c r="M776" s="159" t="str">
        <f t="shared" si="36"/>
        <v>кг</v>
      </c>
      <c r="N776" s="596">
        <f t="shared" si="35"/>
        <v>80</v>
      </c>
      <c r="O776" s="176"/>
      <c r="P776" s="179">
        <f>IF(A776&lt;&gt;"", Снабжения!H776 / VLOOKUP(A776, 'Курс валют'!$A:$D, 4, 0), "")</f>
        <v>0</v>
      </c>
    </row>
    <row r="777" spans="1:16" ht="20.100000000000001" customHeight="1" x14ac:dyDescent="0.45">
      <c r="A777" s="156">
        <v>46152</v>
      </c>
      <c r="B777" s="152" t="s">
        <v>209</v>
      </c>
      <c r="C777" s="149" t="s">
        <v>69</v>
      </c>
      <c r="D777" s="159" t="s">
        <v>220</v>
      </c>
      <c r="E777" s="180"/>
      <c r="F777" s="458">
        <v>7</v>
      </c>
      <c r="G777" s="164"/>
      <c r="H777" s="169">
        <f t="shared" si="34"/>
        <v>0</v>
      </c>
      <c r="I777" s="173"/>
      <c r="J777" s="171"/>
      <c r="K777" s="149"/>
      <c r="L777" s="149"/>
      <c r="M777" s="159" t="str">
        <f t="shared" si="36"/>
        <v>шт</v>
      </c>
      <c r="N777" s="596">
        <f t="shared" si="35"/>
        <v>128</v>
      </c>
      <c r="O777" s="176"/>
      <c r="P777" s="179">
        <f>IF(A777&lt;&gt;"", Снабжения!H777 / VLOOKUP(A777, 'Курс валют'!$A:$D, 4, 0), "")</f>
        <v>0</v>
      </c>
    </row>
    <row r="778" spans="1:16" ht="20.100000000000001" customHeight="1" x14ac:dyDescent="0.45">
      <c r="A778" s="156">
        <v>46152</v>
      </c>
      <c r="B778" s="152" t="s">
        <v>271</v>
      </c>
      <c r="C778" s="149" t="s">
        <v>69</v>
      </c>
      <c r="D778" s="159" t="s">
        <v>220</v>
      </c>
      <c r="E778" s="180"/>
      <c r="F778" s="458">
        <v>5</v>
      </c>
      <c r="G778" s="164"/>
      <c r="H778" s="169">
        <f t="shared" si="34"/>
        <v>0</v>
      </c>
      <c r="I778" s="173"/>
      <c r="J778" s="171"/>
      <c r="K778" s="149"/>
      <c r="L778" s="149"/>
      <c r="M778" s="159" t="str">
        <f t="shared" si="36"/>
        <v>шт</v>
      </c>
      <c r="N778" s="596">
        <f t="shared" si="35"/>
        <v>42</v>
      </c>
      <c r="O778" s="176"/>
      <c r="P778" s="179">
        <f>IF(A778&lt;&gt;"", Снабжения!H778 / VLOOKUP(A778, 'Курс валют'!$A:$D, 4, 0), "")</f>
        <v>0</v>
      </c>
    </row>
    <row r="779" spans="1:16" ht="20.100000000000001" customHeight="1" x14ac:dyDescent="0.45">
      <c r="A779" s="156">
        <v>46152</v>
      </c>
      <c r="B779" s="152" t="s">
        <v>228</v>
      </c>
      <c r="C779" s="149" t="s">
        <v>59</v>
      </c>
      <c r="D779" s="159" t="s">
        <v>187</v>
      </c>
      <c r="E779" s="180"/>
      <c r="F779" s="458">
        <v>100</v>
      </c>
      <c r="G779" s="164"/>
      <c r="H779" s="169">
        <f t="shared" si="34"/>
        <v>0</v>
      </c>
      <c r="I779" s="173"/>
      <c r="J779" s="171"/>
      <c r="K779" s="149"/>
      <c r="L779" s="149"/>
      <c r="M779" s="159" t="str">
        <f t="shared" si="36"/>
        <v>кг</v>
      </c>
      <c r="N779" s="596">
        <f t="shared" si="35"/>
        <v>125</v>
      </c>
      <c r="O779" s="176"/>
      <c r="P779" s="179">
        <f>IF(A779&lt;&gt;"", Снабжения!H779 / VLOOKUP(A779, 'Курс валют'!$A:$D, 4, 0), "")</f>
        <v>0</v>
      </c>
    </row>
    <row r="780" spans="1:16" ht="20.100000000000001" customHeight="1" x14ac:dyDescent="0.45">
      <c r="A780" s="156">
        <v>46152</v>
      </c>
      <c r="B780" s="152" t="s">
        <v>208</v>
      </c>
      <c r="C780" s="149" t="s">
        <v>69</v>
      </c>
      <c r="D780" s="159" t="s">
        <v>220</v>
      </c>
      <c r="E780" s="180"/>
      <c r="F780" s="458">
        <v>1</v>
      </c>
      <c r="G780" s="164"/>
      <c r="H780" s="169">
        <f t="shared" si="34"/>
        <v>0</v>
      </c>
      <c r="I780" s="173"/>
      <c r="J780" s="171"/>
      <c r="K780" s="149"/>
      <c r="L780" s="149"/>
      <c r="M780" s="159" t="str">
        <f t="shared" si="36"/>
        <v>шт</v>
      </c>
      <c r="N780" s="596">
        <f t="shared" si="35"/>
        <v>10</v>
      </c>
      <c r="O780" s="176"/>
      <c r="P780" s="179">
        <f>IF(A780&lt;&gt;"", Снабжения!H780 / VLOOKUP(A780, 'Курс валют'!$A:$D, 4, 0), "")</f>
        <v>0</v>
      </c>
    </row>
    <row r="781" spans="1:16" ht="20.100000000000001" customHeight="1" x14ac:dyDescent="0.45">
      <c r="A781" s="156">
        <v>46153</v>
      </c>
      <c r="B781" s="152" t="s">
        <v>186</v>
      </c>
      <c r="C781" s="149" t="s">
        <v>59</v>
      </c>
      <c r="D781" s="159" t="s">
        <v>187</v>
      </c>
      <c r="E781" s="180">
        <v>100</v>
      </c>
      <c r="F781" s="458"/>
      <c r="G781" s="164">
        <v>9736</v>
      </c>
      <c r="H781" s="169">
        <f t="shared" si="34"/>
        <v>973600</v>
      </c>
      <c r="I781" s="173"/>
      <c r="J781" s="171"/>
      <c r="K781" s="149"/>
      <c r="L781" s="149"/>
      <c r="M781" s="159" t="str">
        <f t="shared" si="36"/>
        <v>кг</v>
      </c>
      <c r="N781" s="596">
        <f t="shared" si="35"/>
        <v>40</v>
      </c>
      <c r="O781" s="176"/>
      <c r="P781" s="179">
        <f>IF(A781&lt;&gt;"", Снабжения!H781 / VLOOKUP(A781, 'Курс валют'!$A:$D, 4, 0), "")</f>
        <v>79.803278688524586</v>
      </c>
    </row>
    <row r="782" spans="1:16" ht="20.100000000000001" customHeight="1" x14ac:dyDescent="0.45">
      <c r="A782" s="156">
        <v>46153</v>
      </c>
      <c r="B782" s="152" t="s">
        <v>263</v>
      </c>
      <c r="C782" s="149" t="s">
        <v>69</v>
      </c>
      <c r="D782" s="159" t="s">
        <v>220</v>
      </c>
      <c r="E782" s="180">
        <v>20</v>
      </c>
      <c r="F782" s="458"/>
      <c r="G782" s="164">
        <v>24000</v>
      </c>
      <c r="H782" s="169">
        <f t="shared" ref="H782:H845" si="37">G782*E782</f>
        <v>480000</v>
      </c>
      <c r="I782" s="173"/>
      <c r="J782" s="171"/>
      <c r="K782" s="149"/>
      <c r="L782" s="149"/>
      <c r="M782" s="159" t="str">
        <f t="shared" si="36"/>
        <v>шт</v>
      </c>
      <c r="N782" s="596">
        <f t="shared" ref="N782:N924" si="38">SUMIF(B:B,B782,E:E)-SUMIF(B:B,B782,F:F)</f>
        <v>18</v>
      </c>
      <c r="O782" s="176"/>
      <c r="P782" s="179">
        <f>IF(A782&lt;&gt;"", Снабжения!H782 / VLOOKUP(A782, 'Курс валют'!$A:$D, 4, 0), "")</f>
        <v>39.344262295081968</v>
      </c>
    </row>
    <row r="783" spans="1:16" ht="20.100000000000001" customHeight="1" x14ac:dyDescent="0.45">
      <c r="A783" s="156">
        <v>46153</v>
      </c>
      <c r="B783" s="152" t="s">
        <v>203</v>
      </c>
      <c r="C783" s="149" t="s">
        <v>69</v>
      </c>
      <c r="D783" s="159" t="s">
        <v>204</v>
      </c>
      <c r="E783" s="180">
        <v>10</v>
      </c>
      <c r="F783" s="458"/>
      <c r="G783" s="164">
        <v>10200</v>
      </c>
      <c r="H783" s="169">
        <f t="shared" si="37"/>
        <v>102000</v>
      </c>
      <c r="I783" s="173"/>
      <c r="J783" s="171"/>
      <c r="K783" s="149"/>
      <c r="L783" s="149"/>
      <c r="M783" s="159" t="str">
        <f t="shared" si="36"/>
        <v>шт</v>
      </c>
      <c r="N783" s="596">
        <f t="shared" si="38"/>
        <v>11</v>
      </c>
      <c r="O783" s="176"/>
      <c r="P783" s="179">
        <f>IF(A783&lt;&gt;"", Снабжения!H783 / VLOOKUP(A783, 'Курс валют'!$A:$D, 4, 0), "")</f>
        <v>8.3606557377049189</v>
      </c>
    </row>
    <row r="784" spans="1:16" ht="20.100000000000001" customHeight="1" x14ac:dyDescent="0.45">
      <c r="A784" s="156">
        <v>46153</v>
      </c>
      <c r="B784" s="152" t="s">
        <v>189</v>
      </c>
      <c r="C784" s="149" t="s">
        <v>69</v>
      </c>
      <c r="D784" s="159" t="s">
        <v>220</v>
      </c>
      <c r="E784" s="180">
        <v>500</v>
      </c>
      <c r="F784" s="458"/>
      <c r="G784" s="164">
        <v>3550</v>
      </c>
      <c r="H784" s="169">
        <f t="shared" si="37"/>
        <v>1775000</v>
      </c>
      <c r="I784" s="173"/>
      <c r="J784" s="171"/>
      <c r="K784" s="149"/>
      <c r="L784" s="149">
        <v>443</v>
      </c>
      <c r="M784" s="159" t="str">
        <f t="shared" si="36"/>
        <v>шт</v>
      </c>
      <c r="N784" s="596">
        <f t="shared" si="38"/>
        <v>309</v>
      </c>
      <c r="O784" s="176"/>
      <c r="P784" s="179">
        <f>IF(A784&lt;&gt;"", Снабжения!H784 / VLOOKUP(A784, 'Курс валют'!$A:$D, 4, 0), "")</f>
        <v>145.49180327868854</v>
      </c>
    </row>
    <row r="785" spans="1:16" ht="20.100000000000001" customHeight="1" x14ac:dyDescent="0.45">
      <c r="A785" s="156">
        <v>46153</v>
      </c>
      <c r="B785" s="152" t="s">
        <v>91</v>
      </c>
      <c r="C785" s="149" t="s">
        <v>65</v>
      </c>
      <c r="D785" s="159"/>
      <c r="E785" s="180">
        <v>1</v>
      </c>
      <c r="F785" s="458"/>
      <c r="G785" s="164">
        <v>140000</v>
      </c>
      <c r="H785" s="169">
        <f t="shared" si="37"/>
        <v>140000</v>
      </c>
      <c r="I785" s="173"/>
      <c r="J785" s="171"/>
      <c r="K785" s="149"/>
      <c r="L785" s="149"/>
      <c r="M785" s="159" t="str">
        <f t="shared" si="36"/>
        <v>услуга</v>
      </c>
      <c r="N785" s="596">
        <f t="shared" si="38"/>
        <v>8</v>
      </c>
      <c r="O785" s="176"/>
      <c r="P785" s="179">
        <f>IF(A785&lt;&gt;"", Снабжения!H785 / VLOOKUP(A785, 'Курс валют'!$A:$D, 4, 0), "")</f>
        <v>11.475409836065573</v>
      </c>
    </row>
    <row r="786" spans="1:16" ht="20.100000000000001" customHeight="1" x14ac:dyDescent="0.45">
      <c r="A786" s="156">
        <v>46153</v>
      </c>
      <c r="B786" s="152" t="s">
        <v>230</v>
      </c>
      <c r="C786" s="149" t="s">
        <v>85</v>
      </c>
      <c r="D786" s="159" t="s">
        <v>220</v>
      </c>
      <c r="E786" s="180">
        <v>500</v>
      </c>
      <c r="F786" s="458"/>
      <c r="G786" s="164">
        <v>3000</v>
      </c>
      <c r="H786" s="169">
        <f t="shared" si="37"/>
        <v>1500000</v>
      </c>
      <c r="I786" s="173"/>
      <c r="J786" s="171"/>
      <c r="K786" s="149"/>
      <c r="L786" s="149"/>
      <c r="M786" s="159" t="str">
        <f t="shared" si="36"/>
        <v>метр</v>
      </c>
      <c r="N786" s="596">
        <f t="shared" si="38"/>
        <v>400</v>
      </c>
      <c r="O786" s="176"/>
      <c r="P786" s="179">
        <f>IF(A786&lt;&gt;"", Снабжения!H786 / VLOOKUP(A786, 'Курс валют'!$A:$D, 4, 0), "")</f>
        <v>122.95081967213115</v>
      </c>
    </row>
    <row r="787" spans="1:16" ht="20.100000000000001" customHeight="1" x14ac:dyDescent="0.45">
      <c r="A787" s="156">
        <v>46153</v>
      </c>
      <c r="B787" s="152" t="s">
        <v>91</v>
      </c>
      <c r="C787" s="149" t="s">
        <v>65</v>
      </c>
      <c r="D787" s="159"/>
      <c r="E787" s="180">
        <v>1</v>
      </c>
      <c r="F787" s="458"/>
      <c r="G787" s="164">
        <v>110000</v>
      </c>
      <c r="H787" s="169">
        <f t="shared" si="37"/>
        <v>110000</v>
      </c>
      <c r="I787" s="173"/>
      <c r="J787" s="171"/>
      <c r="K787" s="149"/>
      <c r="L787" s="149"/>
      <c r="M787" s="159" t="str">
        <f t="shared" si="36"/>
        <v>услуга</v>
      </c>
      <c r="N787" s="596">
        <f t="shared" si="38"/>
        <v>8</v>
      </c>
      <c r="O787" s="176"/>
      <c r="P787" s="179">
        <f>IF(A787&lt;&gt;"", Снабжения!H787 / VLOOKUP(A787, 'Курс валют'!$A:$D, 4, 0), "")</f>
        <v>9.0163934426229506</v>
      </c>
    </row>
    <row r="788" spans="1:16" ht="20.100000000000001" customHeight="1" x14ac:dyDescent="0.45">
      <c r="A788" s="156">
        <v>46153</v>
      </c>
      <c r="B788" s="152" t="s">
        <v>259</v>
      </c>
      <c r="C788" s="149" t="s">
        <v>62</v>
      </c>
      <c r="D788" s="159" t="s">
        <v>220</v>
      </c>
      <c r="E788" s="180">
        <v>320</v>
      </c>
      <c r="F788" s="458"/>
      <c r="G788" s="164">
        <v>12000</v>
      </c>
      <c r="H788" s="169">
        <f t="shared" si="37"/>
        <v>3840000</v>
      </c>
      <c r="I788" s="173"/>
      <c r="J788" s="171"/>
      <c r="K788" s="149"/>
      <c r="L788" s="149"/>
      <c r="M788" s="159" t="str">
        <f t="shared" si="36"/>
        <v>литр</v>
      </c>
      <c r="N788" s="596">
        <f t="shared" si="38"/>
        <v>40</v>
      </c>
      <c r="O788" s="176"/>
      <c r="P788" s="179">
        <f>IF(A788&lt;&gt;"", Снабжения!H788 / VLOOKUP(A788, 'Курс валют'!$A:$D, 4, 0), "")</f>
        <v>314.75409836065575</v>
      </c>
    </row>
    <row r="789" spans="1:16" ht="20.100000000000001" customHeight="1" x14ac:dyDescent="0.45">
      <c r="A789" s="156">
        <v>46153</v>
      </c>
      <c r="B789" s="152" t="s">
        <v>91</v>
      </c>
      <c r="C789" s="149" t="s">
        <v>65</v>
      </c>
      <c r="D789" s="159"/>
      <c r="E789" s="180">
        <v>1</v>
      </c>
      <c r="F789" s="458"/>
      <c r="G789" s="164">
        <v>185000</v>
      </c>
      <c r="H789" s="169">
        <f t="shared" si="37"/>
        <v>185000</v>
      </c>
      <c r="I789" s="173"/>
      <c r="J789" s="171"/>
      <c r="K789" s="149"/>
      <c r="L789" s="149"/>
      <c r="M789" s="159" t="str">
        <f t="shared" si="36"/>
        <v>услуга</v>
      </c>
      <c r="N789" s="596">
        <f t="shared" si="38"/>
        <v>8</v>
      </c>
      <c r="O789" s="176"/>
      <c r="P789" s="179">
        <f>IF(A789&lt;&gt;"", Снабжения!H789 / VLOOKUP(A789, 'Курс валют'!$A:$D, 4, 0), "")</f>
        <v>15.163934426229508</v>
      </c>
    </row>
    <row r="790" spans="1:16" ht="20.100000000000001" customHeight="1" x14ac:dyDescent="0.45">
      <c r="A790" s="156">
        <v>46153</v>
      </c>
      <c r="B790" s="152" t="s">
        <v>299</v>
      </c>
      <c r="C790" s="149" t="s">
        <v>85</v>
      </c>
      <c r="D790" s="159"/>
      <c r="E790" s="180">
        <v>400</v>
      </c>
      <c r="F790" s="458"/>
      <c r="G790" s="164">
        <v>5000</v>
      </c>
      <c r="H790" s="169">
        <f t="shared" si="37"/>
        <v>2000000</v>
      </c>
      <c r="I790" s="173"/>
      <c r="J790" s="171"/>
      <c r="K790" s="149"/>
      <c r="L790" s="149"/>
      <c r="M790" s="159" t="str">
        <f t="shared" si="36"/>
        <v>метр</v>
      </c>
      <c r="N790" s="596">
        <f t="shared" si="38"/>
        <v>400</v>
      </c>
      <c r="O790" s="176"/>
      <c r="P790" s="179">
        <f>IF(A790&lt;&gt;"", Снабжения!H790 / VLOOKUP(A790, 'Курс валют'!$A:$D, 4, 0), "")</f>
        <v>163.9344262295082</v>
      </c>
    </row>
    <row r="791" spans="1:16" ht="20.100000000000001" customHeight="1" x14ac:dyDescent="0.45">
      <c r="A791" s="156">
        <v>46153</v>
      </c>
      <c r="B791" s="152" t="s">
        <v>300</v>
      </c>
      <c r="C791" s="149" t="s">
        <v>69</v>
      </c>
      <c r="D791" s="159"/>
      <c r="E791" s="180">
        <v>1</v>
      </c>
      <c r="F791" s="458">
        <v>1</v>
      </c>
      <c r="G791" s="164">
        <v>200000</v>
      </c>
      <c r="H791" s="169">
        <f t="shared" si="37"/>
        <v>200000</v>
      </c>
      <c r="I791" s="173"/>
      <c r="J791" s="171"/>
      <c r="K791" s="149"/>
      <c r="L791" s="149"/>
      <c r="M791" s="159" t="str">
        <f t="shared" si="36"/>
        <v>шт</v>
      </c>
      <c r="N791" s="596">
        <f t="shared" si="38"/>
        <v>0</v>
      </c>
      <c r="O791" s="176"/>
      <c r="P791" s="179">
        <f>IF(A791&lt;&gt;"", Снабжения!H791 / VLOOKUP(A791, 'Курс валют'!$A:$D, 4, 0), "")</f>
        <v>16.393442622950818</v>
      </c>
    </row>
    <row r="792" spans="1:16" ht="20.100000000000001" customHeight="1" x14ac:dyDescent="0.45">
      <c r="A792" s="156">
        <v>46153</v>
      </c>
      <c r="B792" s="152" t="s">
        <v>91</v>
      </c>
      <c r="C792" s="149" t="s">
        <v>65</v>
      </c>
      <c r="D792" s="159"/>
      <c r="E792" s="180">
        <v>1</v>
      </c>
      <c r="F792" s="458"/>
      <c r="G792" s="164">
        <v>130000</v>
      </c>
      <c r="H792" s="169">
        <f t="shared" si="37"/>
        <v>130000</v>
      </c>
      <c r="I792" s="173"/>
      <c r="J792" s="171"/>
      <c r="K792" s="149"/>
      <c r="L792" s="149"/>
      <c r="M792" s="159" t="str">
        <f t="shared" si="36"/>
        <v>услуга</v>
      </c>
      <c r="N792" s="596">
        <f t="shared" si="38"/>
        <v>8</v>
      </c>
      <c r="O792" s="176"/>
      <c r="P792" s="179">
        <f>IF(A792&lt;&gt;"", Снабжения!H792 / VLOOKUP(A792, 'Курс валют'!$A:$D, 4, 0), "")</f>
        <v>10.655737704918034</v>
      </c>
    </row>
    <row r="793" spans="1:16" ht="20.100000000000001" customHeight="1" x14ac:dyDescent="0.45">
      <c r="A793" s="156">
        <v>46153</v>
      </c>
      <c r="B793" s="152" t="s">
        <v>230</v>
      </c>
      <c r="C793" s="149" t="s">
        <v>85</v>
      </c>
      <c r="D793" s="159" t="s">
        <v>220</v>
      </c>
      <c r="E793" s="180"/>
      <c r="F793" s="458">
        <v>200</v>
      </c>
      <c r="G793" s="164"/>
      <c r="H793" s="169">
        <f t="shared" si="37"/>
        <v>0</v>
      </c>
      <c r="I793" s="173"/>
      <c r="J793" s="171"/>
      <c r="K793" s="149"/>
      <c r="L793" s="149"/>
      <c r="M793" s="159" t="str">
        <f t="shared" si="36"/>
        <v>метр</v>
      </c>
      <c r="N793" s="596">
        <f t="shared" si="38"/>
        <v>400</v>
      </c>
      <c r="O793" s="176"/>
      <c r="P793" s="179">
        <f>IF(A793&lt;&gt;"", Снабжения!H793 / VLOOKUP(A793, 'Курс валют'!$A:$D, 4, 0), "")</f>
        <v>0</v>
      </c>
    </row>
    <row r="794" spans="1:16" ht="20.100000000000001" customHeight="1" x14ac:dyDescent="0.45">
      <c r="A794" s="156">
        <v>46153</v>
      </c>
      <c r="B794" s="152" t="s">
        <v>259</v>
      </c>
      <c r="C794" s="149" t="s">
        <v>62</v>
      </c>
      <c r="D794" s="159" t="s">
        <v>220</v>
      </c>
      <c r="E794" s="180"/>
      <c r="F794" s="458">
        <v>40</v>
      </c>
      <c r="G794" s="164"/>
      <c r="H794" s="169">
        <f t="shared" si="37"/>
        <v>0</v>
      </c>
      <c r="I794" s="173"/>
      <c r="J794" s="171"/>
      <c r="K794" s="149"/>
      <c r="L794" s="149"/>
      <c r="M794" s="159" t="str">
        <f t="shared" si="36"/>
        <v>литр</v>
      </c>
      <c r="N794" s="596">
        <f t="shared" si="38"/>
        <v>40</v>
      </c>
      <c r="O794" s="176"/>
      <c r="P794" s="179">
        <f>IF(A794&lt;&gt;"", Снабжения!H794 / VLOOKUP(A794, 'Курс валют'!$A:$D, 4, 0), "")</f>
        <v>0</v>
      </c>
    </row>
    <row r="795" spans="1:16" ht="20.100000000000001" customHeight="1" x14ac:dyDescent="0.45">
      <c r="A795" s="156">
        <v>46153</v>
      </c>
      <c r="B795" s="152" t="s">
        <v>189</v>
      </c>
      <c r="C795" s="149" t="s">
        <v>69</v>
      </c>
      <c r="D795" s="159" t="s">
        <v>220</v>
      </c>
      <c r="E795" s="180"/>
      <c r="F795" s="458">
        <v>3</v>
      </c>
      <c r="G795" s="164"/>
      <c r="H795" s="169">
        <f t="shared" si="37"/>
        <v>0</v>
      </c>
      <c r="I795" s="173"/>
      <c r="J795" s="171"/>
      <c r="K795" s="149"/>
      <c r="L795" s="149"/>
      <c r="M795" s="159" t="str">
        <f t="shared" si="36"/>
        <v>шт</v>
      </c>
      <c r="N795" s="596">
        <f t="shared" si="38"/>
        <v>309</v>
      </c>
      <c r="O795" s="176"/>
      <c r="P795" s="179">
        <f>IF(A795&lt;&gt;"", Снабжения!H795 / VLOOKUP(A795, 'Курс валют'!$A:$D, 4, 0), "")</f>
        <v>0</v>
      </c>
    </row>
    <row r="796" spans="1:16" ht="20.100000000000001" customHeight="1" x14ac:dyDescent="0.45">
      <c r="A796" s="156">
        <v>46153</v>
      </c>
      <c r="B796" s="152" t="s">
        <v>209</v>
      </c>
      <c r="C796" s="149" t="s">
        <v>69</v>
      </c>
      <c r="D796" s="159" t="s">
        <v>220</v>
      </c>
      <c r="E796" s="180"/>
      <c r="F796" s="458">
        <v>1</v>
      </c>
      <c r="G796" s="164"/>
      <c r="H796" s="169">
        <f t="shared" si="37"/>
        <v>0</v>
      </c>
      <c r="I796" s="173"/>
      <c r="J796" s="171"/>
      <c r="K796" s="149"/>
      <c r="L796" s="149">
        <v>143</v>
      </c>
      <c r="M796" s="159" t="str">
        <f t="shared" si="36"/>
        <v>шт</v>
      </c>
      <c r="N796" s="596">
        <f t="shared" si="38"/>
        <v>128</v>
      </c>
      <c r="O796" s="176"/>
      <c r="P796" s="179">
        <f>IF(A796&lt;&gt;"", Снабжения!H796 / VLOOKUP(A796, 'Курс валют'!$A:$D, 4, 0), "")</f>
        <v>0</v>
      </c>
    </row>
    <row r="797" spans="1:16" ht="20.100000000000001" customHeight="1" x14ac:dyDescent="0.45">
      <c r="A797" s="156">
        <v>46153</v>
      </c>
      <c r="B797" s="152" t="s">
        <v>228</v>
      </c>
      <c r="C797" s="149" t="s">
        <v>59</v>
      </c>
      <c r="D797" s="159" t="s">
        <v>187</v>
      </c>
      <c r="E797" s="180"/>
      <c r="F797" s="458">
        <v>100</v>
      </c>
      <c r="G797" s="164"/>
      <c r="H797" s="169">
        <f t="shared" si="37"/>
        <v>0</v>
      </c>
      <c r="I797" s="173"/>
      <c r="J797" s="171"/>
      <c r="K797" s="149"/>
      <c r="L797" s="149"/>
      <c r="M797" s="159" t="str">
        <f t="shared" si="36"/>
        <v>кг</v>
      </c>
      <c r="N797" s="596">
        <f t="shared" si="38"/>
        <v>125</v>
      </c>
      <c r="O797" s="176"/>
      <c r="P797" s="179">
        <f>IF(A797&lt;&gt;"", Снабжения!H797 / VLOOKUP(A797, 'Курс валют'!$A:$D, 4, 0), "")</f>
        <v>0</v>
      </c>
    </row>
    <row r="798" spans="1:16" ht="20.100000000000001" customHeight="1" x14ac:dyDescent="0.45">
      <c r="A798" s="156">
        <v>46153</v>
      </c>
      <c r="B798" s="152" t="s">
        <v>254</v>
      </c>
      <c r="C798" s="149" t="s">
        <v>69</v>
      </c>
      <c r="D798" s="159" t="s">
        <v>220</v>
      </c>
      <c r="E798" s="180"/>
      <c r="F798" s="458">
        <v>5</v>
      </c>
      <c r="G798" s="164"/>
      <c r="H798" s="169">
        <f t="shared" si="37"/>
        <v>0</v>
      </c>
      <c r="I798" s="173"/>
      <c r="J798" s="171"/>
      <c r="K798" s="149"/>
      <c r="L798" s="149"/>
      <c r="M798" s="159" t="str">
        <f t="shared" si="36"/>
        <v>шт</v>
      </c>
      <c r="N798" s="596">
        <f t="shared" si="38"/>
        <v>33</v>
      </c>
      <c r="O798" s="176"/>
      <c r="P798" s="179">
        <f>IF(A798&lt;&gt;"", Снабжения!H798 / VLOOKUP(A798, 'Курс валют'!$A:$D, 4, 0), "")</f>
        <v>0</v>
      </c>
    </row>
    <row r="799" spans="1:16" ht="20.100000000000001" customHeight="1" x14ac:dyDescent="0.45">
      <c r="A799" s="156">
        <v>46153</v>
      </c>
      <c r="B799" s="152" t="s">
        <v>283</v>
      </c>
      <c r="C799" s="149" t="s">
        <v>127</v>
      </c>
      <c r="D799" s="159" t="s">
        <v>220</v>
      </c>
      <c r="E799" s="180"/>
      <c r="F799" s="458">
        <v>2</v>
      </c>
      <c r="G799" s="164"/>
      <c r="H799" s="169">
        <f t="shared" si="37"/>
        <v>0</v>
      </c>
      <c r="I799" s="173"/>
      <c r="J799" s="171"/>
      <c r="K799" s="149"/>
      <c r="L799" s="149"/>
      <c r="M799" s="159" t="str">
        <f t="shared" si="36"/>
        <v>коп</v>
      </c>
      <c r="N799" s="596">
        <f t="shared" si="38"/>
        <v>18</v>
      </c>
      <c r="O799" s="176"/>
      <c r="P799" s="179">
        <f>IF(A799&lt;&gt;"", Снабжения!H799 / VLOOKUP(A799, 'Курс валют'!$A:$D, 4, 0), "")</f>
        <v>0</v>
      </c>
    </row>
    <row r="800" spans="1:16" ht="20.100000000000001" customHeight="1" x14ac:dyDescent="0.45">
      <c r="A800" s="156">
        <v>46154</v>
      </c>
      <c r="B800" s="152" t="s">
        <v>189</v>
      </c>
      <c r="C800" s="149" t="s">
        <v>69</v>
      </c>
      <c r="D800" s="159" t="s">
        <v>220</v>
      </c>
      <c r="E800" s="180"/>
      <c r="F800" s="458">
        <v>39</v>
      </c>
      <c r="G800" s="164"/>
      <c r="H800" s="169">
        <f t="shared" si="37"/>
        <v>0</v>
      </c>
      <c r="I800" s="173"/>
      <c r="J800" s="171"/>
      <c r="K800" s="149"/>
      <c r="L800" s="149"/>
      <c r="M800" s="159" t="str">
        <f t="shared" si="36"/>
        <v>шт</v>
      </c>
      <c r="N800" s="596">
        <f t="shared" si="38"/>
        <v>309</v>
      </c>
      <c r="O800" s="176"/>
      <c r="P800" s="179">
        <f>IF(A800&lt;&gt;"", Снабжения!H800 / VLOOKUP(A800, 'Курс валют'!$A:$D, 4, 0), "")</f>
        <v>0</v>
      </c>
    </row>
    <row r="801" spans="1:16" ht="20.100000000000001" customHeight="1" x14ac:dyDescent="0.45">
      <c r="A801" s="156">
        <v>46154</v>
      </c>
      <c r="B801" s="152" t="s">
        <v>203</v>
      </c>
      <c r="C801" s="149" t="s">
        <v>69</v>
      </c>
      <c r="D801" s="159" t="s">
        <v>220</v>
      </c>
      <c r="E801" s="180"/>
      <c r="F801" s="458">
        <v>1</v>
      </c>
      <c r="G801" s="164"/>
      <c r="H801" s="169">
        <f t="shared" si="37"/>
        <v>0</v>
      </c>
      <c r="I801" s="173"/>
      <c r="J801" s="171"/>
      <c r="K801" s="149"/>
      <c r="L801" s="149"/>
      <c r="M801" s="159" t="str">
        <f t="shared" si="36"/>
        <v>шт</v>
      </c>
      <c r="N801" s="596">
        <f t="shared" si="38"/>
        <v>11</v>
      </c>
      <c r="O801" s="176"/>
      <c r="P801" s="179">
        <f>IF(A801&lt;&gt;"", Снабжения!H801 / VLOOKUP(A801, 'Курс валют'!$A:$D, 4, 0), "")</f>
        <v>0</v>
      </c>
    </row>
    <row r="802" spans="1:16" ht="20.100000000000001" customHeight="1" x14ac:dyDescent="0.45">
      <c r="A802" s="156">
        <v>46154</v>
      </c>
      <c r="B802" s="152" t="s">
        <v>205</v>
      </c>
      <c r="C802" s="149" t="s">
        <v>69</v>
      </c>
      <c r="D802" s="159" t="s">
        <v>220</v>
      </c>
      <c r="E802" s="180"/>
      <c r="F802" s="458">
        <v>1</v>
      </c>
      <c r="G802" s="164"/>
      <c r="H802" s="169">
        <f t="shared" si="37"/>
        <v>0</v>
      </c>
      <c r="I802" s="173"/>
      <c r="J802" s="171"/>
      <c r="K802" s="149"/>
      <c r="L802" s="149"/>
      <c r="M802" s="159" t="str">
        <f t="shared" si="36"/>
        <v>шт</v>
      </c>
      <c r="N802" s="596">
        <f t="shared" si="38"/>
        <v>8</v>
      </c>
      <c r="O802" s="176"/>
      <c r="P802" s="179">
        <f>IF(A802&lt;&gt;"", Снабжения!H802 / VLOOKUP(A802, 'Курс валют'!$A:$D, 4, 0), "")</f>
        <v>0</v>
      </c>
    </row>
    <row r="803" spans="1:16" ht="20.100000000000001" customHeight="1" x14ac:dyDescent="0.45">
      <c r="A803" s="156">
        <v>46154</v>
      </c>
      <c r="B803" s="152" t="s">
        <v>182</v>
      </c>
      <c r="C803" s="149" t="s">
        <v>69</v>
      </c>
      <c r="D803" s="159" t="s">
        <v>220</v>
      </c>
      <c r="E803" s="180"/>
      <c r="F803" s="458">
        <v>2</v>
      </c>
      <c r="G803" s="164"/>
      <c r="H803" s="169">
        <f t="shared" si="37"/>
        <v>0</v>
      </c>
      <c r="I803" s="173"/>
      <c r="J803" s="171"/>
      <c r="K803" s="149"/>
      <c r="L803" s="149"/>
      <c r="M803" s="159" t="str">
        <f t="shared" si="36"/>
        <v>шт</v>
      </c>
      <c r="N803" s="596">
        <f t="shared" si="38"/>
        <v>22</v>
      </c>
      <c r="O803" s="176"/>
      <c r="P803" s="179">
        <f>IF(A803&lt;&gt;"", Снабжения!H803 / VLOOKUP(A803, 'Курс валют'!$A:$D, 4, 0), "")</f>
        <v>0</v>
      </c>
    </row>
    <row r="804" spans="1:16" ht="20.100000000000001" customHeight="1" x14ac:dyDescent="0.45">
      <c r="A804" s="156">
        <v>46154</v>
      </c>
      <c r="B804" s="152" t="s">
        <v>186</v>
      </c>
      <c r="C804" s="149" t="s">
        <v>59</v>
      </c>
      <c r="D804" s="159" t="s">
        <v>187</v>
      </c>
      <c r="E804" s="180"/>
      <c r="F804" s="458">
        <v>20</v>
      </c>
      <c r="G804" s="164"/>
      <c r="H804" s="169">
        <f t="shared" si="37"/>
        <v>0</v>
      </c>
      <c r="I804" s="173"/>
      <c r="J804" s="171"/>
      <c r="K804" s="149"/>
      <c r="L804" s="149"/>
      <c r="M804" s="159" t="str">
        <f t="shared" si="36"/>
        <v>кг</v>
      </c>
      <c r="N804" s="596">
        <f t="shared" si="38"/>
        <v>40</v>
      </c>
      <c r="O804" s="176"/>
      <c r="P804" s="179">
        <f>IF(A804&lt;&gt;"", Снабжения!H804 / VLOOKUP(A804, 'Курс валют'!$A:$D, 4, 0), "")</f>
        <v>0</v>
      </c>
    </row>
    <row r="805" spans="1:16" ht="20.100000000000001" customHeight="1" x14ac:dyDescent="0.45">
      <c r="A805" s="156">
        <v>46154</v>
      </c>
      <c r="B805" s="152" t="s">
        <v>188</v>
      </c>
      <c r="C805" s="149" t="s">
        <v>59</v>
      </c>
      <c r="D805" s="159" t="s">
        <v>187</v>
      </c>
      <c r="E805" s="180"/>
      <c r="F805" s="458">
        <v>20</v>
      </c>
      <c r="G805" s="164"/>
      <c r="H805" s="169">
        <f t="shared" si="37"/>
        <v>0</v>
      </c>
      <c r="I805" s="173"/>
      <c r="J805" s="171"/>
      <c r="K805" s="149"/>
      <c r="L805" s="149"/>
      <c r="M805" s="159" t="str">
        <f t="shared" si="36"/>
        <v>кг</v>
      </c>
      <c r="N805" s="596">
        <f t="shared" si="38"/>
        <v>20</v>
      </c>
      <c r="O805" s="176"/>
      <c r="P805" s="179">
        <f>IF(A805&lt;&gt;"", Снабжения!H805 / VLOOKUP(A805, 'Курс валют'!$A:$D, 4, 0), "")</f>
        <v>0</v>
      </c>
    </row>
    <row r="806" spans="1:16" ht="20.100000000000001" customHeight="1" x14ac:dyDescent="0.45">
      <c r="A806" s="406">
        <v>46154</v>
      </c>
      <c r="B806" s="407" t="s">
        <v>228</v>
      </c>
      <c r="C806" s="408" t="s">
        <v>59</v>
      </c>
      <c r="D806" s="409" t="s">
        <v>187</v>
      </c>
      <c r="E806" s="410"/>
      <c r="F806" s="459">
        <v>25</v>
      </c>
      <c r="G806" s="411"/>
      <c r="H806" s="169">
        <f t="shared" si="37"/>
        <v>0</v>
      </c>
      <c r="I806" s="412"/>
      <c r="J806" s="413"/>
      <c r="K806" s="408"/>
      <c r="L806" s="408"/>
      <c r="M806" s="409" t="str">
        <f t="shared" si="36"/>
        <v>кг</v>
      </c>
      <c r="N806" s="597">
        <f t="shared" si="38"/>
        <v>125</v>
      </c>
      <c r="O806" s="414"/>
      <c r="P806" s="423">
        <f>IF(A806&lt;&gt;"", Снабжения!H806 / VLOOKUP(A806, 'Курс валют'!$A:$D, 4, 0), "")</f>
        <v>0</v>
      </c>
    </row>
    <row r="807" spans="1:16" s="434" customFormat="1" ht="20.100000000000001" customHeight="1" thickBot="1" x14ac:dyDescent="0.5">
      <c r="A807" s="425">
        <v>46154</v>
      </c>
      <c r="B807" s="426" t="s">
        <v>223</v>
      </c>
      <c r="C807" s="427" t="s">
        <v>69</v>
      </c>
      <c r="D807" s="428" t="s">
        <v>220</v>
      </c>
      <c r="E807" s="429"/>
      <c r="F807" s="460">
        <v>2</v>
      </c>
      <c r="G807" s="430"/>
      <c r="H807" s="169">
        <f t="shared" si="37"/>
        <v>0</v>
      </c>
      <c r="I807" s="431"/>
      <c r="J807" s="432"/>
      <c r="K807" s="427"/>
      <c r="L807" s="427"/>
      <c r="M807" s="428" t="str">
        <f t="shared" si="36"/>
        <v>шт</v>
      </c>
      <c r="N807" s="598">
        <f t="shared" si="38"/>
        <v>8</v>
      </c>
      <c r="O807" s="433"/>
      <c r="P807" s="423">
        <f>IF(A807&lt;&gt;"", Снабжения!H807 / VLOOKUP(A807, 'Курс валют'!$A:$D, 4, 0), "")</f>
        <v>0</v>
      </c>
    </row>
    <row r="808" spans="1:16" ht="20.100000000000001" customHeight="1" thickBot="1" x14ac:dyDescent="0.5">
      <c r="A808" s="435">
        <v>46154</v>
      </c>
      <c r="B808" s="153" t="s">
        <v>208</v>
      </c>
      <c r="C808" s="154" t="s">
        <v>69</v>
      </c>
      <c r="D808" s="160" t="s">
        <v>220</v>
      </c>
      <c r="E808" s="181"/>
      <c r="F808" s="457">
        <v>1</v>
      </c>
      <c r="G808" s="166"/>
      <c r="H808" s="169">
        <f t="shared" si="37"/>
        <v>0</v>
      </c>
      <c r="I808" s="174"/>
      <c r="J808" s="172"/>
      <c r="K808" s="154"/>
      <c r="L808" s="154">
        <v>4</v>
      </c>
      <c r="M808" s="160" t="str">
        <f t="shared" si="36"/>
        <v>шт</v>
      </c>
      <c r="N808" s="599">
        <f t="shared" si="38"/>
        <v>10</v>
      </c>
      <c r="O808" s="177"/>
      <c r="P808" s="423">
        <f>IF(A808&lt;&gt;"", Снабжения!H808 / VLOOKUP(A808, 'Курс валют'!$A:$D, 4, 0), "")</f>
        <v>0</v>
      </c>
    </row>
    <row r="809" spans="1:16" ht="20.100000000000001" customHeight="1" thickBot="1" x14ac:dyDescent="0.5">
      <c r="A809" s="435">
        <v>46154</v>
      </c>
      <c r="B809" s="153" t="s">
        <v>209</v>
      </c>
      <c r="C809" s="154" t="s">
        <v>69</v>
      </c>
      <c r="D809" s="160" t="s">
        <v>220</v>
      </c>
      <c r="E809" s="181"/>
      <c r="F809" s="457">
        <v>3</v>
      </c>
      <c r="G809" s="166"/>
      <c r="H809" s="169">
        <f t="shared" si="37"/>
        <v>0</v>
      </c>
      <c r="I809" s="174"/>
      <c r="J809" s="172"/>
      <c r="K809" s="154"/>
      <c r="L809" s="154"/>
      <c r="M809" s="160" t="str">
        <f t="shared" si="36"/>
        <v>шт</v>
      </c>
      <c r="N809" s="599">
        <f t="shared" si="38"/>
        <v>128</v>
      </c>
      <c r="O809" s="177"/>
      <c r="P809" s="423">
        <f>IF(A809&lt;&gt;"", Снабжения!H809 / VLOOKUP(A809, 'Курс валют'!$A:$D, 4, 0), "")</f>
        <v>0</v>
      </c>
    </row>
    <row r="810" spans="1:16" ht="20.100000000000001" customHeight="1" thickBot="1" x14ac:dyDescent="0.5">
      <c r="A810" s="435">
        <v>46154</v>
      </c>
      <c r="B810" s="153" t="s">
        <v>301</v>
      </c>
      <c r="C810" s="154" t="s">
        <v>69</v>
      </c>
      <c r="D810" s="160" t="s">
        <v>204</v>
      </c>
      <c r="E810" s="181">
        <v>4</v>
      </c>
      <c r="F810" s="457">
        <v>4</v>
      </c>
      <c r="G810" s="166"/>
      <c r="H810" s="169">
        <f t="shared" si="37"/>
        <v>0</v>
      </c>
      <c r="I810" s="174"/>
      <c r="J810" s="172"/>
      <c r="K810" s="154"/>
      <c r="L810" s="154"/>
      <c r="M810" s="160" t="str">
        <f t="shared" si="36"/>
        <v>шт</v>
      </c>
      <c r="N810" s="599">
        <f t="shared" si="38"/>
        <v>0</v>
      </c>
      <c r="O810" s="177"/>
      <c r="P810" s="423">
        <f>IF(A810&lt;&gt;"", Снабжения!H810 / VLOOKUP(A810, 'Курс валют'!$A:$D, 4, 0), "")</f>
        <v>0</v>
      </c>
    </row>
    <row r="811" spans="1:16" ht="20.100000000000001" customHeight="1" thickBot="1" x14ac:dyDescent="0.5">
      <c r="A811" s="435">
        <v>46154</v>
      </c>
      <c r="B811" s="153" t="s">
        <v>251</v>
      </c>
      <c r="C811" s="154" t="s">
        <v>85</v>
      </c>
      <c r="D811" s="160" t="s">
        <v>204</v>
      </c>
      <c r="E811" s="181">
        <v>250</v>
      </c>
      <c r="F811" s="457">
        <v>250</v>
      </c>
      <c r="G811" s="166"/>
      <c r="H811" s="169">
        <f t="shared" si="37"/>
        <v>0</v>
      </c>
      <c r="I811" s="174"/>
      <c r="J811" s="172"/>
      <c r="K811" s="154"/>
      <c r="L811" s="154"/>
      <c r="M811" s="160" t="str">
        <f t="shared" si="36"/>
        <v>метр</v>
      </c>
      <c r="N811" s="599">
        <f t="shared" si="38"/>
        <v>150</v>
      </c>
      <c r="O811" s="177"/>
      <c r="P811" s="423">
        <f>IF(A811&lt;&gt;"", Снабжения!H811 / VLOOKUP(A811, 'Курс валют'!$A:$D, 4, 0), "")</f>
        <v>0</v>
      </c>
    </row>
    <row r="812" spans="1:16" ht="20.100000000000001" customHeight="1" thickBot="1" x14ac:dyDescent="0.5">
      <c r="A812" s="435">
        <v>46154</v>
      </c>
      <c r="B812" s="153" t="s">
        <v>212</v>
      </c>
      <c r="C812" s="154" t="s">
        <v>85</v>
      </c>
      <c r="D812" s="160" t="s">
        <v>204</v>
      </c>
      <c r="E812" s="181">
        <v>40</v>
      </c>
      <c r="F812" s="457">
        <v>40</v>
      </c>
      <c r="G812" s="166"/>
      <c r="H812" s="169">
        <f t="shared" si="37"/>
        <v>0</v>
      </c>
      <c r="I812" s="174"/>
      <c r="J812" s="172"/>
      <c r="K812" s="154"/>
      <c r="L812" s="154"/>
      <c r="M812" s="160" t="str">
        <f t="shared" si="36"/>
        <v>метр</v>
      </c>
      <c r="N812" s="599">
        <f t="shared" si="38"/>
        <v>74.5</v>
      </c>
      <c r="O812" s="177"/>
      <c r="P812" s="423">
        <f>IF(A812&lt;&gt;"", Снабжения!H812 / VLOOKUP(A812, 'Курс валют'!$A:$D, 4, 0), "")</f>
        <v>0</v>
      </c>
    </row>
    <row r="813" spans="1:16" ht="20.100000000000001" customHeight="1" thickBot="1" x14ac:dyDescent="0.5">
      <c r="A813" s="435">
        <v>46154</v>
      </c>
      <c r="B813" s="153" t="s">
        <v>302</v>
      </c>
      <c r="C813" s="154" t="s">
        <v>85</v>
      </c>
      <c r="D813" s="160" t="s">
        <v>204</v>
      </c>
      <c r="E813" s="181">
        <v>16</v>
      </c>
      <c r="F813" s="457">
        <v>16</v>
      </c>
      <c r="G813" s="166"/>
      <c r="H813" s="169">
        <f t="shared" si="37"/>
        <v>0</v>
      </c>
      <c r="I813" s="174"/>
      <c r="J813" s="172"/>
      <c r="K813" s="154"/>
      <c r="L813" s="154"/>
      <c r="M813" s="160" t="str">
        <f t="shared" si="36"/>
        <v>метр</v>
      </c>
      <c r="N813" s="599">
        <f t="shared" si="38"/>
        <v>0</v>
      </c>
      <c r="O813" s="177"/>
      <c r="P813" s="423">
        <f>IF(A813&lt;&gt;"", Снабжения!H813 / VLOOKUP(A813, 'Курс валют'!$A:$D, 4, 0), "")</f>
        <v>0</v>
      </c>
    </row>
    <row r="814" spans="1:16" ht="20.100000000000001" customHeight="1" thickBot="1" x14ac:dyDescent="0.5">
      <c r="A814" s="435">
        <v>46154</v>
      </c>
      <c r="B814" s="153" t="s">
        <v>303</v>
      </c>
      <c r="C814" s="154" t="s">
        <v>69</v>
      </c>
      <c r="D814" s="160" t="s">
        <v>204</v>
      </c>
      <c r="E814" s="181">
        <v>8</v>
      </c>
      <c r="F814" s="457">
        <v>8</v>
      </c>
      <c r="G814" s="166"/>
      <c r="H814" s="169">
        <f t="shared" si="37"/>
        <v>0</v>
      </c>
      <c r="I814" s="174"/>
      <c r="J814" s="172"/>
      <c r="K814" s="154"/>
      <c r="L814" s="154"/>
      <c r="M814" s="160" t="str">
        <f t="shared" si="36"/>
        <v>шт</v>
      </c>
      <c r="N814" s="599">
        <f t="shared" si="38"/>
        <v>0</v>
      </c>
      <c r="O814" s="177"/>
      <c r="P814" s="423">
        <f>IF(A814&lt;&gt;"", Снабжения!H814 / VLOOKUP(A814, 'Курс валют'!$A:$D, 4, 0), "")</f>
        <v>0</v>
      </c>
    </row>
    <row r="815" spans="1:16" ht="20.100000000000001" customHeight="1" thickBot="1" x14ac:dyDescent="0.5">
      <c r="A815" s="435">
        <v>46154</v>
      </c>
      <c r="B815" s="153" t="s">
        <v>304</v>
      </c>
      <c r="C815" s="154" t="s">
        <v>69</v>
      </c>
      <c r="D815" s="160" t="s">
        <v>204</v>
      </c>
      <c r="E815" s="181">
        <v>2</v>
      </c>
      <c r="F815" s="457">
        <v>2</v>
      </c>
      <c r="G815" s="166"/>
      <c r="H815" s="169">
        <f t="shared" si="37"/>
        <v>0</v>
      </c>
      <c r="I815" s="174"/>
      <c r="J815" s="172"/>
      <c r="K815" s="154"/>
      <c r="L815" s="154"/>
      <c r="M815" s="160" t="str">
        <f t="shared" si="36"/>
        <v>шт</v>
      </c>
      <c r="N815" s="599">
        <f t="shared" si="38"/>
        <v>0</v>
      </c>
      <c r="O815" s="177"/>
      <c r="P815" s="423">
        <f>IF(A815&lt;&gt;"", Снабжения!H815 / VLOOKUP(A815, 'Курс валют'!$A:$D, 4, 0), "")</f>
        <v>0</v>
      </c>
    </row>
    <row r="816" spans="1:16" ht="20.100000000000001" customHeight="1" thickBot="1" x14ac:dyDescent="0.5">
      <c r="A816" s="435">
        <v>46154</v>
      </c>
      <c r="B816" s="153" t="s">
        <v>305</v>
      </c>
      <c r="C816" s="154" t="s">
        <v>69</v>
      </c>
      <c r="D816" s="160" t="s">
        <v>204</v>
      </c>
      <c r="E816" s="181">
        <v>4</v>
      </c>
      <c r="F816" s="457">
        <v>4</v>
      </c>
      <c r="G816" s="166"/>
      <c r="H816" s="169">
        <f t="shared" si="37"/>
        <v>0</v>
      </c>
      <c r="I816" s="174"/>
      <c r="J816" s="172"/>
      <c r="K816" s="154"/>
      <c r="L816" s="154"/>
      <c r="M816" s="160" t="str">
        <f t="shared" si="36"/>
        <v>шт</v>
      </c>
      <c r="N816" s="599">
        <f t="shared" si="38"/>
        <v>0</v>
      </c>
      <c r="O816" s="177"/>
      <c r="P816" s="423">
        <f>IF(A816&lt;&gt;"", Снабжения!H816 / VLOOKUP(A816, 'Курс валют'!$A:$D, 4, 0), "")</f>
        <v>0</v>
      </c>
    </row>
    <row r="817" spans="1:16" ht="20.100000000000001" customHeight="1" thickBot="1" x14ac:dyDescent="0.5">
      <c r="A817" s="435">
        <v>46154</v>
      </c>
      <c r="B817" s="153" t="s">
        <v>306</v>
      </c>
      <c r="C817" s="154" t="s">
        <v>69</v>
      </c>
      <c r="D817" s="160" t="s">
        <v>204</v>
      </c>
      <c r="E817" s="181">
        <v>12</v>
      </c>
      <c r="F817" s="457">
        <v>12</v>
      </c>
      <c r="G817" s="166"/>
      <c r="H817" s="169">
        <f t="shared" si="37"/>
        <v>0</v>
      </c>
      <c r="I817" s="174"/>
      <c r="J817" s="172"/>
      <c r="K817" s="154"/>
      <c r="L817" s="154"/>
      <c r="M817" s="160" t="str">
        <f t="shared" si="36"/>
        <v>шт</v>
      </c>
      <c r="N817" s="599">
        <f t="shared" si="38"/>
        <v>0</v>
      </c>
      <c r="O817" s="177"/>
      <c r="P817" s="423">
        <f>IF(A817&lt;&gt;"", Снабжения!H817 / VLOOKUP(A817, 'Курс валют'!$A:$D, 4, 0), "")</f>
        <v>0</v>
      </c>
    </row>
    <row r="818" spans="1:16" ht="20.100000000000001" customHeight="1" thickBot="1" x14ac:dyDescent="0.5">
      <c r="A818" s="435">
        <v>46154</v>
      </c>
      <c r="B818" s="153" t="s">
        <v>307</v>
      </c>
      <c r="C818" s="154" t="s">
        <v>69</v>
      </c>
      <c r="D818" s="160" t="s">
        <v>204</v>
      </c>
      <c r="E818" s="181">
        <v>20</v>
      </c>
      <c r="F818" s="457">
        <v>20</v>
      </c>
      <c r="G818" s="166"/>
      <c r="H818" s="169">
        <f t="shared" si="37"/>
        <v>0</v>
      </c>
      <c r="I818" s="174"/>
      <c r="J818" s="172"/>
      <c r="K818" s="154"/>
      <c r="L818" s="154"/>
      <c r="M818" s="160" t="str">
        <f t="shared" si="36"/>
        <v>шт</v>
      </c>
      <c r="N818" s="599">
        <f t="shared" si="38"/>
        <v>0</v>
      </c>
      <c r="O818" s="177"/>
      <c r="P818" s="423">
        <f>IF(A818&lt;&gt;"", Снабжения!H818 / VLOOKUP(A818, 'Курс валют'!$A:$D, 4, 0), "")</f>
        <v>0</v>
      </c>
    </row>
    <row r="819" spans="1:16" ht="20.100000000000001" customHeight="1" thickBot="1" x14ac:dyDescent="0.5">
      <c r="A819" s="435">
        <v>46154</v>
      </c>
      <c r="B819" s="153" t="s">
        <v>295</v>
      </c>
      <c r="C819" s="154" t="s">
        <v>69</v>
      </c>
      <c r="D819" s="160" t="s">
        <v>204</v>
      </c>
      <c r="E819" s="181">
        <v>16</v>
      </c>
      <c r="F819" s="457">
        <v>16</v>
      </c>
      <c r="G819" s="166"/>
      <c r="H819" s="169">
        <f t="shared" si="37"/>
        <v>0</v>
      </c>
      <c r="I819" s="174"/>
      <c r="J819" s="172"/>
      <c r="K819" s="154"/>
      <c r="L819" s="154"/>
      <c r="M819" s="160" t="str">
        <f t="shared" si="36"/>
        <v>шт</v>
      </c>
      <c r="N819" s="599">
        <f t="shared" si="38"/>
        <v>1</v>
      </c>
      <c r="O819" s="177"/>
      <c r="P819" s="423">
        <f>IF(A819&lt;&gt;"", Снабжения!H819 / VLOOKUP(A819, 'Курс валют'!$A:$D, 4, 0), "")</f>
        <v>0</v>
      </c>
    </row>
    <row r="820" spans="1:16" ht="20.100000000000001" customHeight="1" thickBot="1" x14ac:dyDescent="0.5">
      <c r="A820" s="435">
        <v>46154</v>
      </c>
      <c r="B820" s="153" t="s">
        <v>308</v>
      </c>
      <c r="C820" s="154" t="s">
        <v>69</v>
      </c>
      <c r="D820" s="160" t="s">
        <v>204</v>
      </c>
      <c r="E820" s="181">
        <v>4</v>
      </c>
      <c r="F820" s="457">
        <v>4</v>
      </c>
      <c r="G820" s="166"/>
      <c r="H820" s="169">
        <f t="shared" si="37"/>
        <v>0</v>
      </c>
      <c r="I820" s="174"/>
      <c r="J820" s="172"/>
      <c r="K820" s="154"/>
      <c r="L820" s="154"/>
      <c r="M820" s="160" t="str">
        <f t="shared" si="36"/>
        <v>шт</v>
      </c>
      <c r="N820" s="599">
        <f t="shared" si="38"/>
        <v>0</v>
      </c>
      <c r="O820" s="177"/>
      <c r="P820" s="423">
        <f>IF(A820&lt;&gt;"", Снабжения!H820 / VLOOKUP(A820, 'Курс валют'!$A:$D, 4, 0), "")</f>
        <v>0</v>
      </c>
    </row>
    <row r="821" spans="1:16" ht="20.100000000000001" customHeight="1" thickBot="1" x14ac:dyDescent="0.5">
      <c r="A821" s="435">
        <v>46154</v>
      </c>
      <c r="B821" s="153" t="s">
        <v>253</v>
      </c>
      <c r="C821" s="154" t="s">
        <v>69</v>
      </c>
      <c r="D821" s="160" t="s">
        <v>204</v>
      </c>
      <c r="E821" s="181">
        <v>5</v>
      </c>
      <c r="F821" s="457">
        <v>5</v>
      </c>
      <c r="G821" s="166"/>
      <c r="H821" s="169">
        <f t="shared" si="37"/>
        <v>0</v>
      </c>
      <c r="I821" s="174"/>
      <c r="J821" s="172"/>
      <c r="K821" s="154"/>
      <c r="L821" s="154"/>
      <c r="M821" s="160" t="str">
        <f t="shared" si="36"/>
        <v>шт</v>
      </c>
      <c r="N821" s="599">
        <f t="shared" si="38"/>
        <v>8</v>
      </c>
      <c r="O821" s="177"/>
      <c r="P821" s="423">
        <f>IF(A821&lt;&gt;"", Снабжения!H821 / VLOOKUP(A821, 'Курс валют'!$A:$D, 4, 0), "")</f>
        <v>0</v>
      </c>
    </row>
    <row r="822" spans="1:16" ht="20.100000000000001" customHeight="1" thickBot="1" x14ac:dyDescent="0.5">
      <c r="A822" s="435">
        <v>46154</v>
      </c>
      <c r="B822" s="153" t="s">
        <v>309</v>
      </c>
      <c r="C822" s="154" t="s">
        <v>69</v>
      </c>
      <c r="D822" s="160" t="s">
        <v>204</v>
      </c>
      <c r="E822" s="181">
        <v>50</v>
      </c>
      <c r="F822" s="457">
        <v>50</v>
      </c>
      <c r="G822" s="166"/>
      <c r="H822" s="169">
        <f t="shared" si="37"/>
        <v>0</v>
      </c>
      <c r="I822" s="174"/>
      <c r="J822" s="172"/>
      <c r="K822" s="154"/>
      <c r="L822" s="154"/>
      <c r="M822" s="160" t="str">
        <f t="shared" si="36"/>
        <v>шт</v>
      </c>
      <c r="N822" s="599">
        <f t="shared" si="38"/>
        <v>0</v>
      </c>
      <c r="O822" s="177"/>
      <c r="P822" s="423">
        <f>IF(A822&lt;&gt;"", Снабжения!H822 / VLOOKUP(A822, 'Курс валют'!$A:$D, 4, 0), "")</f>
        <v>0</v>
      </c>
    </row>
    <row r="823" spans="1:16" ht="20.100000000000001" customHeight="1" thickBot="1" x14ac:dyDescent="0.5">
      <c r="A823" s="435">
        <v>46154</v>
      </c>
      <c r="B823" s="153" t="s">
        <v>310</v>
      </c>
      <c r="C823" s="154" t="s">
        <v>69</v>
      </c>
      <c r="D823" s="160" t="s">
        <v>204</v>
      </c>
      <c r="E823" s="181">
        <v>3</v>
      </c>
      <c r="F823" s="457">
        <v>3</v>
      </c>
      <c r="G823" s="166"/>
      <c r="H823" s="169">
        <f t="shared" si="37"/>
        <v>0</v>
      </c>
      <c r="I823" s="174"/>
      <c r="J823" s="172"/>
      <c r="K823" s="154"/>
      <c r="L823" s="154"/>
      <c r="M823" s="160" t="str">
        <f t="shared" si="36"/>
        <v>шт</v>
      </c>
      <c r="N823" s="599">
        <f t="shared" si="38"/>
        <v>0</v>
      </c>
      <c r="O823" s="177"/>
      <c r="P823" s="423">
        <f>IF(A823&lt;&gt;"", Снабжения!H823 / VLOOKUP(A823, 'Курс валют'!$A:$D, 4, 0), "")</f>
        <v>0</v>
      </c>
    </row>
    <row r="824" spans="1:16" ht="20.100000000000001" customHeight="1" thickBot="1" x14ac:dyDescent="0.5">
      <c r="A824" s="435">
        <v>46154</v>
      </c>
      <c r="B824" s="153" t="s">
        <v>311</v>
      </c>
      <c r="C824" s="154" t="s">
        <v>69</v>
      </c>
      <c r="D824" s="160" t="s">
        <v>204</v>
      </c>
      <c r="E824" s="181">
        <v>4</v>
      </c>
      <c r="F824" s="457">
        <v>4</v>
      </c>
      <c r="G824" s="166"/>
      <c r="H824" s="169">
        <f t="shared" si="37"/>
        <v>0</v>
      </c>
      <c r="I824" s="174"/>
      <c r="J824" s="172"/>
      <c r="K824" s="154"/>
      <c r="L824" s="154"/>
      <c r="M824" s="160" t="str">
        <f t="shared" si="36"/>
        <v>шт</v>
      </c>
      <c r="N824" s="599">
        <f t="shared" si="38"/>
        <v>0</v>
      </c>
      <c r="O824" s="177"/>
      <c r="P824" s="423">
        <f>IF(A824&lt;&gt;"", Снабжения!H824 / VLOOKUP(A824, 'Курс валют'!$A:$D, 4, 0), "")</f>
        <v>0</v>
      </c>
    </row>
    <row r="825" spans="1:16" ht="20.100000000000001" customHeight="1" thickBot="1" x14ac:dyDescent="0.5">
      <c r="A825" s="436">
        <v>46155</v>
      </c>
      <c r="B825" s="153" t="s">
        <v>228</v>
      </c>
      <c r="C825" s="154" t="s">
        <v>59</v>
      </c>
      <c r="D825" s="160" t="s">
        <v>187</v>
      </c>
      <c r="E825" s="181"/>
      <c r="F825" s="457">
        <v>125</v>
      </c>
      <c r="G825" s="166"/>
      <c r="H825" s="169">
        <f t="shared" si="37"/>
        <v>0</v>
      </c>
      <c r="I825" s="174"/>
      <c r="J825" s="172"/>
      <c r="K825" s="154"/>
      <c r="L825" s="154"/>
      <c r="M825" s="160"/>
      <c r="N825" s="599">
        <f t="shared" si="38"/>
        <v>125</v>
      </c>
      <c r="O825" s="177"/>
      <c r="P825" s="423">
        <f>IF(A825&lt;&gt;"", Снабжения!H825 / VLOOKUP(A825, 'Курс валют'!$A:$D, 4, 0), "")</f>
        <v>0</v>
      </c>
    </row>
    <row r="826" spans="1:16" ht="20.100000000000001" customHeight="1" thickBot="1" x14ac:dyDescent="0.5">
      <c r="A826" s="436">
        <v>46155</v>
      </c>
      <c r="B826" s="153" t="s">
        <v>283</v>
      </c>
      <c r="C826" s="154" t="s">
        <v>127</v>
      </c>
      <c r="D826" s="160" t="s">
        <v>220</v>
      </c>
      <c r="E826" s="181"/>
      <c r="F826" s="457">
        <v>1</v>
      </c>
      <c r="G826" s="166"/>
      <c r="H826" s="169">
        <f t="shared" si="37"/>
        <v>0</v>
      </c>
      <c r="I826" s="174"/>
      <c r="J826" s="172"/>
      <c r="K826" s="154"/>
      <c r="L826" s="154"/>
      <c r="M826" s="160"/>
      <c r="N826" s="599">
        <f t="shared" si="38"/>
        <v>18</v>
      </c>
      <c r="O826" s="177"/>
      <c r="P826" s="423">
        <f>IF(A826&lt;&gt;"", Снабжения!H826 / VLOOKUP(A826, 'Курс валют'!$A:$D, 4, 0), "")</f>
        <v>0</v>
      </c>
    </row>
    <row r="827" spans="1:16" ht="20.100000000000001" customHeight="1" thickBot="1" x14ac:dyDescent="0.5">
      <c r="A827" s="436">
        <v>46155</v>
      </c>
      <c r="B827" s="153" t="s">
        <v>296</v>
      </c>
      <c r="C827" s="154" t="s">
        <v>127</v>
      </c>
      <c r="D827" s="160" t="s">
        <v>220</v>
      </c>
      <c r="E827" s="181"/>
      <c r="F827" s="457">
        <v>1</v>
      </c>
      <c r="G827" s="166"/>
      <c r="H827" s="169">
        <f t="shared" si="37"/>
        <v>0</v>
      </c>
      <c r="I827" s="174"/>
      <c r="J827" s="172"/>
      <c r="K827" s="154"/>
      <c r="L827" s="154"/>
      <c r="M827" s="160"/>
      <c r="N827" s="599">
        <f t="shared" si="38"/>
        <v>20</v>
      </c>
      <c r="O827" s="177"/>
      <c r="P827" s="423">
        <f>IF(A827&lt;&gt;"", Снабжения!H827 / VLOOKUP(A827, 'Курс валют'!$A:$D, 4, 0), "")</f>
        <v>0</v>
      </c>
    </row>
    <row r="828" spans="1:16" ht="20.100000000000001" customHeight="1" thickBot="1" x14ac:dyDescent="0.5">
      <c r="A828" s="436">
        <v>46155</v>
      </c>
      <c r="B828" s="153" t="s">
        <v>189</v>
      </c>
      <c r="C828" s="154" t="s">
        <v>69</v>
      </c>
      <c r="D828" s="160" t="s">
        <v>220</v>
      </c>
      <c r="E828" s="181"/>
      <c r="F828" s="457">
        <v>5</v>
      </c>
      <c r="G828" s="166"/>
      <c r="H828" s="169">
        <f t="shared" si="37"/>
        <v>0</v>
      </c>
      <c r="I828" s="174"/>
      <c r="J828" s="172"/>
      <c r="K828" s="154"/>
      <c r="L828" s="154"/>
      <c r="M828" s="160"/>
      <c r="N828" s="599">
        <f t="shared" si="38"/>
        <v>309</v>
      </c>
      <c r="O828" s="177"/>
      <c r="P828" s="423">
        <f>IF(A828&lt;&gt;"", Снабжения!H828 / VLOOKUP(A828, 'Курс валют'!$A:$D, 4, 0), "")</f>
        <v>0</v>
      </c>
    </row>
    <row r="829" spans="1:16" ht="20.100000000000001" customHeight="1" thickBot="1" x14ac:dyDescent="0.5">
      <c r="A829" s="436">
        <v>46155</v>
      </c>
      <c r="B829" s="153" t="s">
        <v>259</v>
      </c>
      <c r="C829" s="154" t="s">
        <v>62</v>
      </c>
      <c r="D829" s="160" t="s">
        <v>220</v>
      </c>
      <c r="E829" s="181"/>
      <c r="F829" s="457">
        <v>320</v>
      </c>
      <c r="G829" s="166"/>
      <c r="H829" s="169">
        <f t="shared" si="37"/>
        <v>0</v>
      </c>
      <c r="I829" s="174"/>
      <c r="J829" s="172"/>
      <c r="K829" s="154"/>
      <c r="L829" s="154"/>
      <c r="M829" s="160"/>
      <c r="N829" s="599">
        <f t="shared" si="38"/>
        <v>40</v>
      </c>
      <c r="O829" s="177"/>
      <c r="P829" s="423">
        <f>IF(A829&lt;&gt;"", Снабжения!H829 / VLOOKUP(A829, 'Курс валют'!$A:$D, 4, 0), "")</f>
        <v>0</v>
      </c>
    </row>
    <row r="830" spans="1:16" ht="20.100000000000001" customHeight="1" thickBot="1" x14ac:dyDescent="0.5">
      <c r="A830" s="436">
        <v>46156</v>
      </c>
      <c r="B830" s="153" t="s">
        <v>189</v>
      </c>
      <c r="C830" s="154" t="s">
        <v>69</v>
      </c>
      <c r="D830" s="160" t="s">
        <v>220</v>
      </c>
      <c r="E830" s="181"/>
      <c r="F830" s="457">
        <v>7</v>
      </c>
      <c r="G830" s="166"/>
      <c r="H830" s="169">
        <f t="shared" si="37"/>
        <v>0</v>
      </c>
      <c r="I830" s="174"/>
      <c r="J830" s="172"/>
      <c r="K830" s="154"/>
      <c r="L830" s="154"/>
      <c r="M830" s="160"/>
      <c r="N830" s="599">
        <f t="shared" si="38"/>
        <v>309</v>
      </c>
      <c r="O830" s="177"/>
      <c r="P830" s="423">
        <f>IF(A830&lt;&gt;"", Снабжения!H830 / VLOOKUP(A830, 'Курс валют'!$A:$D, 4, 0), "")</f>
        <v>0</v>
      </c>
    </row>
    <row r="831" spans="1:16" ht="20.100000000000001" customHeight="1" thickBot="1" x14ac:dyDescent="0.5">
      <c r="A831" s="436">
        <v>46156</v>
      </c>
      <c r="B831" s="153" t="s">
        <v>186</v>
      </c>
      <c r="C831" s="154" t="s">
        <v>59</v>
      </c>
      <c r="D831" s="160" t="s">
        <v>187</v>
      </c>
      <c r="E831" s="181"/>
      <c r="F831" s="457">
        <v>20</v>
      </c>
      <c r="G831" s="166"/>
      <c r="H831" s="169">
        <f t="shared" si="37"/>
        <v>0</v>
      </c>
      <c r="I831" s="174"/>
      <c r="J831" s="172"/>
      <c r="K831" s="154"/>
      <c r="L831" s="154"/>
      <c r="M831" s="160"/>
      <c r="N831" s="599">
        <f t="shared" si="38"/>
        <v>40</v>
      </c>
      <c r="O831" s="177"/>
      <c r="P831" s="423">
        <f>IF(A831&lt;&gt;"", Снабжения!H831 / VLOOKUP(A831, 'Курс валют'!$A:$D, 4, 0), "")</f>
        <v>0</v>
      </c>
    </row>
    <row r="832" spans="1:16" ht="20.100000000000001" customHeight="1" thickBot="1" x14ac:dyDescent="0.5">
      <c r="A832" s="436">
        <v>46156</v>
      </c>
      <c r="B832" s="153" t="s">
        <v>188</v>
      </c>
      <c r="C832" s="154" t="s">
        <v>59</v>
      </c>
      <c r="D832" s="160" t="s">
        <v>187</v>
      </c>
      <c r="E832" s="181"/>
      <c r="F832" s="457">
        <v>20</v>
      </c>
      <c r="G832" s="166"/>
      <c r="H832" s="169">
        <f t="shared" si="37"/>
        <v>0</v>
      </c>
      <c r="I832" s="174"/>
      <c r="J832" s="172"/>
      <c r="K832" s="154"/>
      <c r="L832" s="154"/>
      <c r="M832" s="160"/>
      <c r="N832" s="599">
        <f t="shared" si="38"/>
        <v>20</v>
      </c>
      <c r="O832" s="177"/>
      <c r="P832" s="423">
        <f>IF(A832&lt;&gt;"", Снабжения!H832 / VLOOKUP(A832, 'Курс валют'!$A:$D, 4, 0), "")</f>
        <v>0</v>
      </c>
    </row>
    <row r="833" spans="1:16" ht="20.100000000000001" customHeight="1" thickBot="1" x14ac:dyDescent="0.5">
      <c r="A833" s="436">
        <v>46156</v>
      </c>
      <c r="B833" s="153" t="s">
        <v>208</v>
      </c>
      <c r="C833" s="154" t="s">
        <v>69</v>
      </c>
      <c r="D833" s="160" t="s">
        <v>220</v>
      </c>
      <c r="E833" s="181"/>
      <c r="F833" s="457">
        <v>1</v>
      </c>
      <c r="G833" s="166"/>
      <c r="H833" s="169">
        <f t="shared" si="37"/>
        <v>0</v>
      </c>
      <c r="I833" s="174"/>
      <c r="J833" s="172"/>
      <c r="K833" s="154"/>
      <c r="L833" s="154"/>
      <c r="M833" s="160"/>
      <c r="N833" s="599">
        <f t="shared" si="38"/>
        <v>10</v>
      </c>
      <c r="O833" s="177"/>
      <c r="P833" s="423">
        <f>IF(A833&lt;&gt;"", Снабжения!H833 / VLOOKUP(A833, 'Курс валют'!$A:$D, 4, 0), "")</f>
        <v>0</v>
      </c>
    </row>
    <row r="834" spans="1:16" ht="20.100000000000001" customHeight="1" thickBot="1" x14ac:dyDescent="0.5">
      <c r="A834" s="436">
        <v>46156</v>
      </c>
      <c r="B834" s="153" t="s">
        <v>209</v>
      </c>
      <c r="C834" s="154" t="s">
        <v>69</v>
      </c>
      <c r="D834" s="153"/>
      <c r="E834" s="181"/>
      <c r="F834" s="457"/>
      <c r="G834" s="166"/>
      <c r="H834" s="169">
        <f t="shared" si="37"/>
        <v>0</v>
      </c>
      <c r="I834" s="174"/>
      <c r="J834" s="172"/>
      <c r="K834" s="154"/>
      <c r="L834" s="154"/>
      <c r="M834" s="160"/>
      <c r="N834" s="599">
        <f t="shared" si="38"/>
        <v>128</v>
      </c>
      <c r="O834" s="177"/>
      <c r="P834" s="423">
        <f>IF(A834&lt;&gt;"", Снабжения!H834 / VLOOKUP(A834, 'Курс валют'!$A:$D, 4, 0), "")</f>
        <v>0</v>
      </c>
    </row>
    <row r="835" spans="1:16" ht="20.100000000000001" customHeight="1" thickBot="1" x14ac:dyDescent="0.5">
      <c r="A835" s="436">
        <v>46156</v>
      </c>
      <c r="B835" s="153" t="s">
        <v>283</v>
      </c>
      <c r="C835" s="154" t="s">
        <v>127</v>
      </c>
      <c r="D835" s="153"/>
      <c r="E835" s="181"/>
      <c r="F835" s="457"/>
      <c r="G835" s="166"/>
      <c r="H835" s="169">
        <f t="shared" si="37"/>
        <v>0</v>
      </c>
      <c r="I835" s="174"/>
      <c r="J835" s="172"/>
      <c r="K835" s="154"/>
      <c r="L835" s="154"/>
      <c r="M835" s="160"/>
      <c r="N835" s="599">
        <f t="shared" si="38"/>
        <v>18</v>
      </c>
      <c r="O835" s="177"/>
      <c r="P835" s="423">
        <f>IF(A835&lt;&gt;"", Снабжения!H835 / VLOOKUP(A835, 'Курс валют'!$A:$D, 4, 0), "")</f>
        <v>0</v>
      </c>
    </row>
    <row r="836" spans="1:16" ht="20.100000000000001" customHeight="1" thickBot="1" x14ac:dyDescent="0.5">
      <c r="A836" s="436">
        <v>46156</v>
      </c>
      <c r="B836" s="153" t="s">
        <v>296</v>
      </c>
      <c r="C836" s="154" t="s">
        <v>127</v>
      </c>
      <c r="D836" s="160" t="s">
        <v>220</v>
      </c>
      <c r="E836" s="181"/>
      <c r="F836" s="457">
        <v>1</v>
      </c>
      <c r="G836" s="166"/>
      <c r="H836" s="169">
        <f t="shared" si="37"/>
        <v>0</v>
      </c>
      <c r="I836" s="174"/>
      <c r="J836" s="172"/>
      <c r="K836" s="154"/>
      <c r="L836" s="154"/>
      <c r="M836" s="160"/>
      <c r="N836" s="599">
        <f t="shared" si="38"/>
        <v>20</v>
      </c>
      <c r="O836" s="177"/>
      <c r="P836" s="423">
        <f>IF(A836&lt;&gt;"", Снабжения!H836 / VLOOKUP(A836, 'Курс валют'!$A:$D, 4, 0), "")</f>
        <v>0</v>
      </c>
    </row>
    <row r="837" spans="1:16" ht="20.100000000000001" customHeight="1" thickBot="1" x14ac:dyDescent="0.5">
      <c r="A837" s="436">
        <v>46156</v>
      </c>
      <c r="B837" s="153" t="s">
        <v>228</v>
      </c>
      <c r="C837" s="154" t="s">
        <v>59</v>
      </c>
      <c r="D837" s="160" t="s">
        <v>187</v>
      </c>
      <c r="E837" s="181"/>
      <c r="F837" s="457">
        <v>100</v>
      </c>
      <c r="G837" s="166"/>
      <c r="H837" s="169">
        <f t="shared" si="37"/>
        <v>0</v>
      </c>
      <c r="I837" s="174"/>
      <c r="J837" s="172"/>
      <c r="K837" s="154"/>
      <c r="L837" s="154"/>
      <c r="M837" s="160"/>
      <c r="N837" s="599">
        <f t="shared" si="38"/>
        <v>125</v>
      </c>
      <c r="O837" s="177"/>
      <c r="P837" s="423">
        <f>IF(A837&lt;&gt;"", Снабжения!H837 / VLOOKUP(A837, 'Курс валют'!$A:$D, 4, 0), "")</f>
        <v>0</v>
      </c>
    </row>
    <row r="838" spans="1:16" ht="20.100000000000001" customHeight="1" thickBot="1" x14ac:dyDescent="0.5">
      <c r="A838" s="436">
        <v>46156</v>
      </c>
      <c r="B838" s="153" t="s">
        <v>210</v>
      </c>
      <c r="C838" s="154" t="s">
        <v>69</v>
      </c>
      <c r="D838" s="160" t="s">
        <v>220</v>
      </c>
      <c r="E838" s="181"/>
      <c r="F838" s="457">
        <v>45</v>
      </c>
      <c r="G838" s="166"/>
      <c r="H838" s="169">
        <f t="shared" si="37"/>
        <v>0</v>
      </c>
      <c r="I838" s="174"/>
      <c r="J838" s="172"/>
      <c r="K838" s="154"/>
      <c r="L838" s="154"/>
      <c r="M838" s="160"/>
      <c r="N838" s="599">
        <f t="shared" si="38"/>
        <v>405</v>
      </c>
      <c r="O838" s="177"/>
      <c r="P838" s="423">
        <f>IF(A838&lt;&gt;"", Снабжения!H838 / VLOOKUP(A838, 'Курс валют'!$A:$D, 4, 0), "")</f>
        <v>0</v>
      </c>
    </row>
    <row r="839" spans="1:16" s="446" customFormat="1" ht="20.100000000000001" customHeight="1" x14ac:dyDescent="0.45">
      <c r="A839" s="437">
        <v>46156</v>
      </c>
      <c r="B839" s="438" t="s">
        <v>271</v>
      </c>
      <c r="C839" s="439" t="s">
        <v>69</v>
      </c>
      <c r="D839" s="440" t="s">
        <v>220</v>
      </c>
      <c r="E839" s="441"/>
      <c r="F839" s="461">
        <v>6</v>
      </c>
      <c r="G839" s="442"/>
      <c r="H839" s="169">
        <f t="shared" si="37"/>
        <v>0</v>
      </c>
      <c r="I839" s="443"/>
      <c r="J839" s="444"/>
      <c r="K839" s="439"/>
      <c r="L839" s="439"/>
      <c r="M839" s="440"/>
      <c r="N839" s="600">
        <f t="shared" si="38"/>
        <v>42</v>
      </c>
      <c r="O839" s="445"/>
      <c r="P839" s="423">
        <f>IF(A839&lt;&gt;"", Снабжения!H839 / VLOOKUP(A839, 'Курс валют'!$A:$D, 4, 0), "")</f>
        <v>0</v>
      </c>
    </row>
    <row r="840" spans="1:16" ht="20.100000000000001" customHeight="1" thickBot="1" x14ac:dyDescent="0.5">
      <c r="A840" s="424">
        <v>46157</v>
      </c>
      <c r="B840" s="415" t="s">
        <v>189</v>
      </c>
      <c r="C840" s="416" t="s">
        <v>69</v>
      </c>
      <c r="D840" s="417" t="s">
        <v>220</v>
      </c>
      <c r="E840" s="418"/>
      <c r="F840" s="462">
        <v>37</v>
      </c>
      <c r="G840" s="419"/>
      <c r="H840" s="169">
        <f t="shared" si="37"/>
        <v>0</v>
      </c>
      <c r="I840" s="420"/>
      <c r="J840" s="421"/>
      <c r="K840" s="416"/>
      <c r="L840" s="416"/>
      <c r="M840" s="417"/>
      <c r="N840" s="601">
        <f t="shared" si="38"/>
        <v>309</v>
      </c>
      <c r="O840" s="422"/>
      <c r="P840" s="423">
        <f>IF(A840&lt;&gt;"", Снабжения!H840 / VLOOKUP(A840, 'Курс валют'!$A:$D, 4, 0), "")</f>
        <v>0</v>
      </c>
    </row>
    <row r="841" spans="1:16" ht="20.100000000000001" customHeight="1" thickBot="1" x14ac:dyDescent="0.5">
      <c r="A841" s="424">
        <v>46157</v>
      </c>
      <c r="B841" s="153" t="s">
        <v>228</v>
      </c>
      <c r="C841" s="154" t="s">
        <v>59</v>
      </c>
      <c r="D841" s="160" t="s">
        <v>187</v>
      </c>
      <c r="E841" s="181"/>
      <c r="F841" s="457">
        <v>150</v>
      </c>
      <c r="G841" s="166"/>
      <c r="H841" s="169">
        <f t="shared" si="37"/>
        <v>0</v>
      </c>
      <c r="I841" s="174"/>
      <c r="J841" s="172"/>
      <c r="K841" s="154"/>
      <c r="L841" s="154"/>
      <c r="M841" s="160"/>
      <c r="N841" s="599">
        <f t="shared" si="38"/>
        <v>125</v>
      </c>
      <c r="O841" s="177"/>
      <c r="P841" s="423">
        <f>IF(A841&lt;&gt;"", Снабжения!H841 / VLOOKUP(A841, 'Курс валют'!$A:$D, 4, 0), "")</f>
        <v>0</v>
      </c>
    </row>
    <row r="842" spans="1:16" ht="20.100000000000001" customHeight="1" thickBot="1" x14ac:dyDescent="0.5">
      <c r="A842" s="424">
        <v>46157</v>
      </c>
      <c r="B842" s="153" t="s">
        <v>283</v>
      </c>
      <c r="C842" s="154" t="s">
        <v>127</v>
      </c>
      <c r="D842" s="160" t="s">
        <v>220</v>
      </c>
      <c r="E842" s="181"/>
      <c r="F842" s="457">
        <v>1</v>
      </c>
      <c r="G842" s="166"/>
      <c r="H842" s="169">
        <f t="shared" si="37"/>
        <v>0</v>
      </c>
      <c r="I842" s="174"/>
      <c r="J842" s="172"/>
      <c r="K842" s="154"/>
      <c r="L842" s="154"/>
      <c r="M842" s="160"/>
      <c r="N842" s="599">
        <f t="shared" si="38"/>
        <v>18</v>
      </c>
      <c r="O842" s="177"/>
      <c r="P842" s="423">
        <f>IF(A842&lt;&gt;"", Снабжения!H842 / VLOOKUP(A842, 'Курс валют'!$A:$D, 4, 0), "")</f>
        <v>0</v>
      </c>
    </row>
    <row r="843" spans="1:16" ht="20.100000000000001" customHeight="1" thickBot="1" x14ac:dyDescent="0.5">
      <c r="A843" s="424">
        <v>46157</v>
      </c>
      <c r="B843" s="153" t="s">
        <v>254</v>
      </c>
      <c r="C843" s="154" t="s">
        <v>69</v>
      </c>
      <c r="D843" s="160" t="s">
        <v>220</v>
      </c>
      <c r="E843" s="181"/>
      <c r="F843" s="457">
        <v>12</v>
      </c>
      <c r="G843" s="166"/>
      <c r="H843" s="169">
        <f t="shared" si="37"/>
        <v>0</v>
      </c>
      <c r="I843" s="174"/>
      <c r="J843" s="172"/>
      <c r="K843" s="154"/>
      <c r="L843" s="154"/>
      <c r="M843" s="160"/>
      <c r="N843" s="599">
        <f t="shared" si="38"/>
        <v>33</v>
      </c>
      <c r="O843" s="177"/>
      <c r="P843" s="423">
        <f>IF(A843&lt;&gt;"", Снабжения!H843 / VLOOKUP(A843, 'Курс валют'!$A:$D, 4, 0), "")</f>
        <v>0</v>
      </c>
    </row>
    <row r="844" spans="1:16" ht="20.100000000000001" customHeight="1" thickBot="1" x14ac:dyDescent="0.5">
      <c r="A844" s="157">
        <v>46158</v>
      </c>
      <c r="B844" s="447" t="s">
        <v>186</v>
      </c>
      <c r="C844" s="451" t="s">
        <v>59</v>
      </c>
      <c r="D844" s="452" t="s">
        <v>187</v>
      </c>
      <c r="E844" s="181"/>
      <c r="F844" s="457">
        <v>20</v>
      </c>
      <c r="G844" s="166"/>
      <c r="H844" s="169">
        <f t="shared" si="37"/>
        <v>0</v>
      </c>
      <c r="I844" s="174"/>
      <c r="J844" s="172"/>
      <c r="K844" s="154"/>
      <c r="L844" s="154"/>
      <c r="M844" s="160"/>
      <c r="N844" s="599">
        <f t="shared" si="38"/>
        <v>40</v>
      </c>
      <c r="O844" s="177"/>
      <c r="P844" s="423">
        <f>IF(A844&lt;&gt;"", Снабжения!H844 / VLOOKUP(A844, 'Курс валют'!$A:$D, 4, 0), "")</f>
        <v>0</v>
      </c>
    </row>
    <row r="845" spans="1:16" ht="20.100000000000001" customHeight="1" thickBot="1" x14ac:dyDescent="0.5">
      <c r="A845" s="157">
        <v>46158</v>
      </c>
      <c r="B845" s="448" t="s">
        <v>188</v>
      </c>
      <c r="C845" s="449" t="s">
        <v>59</v>
      </c>
      <c r="D845" s="450" t="s">
        <v>187</v>
      </c>
      <c r="E845" s="181"/>
      <c r="F845" s="457">
        <v>20</v>
      </c>
      <c r="G845" s="166"/>
      <c r="H845" s="169">
        <f t="shared" si="37"/>
        <v>0</v>
      </c>
      <c r="I845" s="174"/>
      <c r="J845" s="172"/>
      <c r="K845" s="154"/>
      <c r="L845" s="154"/>
      <c r="M845" s="160"/>
      <c r="N845" s="599">
        <f t="shared" si="38"/>
        <v>20</v>
      </c>
      <c r="O845" s="177"/>
      <c r="P845" s="423">
        <f>IF(A845&lt;&gt;"", Снабжения!H845 / VLOOKUP(A845, 'Курс валют'!$A:$D, 4, 0), "")</f>
        <v>0</v>
      </c>
    </row>
    <row r="846" spans="1:16" ht="20.100000000000001" customHeight="1" thickBot="1" x14ac:dyDescent="0.5">
      <c r="A846" s="157">
        <v>46158</v>
      </c>
      <c r="B846" s="153" t="s">
        <v>190</v>
      </c>
      <c r="C846" s="154" t="s">
        <v>59</v>
      </c>
      <c r="D846" s="160" t="s">
        <v>187</v>
      </c>
      <c r="E846" s="181"/>
      <c r="F846" s="457">
        <v>20</v>
      </c>
      <c r="G846" s="166"/>
      <c r="H846" s="169">
        <f t="shared" ref="H846:H900" si="39">G846*E846</f>
        <v>0</v>
      </c>
      <c r="I846" s="174"/>
      <c r="J846" s="172"/>
      <c r="K846" s="154"/>
      <c r="L846" s="154"/>
      <c r="M846" s="160"/>
      <c r="N846" s="599">
        <f t="shared" si="38"/>
        <v>80</v>
      </c>
      <c r="O846" s="177"/>
      <c r="P846" s="423">
        <f>IF(A846&lt;&gt;"", Снабжения!H846 / VLOOKUP(A846, 'Курс валют'!$A:$D, 4, 0), "")</f>
        <v>0</v>
      </c>
    </row>
    <row r="847" spans="1:16" ht="20.100000000000001" customHeight="1" thickBot="1" x14ac:dyDescent="0.5">
      <c r="A847" s="157">
        <v>46158</v>
      </c>
      <c r="B847" s="153" t="s">
        <v>189</v>
      </c>
      <c r="C847" s="154" t="s">
        <v>69</v>
      </c>
      <c r="D847" s="160" t="s">
        <v>220</v>
      </c>
      <c r="E847" s="181"/>
      <c r="F847" s="457">
        <v>5</v>
      </c>
      <c r="G847" s="166"/>
      <c r="H847" s="169">
        <f t="shared" si="39"/>
        <v>0</v>
      </c>
      <c r="I847" s="174"/>
      <c r="J847" s="172"/>
      <c r="K847" s="154"/>
      <c r="L847" s="154"/>
      <c r="M847" s="160"/>
      <c r="N847" s="599">
        <f t="shared" si="38"/>
        <v>309</v>
      </c>
      <c r="O847" s="177"/>
      <c r="P847" s="423">
        <f>IF(A847&lt;&gt;"", Снабжения!H847 / VLOOKUP(A847, 'Курс валют'!$A:$D, 4, 0), "")</f>
        <v>0</v>
      </c>
    </row>
    <row r="848" spans="1:16" ht="20.100000000000001" customHeight="1" thickBot="1" x14ac:dyDescent="0.5">
      <c r="A848" s="157">
        <v>46158</v>
      </c>
      <c r="B848" s="153" t="s">
        <v>271</v>
      </c>
      <c r="C848" s="154" t="s">
        <v>69</v>
      </c>
      <c r="D848" s="160" t="s">
        <v>220</v>
      </c>
      <c r="E848" s="181"/>
      <c r="F848" s="457">
        <v>5</v>
      </c>
      <c r="G848" s="166"/>
      <c r="H848" s="169">
        <f t="shared" si="39"/>
        <v>0</v>
      </c>
      <c r="I848" s="174"/>
      <c r="J848" s="172"/>
      <c r="K848" s="154"/>
      <c r="L848" s="154"/>
      <c r="M848" s="160"/>
      <c r="N848" s="599">
        <f t="shared" si="38"/>
        <v>42</v>
      </c>
      <c r="O848" s="177"/>
      <c r="P848" s="423">
        <f>IF(A848&lt;&gt;"", Снабжения!H848 / VLOOKUP(A848, 'Курс валют'!$A:$D, 4, 0), "")</f>
        <v>0</v>
      </c>
    </row>
    <row r="849" spans="1:16" ht="20.100000000000001" customHeight="1" thickBot="1" x14ac:dyDescent="0.5">
      <c r="A849" s="157">
        <v>46158</v>
      </c>
      <c r="B849" s="153" t="s">
        <v>223</v>
      </c>
      <c r="C849" s="154" t="s">
        <v>69</v>
      </c>
      <c r="D849" s="160" t="s">
        <v>220</v>
      </c>
      <c r="E849" s="181"/>
      <c r="F849" s="457">
        <v>2</v>
      </c>
      <c r="G849" s="166"/>
      <c r="H849" s="169">
        <f t="shared" si="39"/>
        <v>0</v>
      </c>
      <c r="I849" s="174"/>
      <c r="J849" s="172"/>
      <c r="K849" s="154"/>
      <c r="L849" s="154"/>
      <c r="M849" s="160"/>
      <c r="N849" s="599">
        <f t="shared" si="38"/>
        <v>8</v>
      </c>
      <c r="O849" s="177"/>
      <c r="P849" s="423">
        <f>IF(A849&lt;&gt;"", Снабжения!H849 / VLOOKUP(A849, 'Курс валют'!$A:$D, 4, 0), "")</f>
        <v>0</v>
      </c>
    </row>
    <row r="850" spans="1:16" ht="20.100000000000001" customHeight="1" thickBot="1" x14ac:dyDescent="0.5">
      <c r="A850" s="157">
        <v>46159</v>
      </c>
      <c r="B850" s="153" t="s">
        <v>182</v>
      </c>
      <c r="C850" s="154" t="s">
        <v>69</v>
      </c>
      <c r="D850" s="160" t="s">
        <v>220</v>
      </c>
      <c r="E850" s="181"/>
      <c r="F850" s="457">
        <v>2</v>
      </c>
      <c r="G850" s="166"/>
      <c r="H850" s="169">
        <f t="shared" si="39"/>
        <v>0</v>
      </c>
      <c r="I850" s="174"/>
      <c r="J850" s="172"/>
      <c r="K850" s="154"/>
      <c r="L850" s="154"/>
      <c r="M850" s="160"/>
      <c r="N850" s="599">
        <f t="shared" si="38"/>
        <v>22</v>
      </c>
      <c r="O850" s="177"/>
      <c r="P850" s="423">
        <f>IF(A850&lt;&gt;"", Снабжения!H850 / VLOOKUP(A850, 'Курс валют'!$A:$D, 4, 0), "")</f>
        <v>0</v>
      </c>
    </row>
    <row r="851" spans="1:16" ht="20.100000000000001" customHeight="1" thickBot="1" x14ac:dyDescent="0.5">
      <c r="A851" s="157">
        <v>46159</v>
      </c>
      <c r="B851" s="153" t="s">
        <v>209</v>
      </c>
      <c r="C851" s="154" t="s">
        <v>69</v>
      </c>
      <c r="D851" s="160" t="s">
        <v>220</v>
      </c>
      <c r="E851" s="181"/>
      <c r="F851" s="457">
        <v>6</v>
      </c>
      <c r="G851" s="166"/>
      <c r="H851" s="169">
        <f t="shared" si="39"/>
        <v>0</v>
      </c>
      <c r="I851" s="174"/>
      <c r="J851" s="172"/>
      <c r="K851" s="154"/>
      <c r="L851" s="154"/>
      <c r="M851" s="160"/>
      <c r="N851" s="599">
        <f t="shared" si="38"/>
        <v>128</v>
      </c>
      <c r="O851" s="177"/>
      <c r="P851" s="423">
        <f>IF(A851&lt;&gt;"", Снабжения!H851 / VLOOKUP(A851, 'Курс валют'!$A:$D, 4, 0), "")</f>
        <v>0</v>
      </c>
    </row>
    <row r="852" spans="1:16" ht="20.100000000000001" customHeight="1" thickBot="1" x14ac:dyDescent="0.5">
      <c r="A852" s="157">
        <v>46159</v>
      </c>
      <c r="B852" s="153" t="s">
        <v>189</v>
      </c>
      <c r="C852" s="154" t="s">
        <v>69</v>
      </c>
      <c r="D852" s="160" t="s">
        <v>220</v>
      </c>
      <c r="E852" s="181"/>
      <c r="F852" s="457">
        <v>3</v>
      </c>
      <c r="G852" s="166"/>
      <c r="H852" s="169">
        <f t="shared" si="39"/>
        <v>0</v>
      </c>
      <c r="I852" s="174"/>
      <c r="J852" s="172"/>
      <c r="K852" s="154"/>
      <c r="L852" s="154"/>
      <c r="M852" s="160"/>
      <c r="N852" s="599">
        <f t="shared" si="38"/>
        <v>309</v>
      </c>
      <c r="O852" s="177"/>
      <c r="P852" s="423">
        <f>IF(A852&lt;&gt;"", Снабжения!H852 / VLOOKUP(A852, 'Курс валют'!$A:$D, 4, 0), "")</f>
        <v>0</v>
      </c>
    </row>
    <row r="853" spans="1:16" ht="20.100000000000001" customHeight="1" thickBot="1" x14ac:dyDescent="0.5">
      <c r="A853" s="157">
        <v>46159</v>
      </c>
      <c r="B853" s="153" t="s">
        <v>219</v>
      </c>
      <c r="C853" s="154" t="s">
        <v>59</v>
      </c>
      <c r="D853" s="160" t="s">
        <v>220</v>
      </c>
      <c r="E853" s="181"/>
      <c r="F853" s="457">
        <v>2.5</v>
      </c>
      <c r="G853" s="166"/>
      <c r="H853" s="169">
        <f t="shared" si="39"/>
        <v>0</v>
      </c>
      <c r="I853" s="174"/>
      <c r="J853" s="172"/>
      <c r="K853" s="154"/>
      <c r="L853" s="154"/>
      <c r="M853" s="160"/>
      <c r="N853" s="599">
        <f t="shared" si="38"/>
        <v>41.5</v>
      </c>
      <c r="O853" s="177"/>
      <c r="P853" s="423">
        <f>IF(A853&lt;&gt;"", Снабжения!H853 / VLOOKUP(A853, 'Курс валют'!$A:$D, 4, 0), "")</f>
        <v>0</v>
      </c>
    </row>
    <row r="854" spans="1:16" ht="20.100000000000001" customHeight="1" thickBot="1" x14ac:dyDescent="0.5">
      <c r="A854" s="157">
        <v>46159</v>
      </c>
      <c r="B854" s="153" t="s">
        <v>249</v>
      </c>
      <c r="C854" s="154" t="s">
        <v>69</v>
      </c>
      <c r="D854" s="160" t="s">
        <v>220</v>
      </c>
      <c r="E854" s="181"/>
      <c r="F854" s="457">
        <v>2</v>
      </c>
      <c r="G854" s="166"/>
      <c r="H854" s="169">
        <f t="shared" si="39"/>
        <v>0</v>
      </c>
      <c r="I854" s="174"/>
      <c r="J854" s="172"/>
      <c r="K854" s="154"/>
      <c r="L854" s="154"/>
      <c r="M854" s="160"/>
      <c r="N854" s="599">
        <f t="shared" si="38"/>
        <v>6</v>
      </c>
      <c r="O854" s="177"/>
      <c r="P854" s="423">
        <f>IF(A854&lt;&gt;"", Снабжения!H854 / VLOOKUP(A854, 'Курс валют'!$A:$D, 4, 0), "")</f>
        <v>0</v>
      </c>
    </row>
    <row r="855" spans="1:16" ht="20.100000000000001" customHeight="1" thickBot="1" x14ac:dyDescent="0.5">
      <c r="A855" s="157">
        <v>46160</v>
      </c>
      <c r="B855" s="153" t="s">
        <v>189</v>
      </c>
      <c r="C855" s="154" t="s">
        <v>69</v>
      </c>
      <c r="D855" s="160" t="s">
        <v>220</v>
      </c>
      <c r="E855" s="181"/>
      <c r="F855" s="457">
        <v>40</v>
      </c>
      <c r="G855" s="166"/>
      <c r="H855" s="169">
        <f t="shared" si="39"/>
        <v>0</v>
      </c>
      <c r="I855" s="174"/>
      <c r="J855" s="172"/>
      <c r="K855" s="154"/>
      <c r="L855" s="154"/>
      <c r="M855" s="160"/>
      <c r="N855" s="599">
        <f t="shared" si="38"/>
        <v>309</v>
      </c>
      <c r="O855" s="177"/>
      <c r="P855" s="423">
        <f>IF(A855&lt;&gt;"", Снабжения!H855 / VLOOKUP(A855, 'Курс валют'!$A:$D, 4, 0), "")</f>
        <v>0</v>
      </c>
    </row>
    <row r="856" spans="1:16" ht="20.100000000000001" customHeight="1" thickBot="1" x14ac:dyDescent="0.5">
      <c r="A856" s="157">
        <v>46160</v>
      </c>
      <c r="B856" s="153" t="s">
        <v>263</v>
      </c>
      <c r="C856" s="154" t="s">
        <v>69</v>
      </c>
      <c r="D856" s="160" t="s">
        <v>220</v>
      </c>
      <c r="E856" s="181"/>
      <c r="F856" s="457">
        <v>3</v>
      </c>
      <c r="G856" s="166"/>
      <c r="H856" s="169">
        <f t="shared" si="39"/>
        <v>0</v>
      </c>
      <c r="I856" s="174"/>
      <c r="J856" s="172"/>
      <c r="K856" s="154"/>
      <c r="L856" s="154"/>
      <c r="M856" s="160">
        <v>17</v>
      </c>
      <c r="N856" s="599">
        <f t="shared" si="38"/>
        <v>18</v>
      </c>
      <c r="O856" s="177"/>
      <c r="P856" s="423">
        <f>IF(A856&lt;&gt;"", Снабжения!H856 / VLOOKUP(A856, 'Курс валют'!$A:$D, 4, 0), "")</f>
        <v>0</v>
      </c>
    </row>
    <row r="857" spans="1:16" ht="20.100000000000001" customHeight="1" thickBot="1" x14ac:dyDescent="0.5">
      <c r="A857" s="157">
        <v>46160</v>
      </c>
      <c r="B857" s="153" t="s">
        <v>240</v>
      </c>
      <c r="C857" s="154" t="s">
        <v>69</v>
      </c>
      <c r="D857" s="160" t="s">
        <v>220</v>
      </c>
      <c r="E857" s="181"/>
      <c r="F857" s="457">
        <v>2</v>
      </c>
      <c r="G857" s="166"/>
      <c r="H857" s="169">
        <f t="shared" si="39"/>
        <v>0</v>
      </c>
      <c r="I857" s="174"/>
      <c r="J857" s="172"/>
      <c r="K857" s="154"/>
      <c r="L857" s="154"/>
      <c r="M857" s="160"/>
      <c r="N857" s="599">
        <f t="shared" si="38"/>
        <v>9</v>
      </c>
      <c r="O857" s="177"/>
      <c r="P857" s="423">
        <f>IF(A857&lt;&gt;"", Снабжения!H857 / VLOOKUP(A857, 'Курс валют'!$A:$D, 4, 0), "")</f>
        <v>0</v>
      </c>
    </row>
    <row r="858" spans="1:16" ht="20.100000000000001" customHeight="1" thickBot="1" x14ac:dyDescent="0.5">
      <c r="A858" s="157">
        <v>46160</v>
      </c>
      <c r="B858" s="153" t="s">
        <v>186</v>
      </c>
      <c r="C858" s="154" t="s">
        <v>59</v>
      </c>
      <c r="D858" s="160" t="s">
        <v>187</v>
      </c>
      <c r="E858" s="181"/>
      <c r="F858" s="457">
        <v>20</v>
      </c>
      <c r="G858" s="166"/>
      <c r="H858" s="169">
        <f t="shared" si="39"/>
        <v>0</v>
      </c>
      <c r="I858" s="174"/>
      <c r="J858" s="172"/>
      <c r="K858" s="154"/>
      <c r="L858" s="154"/>
      <c r="M858" s="160"/>
      <c r="N858" s="599">
        <f t="shared" si="38"/>
        <v>40</v>
      </c>
      <c r="O858" s="177"/>
      <c r="P858" s="423">
        <f>IF(A858&lt;&gt;"", Снабжения!H858 / VLOOKUP(A858, 'Курс валют'!$A:$D, 4, 0), "")</f>
        <v>0</v>
      </c>
    </row>
    <row r="859" spans="1:16" ht="20.100000000000001" customHeight="1" thickBot="1" x14ac:dyDescent="0.5">
      <c r="A859" s="157">
        <v>46160</v>
      </c>
      <c r="B859" s="153" t="s">
        <v>188</v>
      </c>
      <c r="C859" s="154" t="s">
        <v>59</v>
      </c>
      <c r="D859" s="160" t="s">
        <v>187</v>
      </c>
      <c r="E859" s="181"/>
      <c r="F859" s="457">
        <v>40</v>
      </c>
      <c r="G859" s="166"/>
      <c r="H859" s="169">
        <f t="shared" si="39"/>
        <v>0</v>
      </c>
      <c r="I859" s="174"/>
      <c r="J859" s="172"/>
      <c r="K859" s="154"/>
      <c r="L859" s="154"/>
      <c r="M859" s="160"/>
      <c r="N859" s="599">
        <f t="shared" si="38"/>
        <v>20</v>
      </c>
      <c r="O859" s="177"/>
      <c r="P859" s="423">
        <f>IF(A859&lt;&gt;"", Снабжения!H859 / VLOOKUP(A859, 'Курс валют'!$A:$D, 4, 0), "")</f>
        <v>0</v>
      </c>
    </row>
    <row r="860" spans="1:16" ht="20.100000000000001" customHeight="1" thickBot="1" x14ac:dyDescent="0.5">
      <c r="A860" s="157">
        <v>46160</v>
      </c>
      <c r="B860" s="153" t="s">
        <v>219</v>
      </c>
      <c r="C860" s="154" t="s">
        <v>59</v>
      </c>
      <c r="D860" s="160" t="s">
        <v>220</v>
      </c>
      <c r="E860" s="181"/>
      <c r="F860" s="457">
        <v>2.5</v>
      </c>
      <c r="G860" s="166"/>
      <c r="H860" s="169">
        <f t="shared" si="39"/>
        <v>0</v>
      </c>
      <c r="I860" s="174"/>
      <c r="J860" s="172"/>
      <c r="K860" s="154"/>
      <c r="L860" s="154"/>
      <c r="M860" s="160"/>
      <c r="N860" s="599">
        <f t="shared" si="38"/>
        <v>41.5</v>
      </c>
      <c r="O860" s="177"/>
      <c r="P860" s="423">
        <f>IF(A860&lt;&gt;"", Снабжения!H860 / VLOOKUP(A860, 'Курс валют'!$A:$D, 4, 0), "")</f>
        <v>0</v>
      </c>
    </row>
    <row r="861" spans="1:16" ht="20.100000000000001" customHeight="1" thickBot="1" x14ac:dyDescent="0.5">
      <c r="A861" s="157">
        <v>46160</v>
      </c>
      <c r="B861" s="153" t="s">
        <v>271</v>
      </c>
      <c r="C861" s="154" t="s">
        <v>69</v>
      </c>
      <c r="D861" s="160" t="s">
        <v>220</v>
      </c>
      <c r="E861" s="181"/>
      <c r="F861" s="457">
        <v>9</v>
      </c>
      <c r="G861" s="166"/>
      <c r="H861" s="169">
        <f t="shared" si="39"/>
        <v>0</v>
      </c>
      <c r="I861" s="174"/>
      <c r="J861" s="172"/>
      <c r="K861" s="154"/>
      <c r="L861" s="154"/>
      <c r="M861" s="160"/>
      <c r="N861" s="599">
        <f t="shared" si="38"/>
        <v>42</v>
      </c>
      <c r="O861" s="177"/>
      <c r="P861" s="423">
        <f>IF(A861&lt;&gt;"", Снабжения!H861 / VLOOKUP(A861, 'Курс валют'!$A:$D, 4, 0), "")</f>
        <v>0</v>
      </c>
    </row>
    <row r="862" spans="1:16" ht="20.100000000000001" customHeight="1" thickBot="1" x14ac:dyDescent="0.5">
      <c r="A862" s="157">
        <v>46160</v>
      </c>
      <c r="B862" s="153" t="s">
        <v>228</v>
      </c>
      <c r="C862" s="154" t="s">
        <v>59</v>
      </c>
      <c r="D862" s="160" t="s">
        <v>187</v>
      </c>
      <c r="E862" s="181"/>
      <c r="F862" s="457">
        <v>100</v>
      </c>
      <c r="G862" s="166"/>
      <c r="H862" s="169">
        <f t="shared" si="39"/>
        <v>0</v>
      </c>
      <c r="I862" s="174"/>
      <c r="J862" s="172"/>
      <c r="K862" s="154"/>
      <c r="L862" s="154"/>
      <c r="M862" s="160"/>
      <c r="N862" s="599">
        <f t="shared" si="38"/>
        <v>125</v>
      </c>
      <c r="O862" s="177"/>
      <c r="P862" s="423">
        <f>IF(A862&lt;&gt;"", Снабжения!H862 / VLOOKUP(A862, 'Курс валют'!$A:$D, 4, 0), "")</f>
        <v>0</v>
      </c>
    </row>
    <row r="863" spans="1:16" ht="20.100000000000001" customHeight="1" thickBot="1" x14ac:dyDescent="0.5">
      <c r="A863" s="157">
        <v>46160</v>
      </c>
      <c r="B863" s="153" t="s">
        <v>257</v>
      </c>
      <c r="C863" s="154" t="s">
        <v>69</v>
      </c>
      <c r="D863" s="160" t="s">
        <v>220</v>
      </c>
      <c r="E863" s="181"/>
      <c r="F863" s="457">
        <v>2</v>
      </c>
      <c r="G863" s="166"/>
      <c r="H863" s="169">
        <f t="shared" si="39"/>
        <v>0</v>
      </c>
      <c r="I863" s="174"/>
      <c r="J863" s="172"/>
      <c r="K863" s="154"/>
      <c r="L863" s="154"/>
      <c r="M863" s="160"/>
      <c r="N863" s="599">
        <f t="shared" si="38"/>
        <v>0</v>
      </c>
      <c r="O863" s="177"/>
      <c r="P863" s="423">
        <f>IF(A863&lt;&gt;"", Снабжения!H863 / VLOOKUP(A863, 'Курс валют'!$A:$D, 4, 0), "")</f>
        <v>0</v>
      </c>
    </row>
    <row r="864" spans="1:16" ht="20.100000000000001" customHeight="1" thickBot="1" x14ac:dyDescent="0.5">
      <c r="A864" s="157">
        <v>46161</v>
      </c>
      <c r="B864" s="153" t="s">
        <v>209</v>
      </c>
      <c r="C864" s="154" t="s">
        <v>69</v>
      </c>
      <c r="D864" s="160" t="s">
        <v>220</v>
      </c>
      <c r="E864" s="181"/>
      <c r="F864" s="457">
        <v>3</v>
      </c>
      <c r="G864" s="166"/>
      <c r="H864" s="169">
        <f t="shared" si="39"/>
        <v>0</v>
      </c>
      <c r="I864" s="174"/>
      <c r="J864" s="172"/>
      <c r="K864" s="154"/>
      <c r="L864" s="154"/>
      <c r="M864" s="160"/>
      <c r="N864" s="599">
        <f t="shared" si="38"/>
        <v>128</v>
      </c>
      <c r="O864" s="177"/>
      <c r="P864" s="423">
        <f>IF(A864&lt;&gt;"", Снабжения!H864 / VLOOKUP(A864, 'Курс валют'!$A:$D, 4, 0), "")</f>
        <v>0</v>
      </c>
    </row>
    <row r="865" spans="1:16" ht="20.100000000000001" customHeight="1" thickBot="1" x14ac:dyDescent="0.5">
      <c r="A865" s="157">
        <v>46161</v>
      </c>
      <c r="B865" s="153" t="s">
        <v>228</v>
      </c>
      <c r="C865" s="154" t="s">
        <v>59</v>
      </c>
      <c r="D865" s="160" t="s">
        <v>187</v>
      </c>
      <c r="E865" s="181"/>
      <c r="F865" s="457">
        <v>100</v>
      </c>
      <c r="G865" s="166"/>
      <c r="H865" s="169">
        <f t="shared" si="39"/>
        <v>0</v>
      </c>
      <c r="I865" s="174"/>
      <c r="J865" s="172"/>
      <c r="K865" s="154"/>
      <c r="L865" s="154"/>
      <c r="M865" s="160"/>
      <c r="N865" s="599">
        <f t="shared" si="38"/>
        <v>125</v>
      </c>
      <c r="O865" s="177"/>
      <c r="P865" s="423">
        <f>IF(A865&lt;&gt;"", Снабжения!H865 / VLOOKUP(A865, 'Курс валют'!$A:$D, 4, 0), "")</f>
        <v>0</v>
      </c>
    </row>
    <row r="866" spans="1:16" ht="20.100000000000001" customHeight="1" thickBot="1" x14ac:dyDescent="0.5">
      <c r="A866" s="157">
        <v>46161</v>
      </c>
      <c r="B866" s="153" t="s">
        <v>271</v>
      </c>
      <c r="C866" s="154" t="s">
        <v>69</v>
      </c>
      <c r="D866" s="160" t="s">
        <v>220</v>
      </c>
      <c r="E866" s="181"/>
      <c r="F866" s="457">
        <v>10</v>
      </c>
      <c r="G866" s="166"/>
      <c r="H866" s="169">
        <f t="shared" si="39"/>
        <v>0</v>
      </c>
      <c r="I866" s="174"/>
      <c r="J866" s="172"/>
      <c r="K866" s="154"/>
      <c r="L866" s="154"/>
      <c r="M866" s="160"/>
      <c r="N866" s="599">
        <f t="shared" si="38"/>
        <v>42</v>
      </c>
      <c r="O866" s="177"/>
      <c r="P866" s="423">
        <f>IF(A866&lt;&gt;"", Снабжения!H866 / VLOOKUP(A866, 'Курс валют'!$A:$D, 4, 0), "")</f>
        <v>0</v>
      </c>
    </row>
    <row r="867" spans="1:16" ht="20.100000000000001" customHeight="1" thickBot="1" x14ac:dyDescent="0.5">
      <c r="A867" s="157">
        <v>46161</v>
      </c>
      <c r="B867" s="153" t="s">
        <v>284</v>
      </c>
      <c r="C867" s="154" t="s">
        <v>69</v>
      </c>
      <c r="D867" s="160" t="s">
        <v>220</v>
      </c>
      <c r="E867" s="181"/>
      <c r="F867" s="457">
        <v>2</v>
      </c>
      <c r="G867" s="166"/>
      <c r="H867" s="169">
        <f t="shared" si="39"/>
        <v>0</v>
      </c>
      <c r="I867" s="174"/>
      <c r="J867" s="172"/>
      <c r="K867" s="154"/>
      <c r="L867" s="154"/>
      <c r="M867" s="160"/>
      <c r="N867" s="599">
        <f t="shared" si="38"/>
        <v>1</v>
      </c>
      <c r="O867" s="177"/>
      <c r="P867" s="423">
        <f>IF(A867&lt;&gt;"", Снабжения!H867 / VLOOKUP(A867, 'Курс валют'!$A:$D, 4, 0), "")</f>
        <v>0</v>
      </c>
    </row>
    <row r="868" spans="1:16" ht="20.100000000000001" customHeight="1" thickBot="1" x14ac:dyDescent="0.5">
      <c r="A868" s="157">
        <v>46161</v>
      </c>
      <c r="B868" s="153" t="s">
        <v>283</v>
      </c>
      <c r="C868" s="154" t="s">
        <v>127</v>
      </c>
      <c r="D868" s="160" t="s">
        <v>220</v>
      </c>
      <c r="E868" s="181"/>
      <c r="F868" s="457">
        <v>1</v>
      </c>
      <c r="G868" s="166"/>
      <c r="H868" s="169">
        <f t="shared" si="39"/>
        <v>0</v>
      </c>
      <c r="I868" s="174"/>
      <c r="J868" s="172"/>
      <c r="K868" s="154"/>
      <c r="L868" s="154"/>
      <c r="M868" s="160"/>
      <c r="N868" s="599">
        <f t="shared" si="38"/>
        <v>18</v>
      </c>
      <c r="O868" s="177"/>
      <c r="P868" s="423">
        <f>IF(A868&lt;&gt;"", Снабжения!H868 / VLOOKUP(A868, 'Курс валют'!$A:$D, 4, 0), "")</f>
        <v>0</v>
      </c>
    </row>
    <row r="869" spans="1:16" ht="20.100000000000001" customHeight="1" thickBot="1" x14ac:dyDescent="0.5">
      <c r="A869" s="157">
        <v>46161</v>
      </c>
      <c r="B869" s="153" t="s">
        <v>186</v>
      </c>
      <c r="C869" s="154" t="s">
        <v>59</v>
      </c>
      <c r="D869" s="160" t="s">
        <v>187</v>
      </c>
      <c r="E869" s="181">
        <v>100</v>
      </c>
      <c r="F869" s="457"/>
      <c r="G869" s="166">
        <v>9688</v>
      </c>
      <c r="H869" s="169">
        <f>G869*E869</f>
        <v>968800</v>
      </c>
      <c r="I869" s="174"/>
      <c r="J869" s="172"/>
      <c r="K869" s="154"/>
      <c r="L869" s="154"/>
      <c r="M869" s="160"/>
      <c r="N869" s="599">
        <f t="shared" si="38"/>
        <v>40</v>
      </c>
      <c r="O869" s="177"/>
      <c r="P869" s="423">
        <f>IF(A869&lt;&gt;"", Снабжения!H869 / VLOOKUP(A869, 'Курс валют'!$A:$D, 4, 0), "")</f>
        <v>80.733333333333334</v>
      </c>
    </row>
    <row r="870" spans="1:16" ht="20.100000000000001" customHeight="1" thickBot="1" x14ac:dyDescent="0.5">
      <c r="A870" s="157">
        <v>46161</v>
      </c>
      <c r="B870" s="153" t="s">
        <v>188</v>
      </c>
      <c r="C870" s="154" t="s">
        <v>59</v>
      </c>
      <c r="D870" s="160" t="s">
        <v>187</v>
      </c>
      <c r="E870" s="181">
        <v>100</v>
      </c>
      <c r="F870" s="457"/>
      <c r="G870" s="166">
        <v>9688</v>
      </c>
      <c r="H870" s="169">
        <f t="shared" si="39"/>
        <v>968800</v>
      </c>
      <c r="I870" s="174"/>
      <c r="J870" s="172"/>
      <c r="K870" s="154"/>
      <c r="L870" s="154"/>
      <c r="M870" s="160"/>
      <c r="N870" s="599">
        <f t="shared" si="38"/>
        <v>20</v>
      </c>
      <c r="O870" s="177"/>
      <c r="P870" s="423">
        <f>IF(A870&lt;&gt;"", Снабжения!H870 / VLOOKUP(A870, 'Курс валют'!$A:$D, 4, 0), "")</f>
        <v>80.733333333333334</v>
      </c>
    </row>
    <row r="871" spans="1:16" ht="20.100000000000001" customHeight="1" thickBot="1" x14ac:dyDescent="0.5">
      <c r="A871" s="157">
        <v>46161</v>
      </c>
      <c r="B871" s="153" t="s">
        <v>849</v>
      </c>
      <c r="C871" s="154" t="s">
        <v>69</v>
      </c>
      <c r="D871" s="160" t="s">
        <v>177</v>
      </c>
      <c r="E871" s="181">
        <v>20</v>
      </c>
      <c r="F871" s="457"/>
      <c r="G871" s="166">
        <v>23000</v>
      </c>
      <c r="H871" s="169">
        <f t="shared" si="39"/>
        <v>460000</v>
      </c>
      <c r="I871" s="174"/>
      <c r="J871" s="172"/>
      <c r="K871" s="154"/>
      <c r="L871" s="154"/>
      <c r="M871" s="160"/>
      <c r="N871" s="599">
        <f t="shared" si="38"/>
        <v>17</v>
      </c>
      <c r="O871" s="177"/>
      <c r="P871" s="423">
        <f>IF(A871&lt;&gt;"", Снабжения!H871 / VLOOKUP(A871, 'Курс валют'!$A:$D, 4, 0), "")</f>
        <v>38.333333333333336</v>
      </c>
    </row>
    <row r="872" spans="1:16" ht="20.100000000000001" customHeight="1" thickBot="1" x14ac:dyDescent="0.5">
      <c r="A872" s="157">
        <v>46161</v>
      </c>
      <c r="B872" s="153" t="s">
        <v>850</v>
      </c>
      <c r="C872" s="154" t="s">
        <v>69</v>
      </c>
      <c r="D872" s="160" t="s">
        <v>220</v>
      </c>
      <c r="E872" s="181">
        <v>20</v>
      </c>
      <c r="F872" s="457"/>
      <c r="G872" s="166">
        <v>25200</v>
      </c>
      <c r="H872" s="169">
        <f t="shared" si="39"/>
        <v>504000</v>
      </c>
      <c r="I872" s="174"/>
      <c r="J872" s="172"/>
      <c r="K872" s="154"/>
      <c r="L872" s="154"/>
      <c r="M872" s="160">
        <v>18</v>
      </c>
      <c r="N872" s="599">
        <f t="shared" si="38"/>
        <v>19</v>
      </c>
      <c r="O872" s="177"/>
      <c r="P872" s="423">
        <f>IF(A872&lt;&gt;"", Снабжения!H872 / VLOOKUP(A872, 'Курс валют'!$A:$D, 4, 0), "")</f>
        <v>42</v>
      </c>
    </row>
    <row r="873" spans="1:16" ht="20.100000000000001" customHeight="1" thickBot="1" x14ac:dyDescent="0.5">
      <c r="A873" s="157">
        <v>46161</v>
      </c>
      <c r="B873" s="153" t="s">
        <v>254</v>
      </c>
      <c r="C873" s="154" t="s">
        <v>69</v>
      </c>
      <c r="D873" s="160" t="s">
        <v>220</v>
      </c>
      <c r="E873" s="181">
        <v>24</v>
      </c>
      <c r="F873" s="457"/>
      <c r="G873" s="166">
        <v>38760</v>
      </c>
      <c r="H873" s="169">
        <f t="shared" si="39"/>
        <v>930240</v>
      </c>
      <c r="I873" s="174"/>
      <c r="J873" s="172"/>
      <c r="K873" s="154"/>
      <c r="L873" s="154"/>
      <c r="M873" s="160"/>
      <c r="N873" s="599">
        <f t="shared" si="38"/>
        <v>33</v>
      </c>
      <c r="O873" s="177"/>
      <c r="P873" s="423">
        <f>IF(A873&lt;&gt;"", Снабжения!H873 / VLOOKUP(A873, 'Курс валют'!$A:$D, 4, 0), "")</f>
        <v>77.52</v>
      </c>
    </row>
    <row r="874" spans="1:16" ht="20.100000000000001" customHeight="1" thickBot="1" x14ac:dyDescent="0.5">
      <c r="A874" s="157">
        <v>46161</v>
      </c>
      <c r="B874" s="153" t="s">
        <v>208</v>
      </c>
      <c r="C874" s="154" t="s">
        <v>69</v>
      </c>
      <c r="D874" s="160" t="s">
        <v>220</v>
      </c>
      <c r="E874" s="181">
        <v>12</v>
      </c>
      <c r="F874" s="457"/>
      <c r="G874" s="166">
        <v>14600</v>
      </c>
      <c r="H874" s="169">
        <f t="shared" si="39"/>
        <v>175200</v>
      </c>
      <c r="I874" s="174"/>
      <c r="J874" s="172"/>
      <c r="K874" s="154"/>
      <c r="L874" s="154"/>
      <c r="M874" s="160"/>
      <c r="N874" s="599">
        <f t="shared" si="38"/>
        <v>10</v>
      </c>
      <c r="O874" s="177"/>
      <c r="P874" s="423">
        <f>IF(A874&lt;&gt;"", Снабжения!H874 / VLOOKUP(A874, 'Курс валют'!$A:$D, 4, 0), "")</f>
        <v>14.6</v>
      </c>
    </row>
    <row r="875" spans="1:16" ht="20.100000000000001" customHeight="1" thickBot="1" x14ac:dyDescent="0.5">
      <c r="A875" s="157">
        <v>46161</v>
      </c>
      <c r="B875" s="153" t="s">
        <v>207</v>
      </c>
      <c r="C875" s="154" t="s">
        <v>69</v>
      </c>
      <c r="D875" s="160" t="s">
        <v>220</v>
      </c>
      <c r="E875" s="181">
        <v>10</v>
      </c>
      <c r="F875" s="457"/>
      <c r="G875" s="166">
        <v>21800</v>
      </c>
      <c r="H875" s="169">
        <f t="shared" si="39"/>
        <v>218000</v>
      </c>
      <c r="I875" s="174"/>
      <c r="J875" s="172"/>
      <c r="K875" s="154"/>
      <c r="L875" s="154"/>
      <c r="M875" s="160"/>
      <c r="N875" s="599">
        <f t="shared" si="38"/>
        <v>9</v>
      </c>
      <c r="O875" s="177"/>
      <c r="P875" s="423">
        <f>IF(A875&lt;&gt;"", Снабжения!H875 / VLOOKUP(A875, 'Курс валют'!$A:$D, 4, 0), "")</f>
        <v>18.166666666666668</v>
      </c>
    </row>
    <row r="876" spans="1:16" ht="20.100000000000001" customHeight="1" thickBot="1" x14ac:dyDescent="0.5">
      <c r="A876" s="157">
        <v>46161</v>
      </c>
      <c r="B876" s="153" t="s">
        <v>91</v>
      </c>
      <c r="C876" s="154" t="s">
        <v>65</v>
      </c>
      <c r="D876" s="160"/>
      <c r="E876" s="181">
        <v>1</v>
      </c>
      <c r="F876" s="457"/>
      <c r="G876" s="166">
        <v>140000</v>
      </c>
      <c r="H876" s="169">
        <f t="shared" si="39"/>
        <v>140000</v>
      </c>
      <c r="I876" s="174"/>
      <c r="J876" s="172"/>
      <c r="K876" s="154"/>
      <c r="L876" s="154"/>
      <c r="M876" s="160"/>
      <c r="N876" s="599">
        <f t="shared" si="38"/>
        <v>8</v>
      </c>
      <c r="O876" s="177"/>
      <c r="P876" s="423">
        <f>IF(A876&lt;&gt;"", Снабжения!H876 / VLOOKUP(A876, 'Курс валют'!$A:$D, 4, 0), "")</f>
        <v>11.666666666666666</v>
      </c>
    </row>
    <row r="877" spans="1:16" ht="20.100000000000001" customHeight="1" thickBot="1" x14ac:dyDescent="0.5">
      <c r="A877" s="157">
        <v>46162</v>
      </c>
      <c r="B877" s="153" t="s">
        <v>189</v>
      </c>
      <c r="C877" s="154" t="s">
        <v>69</v>
      </c>
      <c r="D877" s="160" t="s">
        <v>220</v>
      </c>
      <c r="E877" s="181"/>
      <c r="F877" s="457">
        <v>8</v>
      </c>
      <c r="G877" s="166"/>
      <c r="H877" s="169">
        <f t="shared" si="39"/>
        <v>0</v>
      </c>
      <c r="I877" s="174"/>
      <c r="J877" s="172"/>
      <c r="K877" s="154"/>
      <c r="L877" s="154"/>
      <c r="M877" s="160"/>
      <c r="N877" s="599">
        <f t="shared" si="38"/>
        <v>309</v>
      </c>
      <c r="O877" s="177"/>
      <c r="P877" s="423">
        <f>IF(A877&lt;&gt;"", Снабжения!H877 / VLOOKUP(A877, 'Курс валют'!$A:$D, 4, 0), "")</f>
        <v>0</v>
      </c>
    </row>
    <row r="878" spans="1:16" ht="20.100000000000001" customHeight="1" thickBot="1" x14ac:dyDescent="0.5">
      <c r="A878" s="157">
        <v>46162</v>
      </c>
      <c r="B878" s="153" t="s">
        <v>850</v>
      </c>
      <c r="C878" s="154" t="s">
        <v>69</v>
      </c>
      <c r="D878" s="160" t="s">
        <v>220</v>
      </c>
      <c r="E878" s="181"/>
      <c r="F878" s="457">
        <v>1</v>
      </c>
      <c r="G878" s="166"/>
      <c r="H878" s="169">
        <f t="shared" si="39"/>
        <v>0</v>
      </c>
      <c r="I878" s="174"/>
      <c r="J878" s="172"/>
      <c r="K878" s="154"/>
      <c r="L878" s="154"/>
      <c r="M878" s="160"/>
      <c r="N878" s="599">
        <f t="shared" si="38"/>
        <v>19</v>
      </c>
      <c r="O878" s="177"/>
      <c r="P878" s="423">
        <f>IF(A878&lt;&gt;"", Снабжения!H878 / VLOOKUP(A878, 'Курс валют'!$A:$D, 4, 0), "")</f>
        <v>0</v>
      </c>
    </row>
    <row r="879" spans="1:16" ht="20.100000000000001" customHeight="1" thickBot="1" x14ac:dyDescent="0.5">
      <c r="A879" s="157">
        <v>46162</v>
      </c>
      <c r="B879" s="153" t="s">
        <v>219</v>
      </c>
      <c r="C879" s="154" t="s">
        <v>59</v>
      </c>
      <c r="D879" s="160" t="s">
        <v>220</v>
      </c>
      <c r="E879" s="181"/>
      <c r="F879" s="457">
        <v>2.5</v>
      </c>
      <c r="G879" s="166"/>
      <c r="H879" s="169">
        <f t="shared" si="39"/>
        <v>0</v>
      </c>
      <c r="I879" s="174"/>
      <c r="J879" s="172"/>
      <c r="K879" s="154"/>
      <c r="L879" s="154"/>
      <c r="M879" s="160"/>
      <c r="N879" s="599">
        <f t="shared" si="38"/>
        <v>41.5</v>
      </c>
      <c r="O879" s="177"/>
      <c r="P879" s="423">
        <f>IF(A879&lt;&gt;"", Снабжения!H879 / VLOOKUP(A879, 'Курс валют'!$A:$D, 4, 0), "")</f>
        <v>0</v>
      </c>
    </row>
    <row r="880" spans="1:16" ht="20.100000000000001" customHeight="1" thickBot="1" x14ac:dyDescent="0.5">
      <c r="A880" s="157">
        <v>46162</v>
      </c>
      <c r="B880" s="153" t="s">
        <v>228</v>
      </c>
      <c r="C880" s="154" t="s">
        <v>59</v>
      </c>
      <c r="D880" s="160" t="s">
        <v>187</v>
      </c>
      <c r="E880" s="181"/>
      <c r="F880" s="457">
        <v>50</v>
      </c>
      <c r="G880" s="166"/>
      <c r="H880" s="169">
        <f t="shared" si="39"/>
        <v>0</v>
      </c>
      <c r="I880" s="174"/>
      <c r="J880" s="172"/>
      <c r="K880" s="154"/>
      <c r="L880" s="154"/>
      <c r="M880" s="160"/>
      <c r="N880" s="599">
        <f t="shared" si="38"/>
        <v>125</v>
      </c>
      <c r="O880" s="177"/>
      <c r="P880" s="423">
        <f>IF(A880&lt;&gt;"", Снабжения!H880 / VLOOKUP(A880, 'Курс валют'!$A:$D, 4, 0), "")</f>
        <v>0</v>
      </c>
    </row>
    <row r="881" spans="1:16" ht="20.100000000000001" customHeight="1" thickBot="1" x14ac:dyDescent="0.5">
      <c r="A881" s="157">
        <v>46162</v>
      </c>
      <c r="B881" s="153" t="s">
        <v>254</v>
      </c>
      <c r="C881" s="154" t="s">
        <v>69</v>
      </c>
      <c r="D881" s="160" t="s">
        <v>220</v>
      </c>
      <c r="E881" s="181"/>
      <c r="F881" s="457">
        <v>12</v>
      </c>
      <c r="G881" s="166"/>
      <c r="H881" s="169">
        <f t="shared" si="39"/>
        <v>0</v>
      </c>
      <c r="I881" s="174"/>
      <c r="J881" s="172"/>
      <c r="K881" s="154"/>
      <c r="L881" s="154"/>
      <c r="M881" s="160"/>
      <c r="N881" s="599">
        <f t="shared" si="38"/>
        <v>33</v>
      </c>
      <c r="O881" s="177"/>
      <c r="P881" s="423">
        <f>IF(A881&lt;&gt;"", Снабжения!H881 / VLOOKUP(A881, 'Курс валют'!$A:$D, 4, 0), "")</f>
        <v>0</v>
      </c>
    </row>
    <row r="882" spans="1:16" ht="20.100000000000001" customHeight="1" thickBot="1" x14ac:dyDescent="0.5">
      <c r="A882" s="157">
        <v>46163</v>
      </c>
      <c r="B882" s="153" t="s">
        <v>209</v>
      </c>
      <c r="C882" s="154" t="s">
        <v>69</v>
      </c>
      <c r="D882" s="160" t="s">
        <v>220</v>
      </c>
      <c r="E882" s="181"/>
      <c r="F882" s="457">
        <v>3</v>
      </c>
      <c r="G882" s="166"/>
      <c r="H882" s="169">
        <f t="shared" si="39"/>
        <v>0</v>
      </c>
      <c r="I882" s="174"/>
      <c r="J882" s="172"/>
      <c r="K882" s="154"/>
      <c r="L882" s="154"/>
      <c r="M882" s="160"/>
      <c r="N882" s="599">
        <f t="shared" si="38"/>
        <v>128</v>
      </c>
      <c r="O882" s="177"/>
      <c r="P882" s="423">
        <f>IF(A882&lt;&gt;"", Снабжения!H882 / VLOOKUP(A882, 'Курс валют'!$A:$D, 4, 0), "")</f>
        <v>0</v>
      </c>
    </row>
    <row r="883" spans="1:16" ht="20.100000000000001" customHeight="1" thickBot="1" x14ac:dyDescent="0.5">
      <c r="A883" s="157">
        <v>46163</v>
      </c>
      <c r="B883" s="153" t="s">
        <v>189</v>
      </c>
      <c r="C883" s="154" t="s">
        <v>69</v>
      </c>
      <c r="D883" s="160" t="s">
        <v>220</v>
      </c>
      <c r="E883" s="181"/>
      <c r="F883" s="457">
        <v>40</v>
      </c>
      <c r="G883" s="166"/>
      <c r="H883" s="169">
        <f t="shared" si="39"/>
        <v>0</v>
      </c>
      <c r="I883" s="174"/>
      <c r="J883" s="172"/>
      <c r="K883" s="154"/>
      <c r="L883" s="154"/>
      <c r="M883" s="160"/>
      <c r="N883" s="599">
        <f t="shared" si="38"/>
        <v>309</v>
      </c>
      <c r="O883" s="177"/>
      <c r="P883" s="423">
        <f>IF(A883&lt;&gt;"", Снабжения!H883 / VLOOKUP(A883, 'Курс валют'!$A:$D, 4, 0), "")</f>
        <v>0</v>
      </c>
    </row>
    <row r="884" spans="1:16" ht="20.100000000000001" customHeight="1" thickBot="1" x14ac:dyDescent="0.5">
      <c r="A884" s="157">
        <v>46163</v>
      </c>
      <c r="B884" s="153" t="s">
        <v>223</v>
      </c>
      <c r="C884" s="154" t="s">
        <v>69</v>
      </c>
      <c r="D884" s="160" t="s">
        <v>220</v>
      </c>
      <c r="E884" s="181"/>
      <c r="F884" s="457">
        <v>2</v>
      </c>
      <c r="G884" s="166"/>
      <c r="H884" s="169">
        <f t="shared" si="39"/>
        <v>0</v>
      </c>
      <c r="I884" s="174"/>
      <c r="J884" s="172"/>
      <c r="K884" s="154"/>
      <c r="L884" s="154"/>
      <c r="M884" s="160"/>
      <c r="N884" s="599">
        <f t="shared" si="38"/>
        <v>8</v>
      </c>
      <c r="O884" s="177"/>
      <c r="P884" s="423">
        <f>IF(A884&lt;&gt;"", Снабжения!H884 / VLOOKUP(A884, 'Курс валют'!$A:$D, 4, 0), "")</f>
        <v>0</v>
      </c>
    </row>
    <row r="885" spans="1:16" ht="20.100000000000001" customHeight="1" thickBot="1" x14ac:dyDescent="0.5">
      <c r="A885" s="157">
        <v>46163</v>
      </c>
      <c r="B885" s="153" t="s">
        <v>258</v>
      </c>
      <c r="C885" s="154" t="s">
        <v>69</v>
      </c>
      <c r="D885" s="160" t="s">
        <v>220</v>
      </c>
      <c r="E885" s="181"/>
      <c r="F885" s="457">
        <v>1</v>
      </c>
      <c r="G885" s="166"/>
      <c r="H885" s="169">
        <f t="shared" si="39"/>
        <v>0</v>
      </c>
      <c r="I885" s="174"/>
      <c r="J885" s="172"/>
      <c r="K885" s="154"/>
      <c r="L885" s="154"/>
      <c r="M885" s="160"/>
      <c r="N885" s="599">
        <f t="shared" si="38"/>
        <v>4</v>
      </c>
      <c r="O885" s="177"/>
      <c r="P885" s="423">
        <f>IF(A885&lt;&gt;"", Снабжения!H885 / VLOOKUP(A885, 'Курс валют'!$A:$D, 4, 0), "")</f>
        <v>0</v>
      </c>
    </row>
    <row r="886" spans="1:16" ht="20.100000000000001" customHeight="1" thickBot="1" x14ac:dyDescent="0.5">
      <c r="A886" s="157">
        <v>46163</v>
      </c>
      <c r="B886" s="153" t="s">
        <v>274</v>
      </c>
      <c r="C886" s="154" t="s">
        <v>69</v>
      </c>
      <c r="D886" s="160" t="s">
        <v>220</v>
      </c>
      <c r="E886" s="181"/>
      <c r="F886" s="457">
        <v>2</v>
      </c>
      <c r="G886" s="166"/>
      <c r="H886" s="169">
        <f t="shared" si="39"/>
        <v>0</v>
      </c>
      <c r="I886" s="174"/>
      <c r="J886" s="172"/>
      <c r="K886" s="154"/>
      <c r="L886" s="154"/>
      <c r="M886" s="160"/>
      <c r="N886" s="599">
        <f t="shared" si="38"/>
        <v>7</v>
      </c>
      <c r="O886" s="177"/>
      <c r="P886" s="423">
        <f>IF(A886&lt;&gt;"", Снабжения!H886 / VLOOKUP(A886, 'Курс валют'!$A:$D, 4, 0), "")</f>
        <v>0</v>
      </c>
    </row>
    <row r="887" spans="1:16" ht="20.100000000000001" customHeight="1" thickBot="1" x14ac:dyDescent="0.5">
      <c r="A887" s="157">
        <v>46163</v>
      </c>
      <c r="B887" s="153" t="s">
        <v>228</v>
      </c>
      <c r="C887" s="154" t="s">
        <v>59</v>
      </c>
      <c r="D887" s="160" t="s">
        <v>187</v>
      </c>
      <c r="E887" s="181"/>
      <c r="F887" s="457">
        <v>100</v>
      </c>
      <c r="G887" s="166"/>
      <c r="H887" s="169">
        <f t="shared" si="39"/>
        <v>0</v>
      </c>
      <c r="I887" s="174"/>
      <c r="J887" s="172"/>
      <c r="K887" s="154"/>
      <c r="L887" s="154"/>
      <c r="M887" s="160"/>
      <c r="N887" s="599">
        <f t="shared" si="38"/>
        <v>125</v>
      </c>
      <c r="O887" s="177"/>
      <c r="P887" s="423">
        <f>IF(A887&lt;&gt;"", Снабжения!H887 / VLOOKUP(A887, 'Курс валют'!$A:$D, 4, 0), "")</f>
        <v>0</v>
      </c>
    </row>
    <row r="888" spans="1:16" ht="20.100000000000001" customHeight="1" thickBot="1" x14ac:dyDescent="0.5">
      <c r="A888" s="157">
        <v>46163</v>
      </c>
      <c r="B888" s="153" t="s">
        <v>219</v>
      </c>
      <c r="C888" s="154" t="s">
        <v>59</v>
      </c>
      <c r="D888" s="160" t="s">
        <v>220</v>
      </c>
      <c r="E888" s="181"/>
      <c r="F888" s="457">
        <v>2.5</v>
      </c>
      <c r="G888" s="166"/>
      <c r="H888" s="169">
        <f t="shared" si="39"/>
        <v>0</v>
      </c>
      <c r="I888" s="174"/>
      <c r="J888" s="172"/>
      <c r="K888" s="154"/>
      <c r="L888" s="154"/>
      <c r="M888" s="160"/>
      <c r="N888" s="599">
        <f t="shared" si="38"/>
        <v>41.5</v>
      </c>
      <c r="O888" s="177"/>
      <c r="P888" s="423">
        <f>IF(A888&lt;&gt;"", Снабжения!H888 / VLOOKUP(A888, 'Курс валют'!$A:$D, 4, 0), "")</f>
        <v>0</v>
      </c>
    </row>
    <row r="889" spans="1:16" ht="20.100000000000001" customHeight="1" thickBot="1" x14ac:dyDescent="0.5">
      <c r="A889" s="157">
        <v>46163</v>
      </c>
      <c r="B889" s="153" t="s">
        <v>208</v>
      </c>
      <c r="C889" s="154" t="s">
        <v>69</v>
      </c>
      <c r="D889" s="160" t="s">
        <v>220</v>
      </c>
      <c r="E889" s="181"/>
      <c r="F889" s="457">
        <v>1</v>
      </c>
      <c r="G889" s="166"/>
      <c r="H889" s="169">
        <f t="shared" si="39"/>
        <v>0</v>
      </c>
      <c r="I889" s="174"/>
      <c r="J889" s="172"/>
      <c r="K889" s="154"/>
      <c r="L889" s="154"/>
      <c r="M889" s="160"/>
      <c r="N889" s="599">
        <f t="shared" si="38"/>
        <v>10</v>
      </c>
      <c r="O889" s="177"/>
      <c r="P889" s="423">
        <f>IF(A889&lt;&gt;"", Снабжения!H889 / VLOOKUP(A889, 'Курс валют'!$A:$D, 4, 0), "")</f>
        <v>0</v>
      </c>
    </row>
    <row r="890" spans="1:16" ht="20.100000000000001" customHeight="1" thickBot="1" x14ac:dyDescent="0.5">
      <c r="A890" s="157">
        <v>46164</v>
      </c>
      <c r="B890" s="153" t="s">
        <v>223</v>
      </c>
      <c r="C890" s="154" t="s">
        <v>69</v>
      </c>
      <c r="D890" s="160" t="s">
        <v>220</v>
      </c>
      <c r="E890" s="181"/>
      <c r="F890" s="457">
        <v>2</v>
      </c>
      <c r="G890" s="166"/>
      <c r="H890" s="169">
        <f t="shared" si="39"/>
        <v>0</v>
      </c>
      <c r="I890" s="174"/>
      <c r="J890" s="172"/>
      <c r="K890" s="154"/>
      <c r="L890" s="154"/>
      <c r="M890" s="160"/>
      <c r="N890" s="599">
        <f t="shared" si="38"/>
        <v>8</v>
      </c>
      <c r="O890" s="177"/>
      <c r="P890" s="423" t="e">
        <f>IF(A890&lt;&gt;"", Снабжения!H890 / VLOOKUP(A890, 'Курс валют'!$A:$D, 4, 0), "")</f>
        <v>#DIV/0!</v>
      </c>
    </row>
    <row r="891" spans="1:16" ht="20.100000000000001" customHeight="1" thickBot="1" x14ac:dyDescent="0.5">
      <c r="A891" s="157">
        <v>46164</v>
      </c>
      <c r="B891" s="153" t="s">
        <v>209</v>
      </c>
      <c r="C891" s="154" t="s">
        <v>69</v>
      </c>
      <c r="D891" s="160" t="s">
        <v>220</v>
      </c>
      <c r="E891" s="181"/>
      <c r="F891" s="457">
        <v>2</v>
      </c>
      <c r="G891" s="166"/>
      <c r="H891" s="169">
        <f t="shared" si="39"/>
        <v>0</v>
      </c>
      <c r="I891" s="174"/>
      <c r="J891" s="172"/>
      <c r="K891" s="154"/>
      <c r="L891" s="154"/>
      <c r="M891" s="160"/>
      <c r="N891" s="599">
        <f t="shared" si="38"/>
        <v>128</v>
      </c>
      <c r="O891" s="177"/>
      <c r="P891" s="423" t="e">
        <f>IF(A891&lt;&gt;"", Снабжения!H891 / VLOOKUP(A891, 'Курс валют'!$A:$D, 4, 0), "")</f>
        <v>#DIV/0!</v>
      </c>
    </row>
    <row r="892" spans="1:16" ht="20.100000000000001" customHeight="1" thickBot="1" x14ac:dyDescent="0.5">
      <c r="A892" s="157">
        <v>46164</v>
      </c>
      <c r="B892" s="153" t="s">
        <v>189</v>
      </c>
      <c r="C892" s="154" t="s">
        <v>69</v>
      </c>
      <c r="D892" s="160" t="s">
        <v>220</v>
      </c>
      <c r="E892" s="181"/>
      <c r="F892" s="457">
        <v>1</v>
      </c>
      <c r="G892" s="166"/>
      <c r="H892" s="169">
        <f t="shared" si="39"/>
        <v>0</v>
      </c>
      <c r="I892" s="174"/>
      <c r="J892" s="172"/>
      <c r="K892" s="154"/>
      <c r="L892" s="154"/>
      <c r="M892" s="160"/>
      <c r="N892" s="599">
        <f t="shared" si="38"/>
        <v>309</v>
      </c>
      <c r="O892" s="177"/>
      <c r="P892" s="423" t="e">
        <f>IF(A892&lt;&gt;"", Снабжения!H892 / VLOOKUP(A892, 'Курс валют'!$A:$D, 4, 0), "")</f>
        <v>#DIV/0!</v>
      </c>
    </row>
    <row r="893" spans="1:16" ht="20.100000000000001" customHeight="1" thickBot="1" x14ac:dyDescent="0.5">
      <c r="A893" s="157">
        <v>46164</v>
      </c>
      <c r="B893" s="153" t="s">
        <v>186</v>
      </c>
      <c r="C893" s="154" t="s">
        <v>59</v>
      </c>
      <c r="D893" s="160" t="s">
        <v>187</v>
      </c>
      <c r="E893" s="181"/>
      <c r="F893" s="457">
        <v>20</v>
      </c>
      <c r="G893" s="166"/>
      <c r="H893" s="169">
        <f t="shared" si="39"/>
        <v>0</v>
      </c>
      <c r="I893" s="174"/>
      <c r="J893" s="172"/>
      <c r="K893" s="154"/>
      <c r="L893" s="154"/>
      <c r="M893" s="160"/>
      <c r="N893" s="599">
        <f t="shared" si="38"/>
        <v>40</v>
      </c>
      <c r="O893" s="177"/>
      <c r="P893" s="423" t="e">
        <f>IF(A893&lt;&gt;"", Снабжения!H893 / VLOOKUP(A893, 'Курс валют'!$A:$D, 4, 0), "")</f>
        <v>#DIV/0!</v>
      </c>
    </row>
    <row r="894" spans="1:16" ht="20.100000000000001" customHeight="1" thickBot="1" x14ac:dyDescent="0.5">
      <c r="A894" s="157">
        <v>46164</v>
      </c>
      <c r="B894" s="153" t="s">
        <v>188</v>
      </c>
      <c r="C894" s="154" t="s">
        <v>59</v>
      </c>
      <c r="D894" s="160" t="s">
        <v>187</v>
      </c>
      <c r="E894" s="181"/>
      <c r="F894" s="457">
        <v>20</v>
      </c>
      <c r="G894" s="166"/>
      <c r="H894" s="169">
        <f t="shared" si="39"/>
        <v>0</v>
      </c>
      <c r="I894" s="174"/>
      <c r="J894" s="172"/>
      <c r="K894" s="154"/>
      <c r="L894" s="154"/>
      <c r="M894" s="160"/>
      <c r="N894" s="599">
        <f t="shared" si="38"/>
        <v>20</v>
      </c>
      <c r="O894" s="177"/>
      <c r="P894" s="423" t="e">
        <f>IF(A894&lt;&gt;"", Снабжения!H894 / VLOOKUP(A894, 'Курс валют'!$A:$D, 4, 0), "")</f>
        <v>#DIV/0!</v>
      </c>
    </row>
    <row r="895" spans="1:16" ht="20.100000000000001" customHeight="1" thickBot="1" x14ac:dyDescent="0.5">
      <c r="A895" s="157">
        <v>46164</v>
      </c>
      <c r="B895" s="153" t="s">
        <v>228</v>
      </c>
      <c r="C895" s="154" t="s">
        <v>59</v>
      </c>
      <c r="D895" s="160" t="s">
        <v>187</v>
      </c>
      <c r="E895" s="181"/>
      <c r="F895" s="457">
        <v>100</v>
      </c>
      <c r="G895" s="166"/>
      <c r="H895" s="169">
        <f t="shared" si="39"/>
        <v>0</v>
      </c>
      <c r="I895" s="174"/>
      <c r="J895" s="172"/>
      <c r="K895" s="154"/>
      <c r="L895" s="154"/>
      <c r="M895" s="160"/>
      <c r="N895" s="599">
        <f t="shared" si="38"/>
        <v>125</v>
      </c>
      <c r="O895" s="177"/>
      <c r="P895" s="423" t="e">
        <f>IF(A895&lt;&gt;"", Снабжения!H895 / VLOOKUP(A895, 'Курс валют'!$A:$D, 4, 0), "")</f>
        <v>#DIV/0!</v>
      </c>
    </row>
    <row r="896" spans="1:16" ht="20.100000000000001" customHeight="1" thickBot="1" x14ac:dyDescent="0.5">
      <c r="A896" s="157">
        <v>46164</v>
      </c>
      <c r="B896" s="153" t="s">
        <v>210</v>
      </c>
      <c r="C896" s="154" t="s">
        <v>69</v>
      </c>
      <c r="D896" s="160" t="s">
        <v>220</v>
      </c>
      <c r="E896" s="181"/>
      <c r="F896" s="457">
        <v>45</v>
      </c>
      <c r="G896" s="166"/>
      <c r="H896" s="169">
        <f t="shared" si="39"/>
        <v>0</v>
      </c>
      <c r="I896" s="174"/>
      <c r="J896" s="172"/>
      <c r="K896" s="154"/>
      <c r="L896" s="154"/>
      <c r="M896" s="160"/>
      <c r="N896" s="599">
        <f t="shared" si="38"/>
        <v>405</v>
      </c>
      <c r="O896" s="177"/>
      <c r="P896" s="423" t="e">
        <f>IF(A896&lt;&gt;"", Снабжения!H896 / VLOOKUP(A896, 'Курс валют'!$A:$D, 4, 0), "")</f>
        <v>#DIV/0!</v>
      </c>
    </row>
    <row r="897" spans="1:16" ht="20.100000000000001" customHeight="1" thickBot="1" x14ac:dyDescent="0.5">
      <c r="A897" s="157">
        <v>46164</v>
      </c>
      <c r="B897" s="153" t="s">
        <v>271</v>
      </c>
      <c r="C897" s="154" t="s">
        <v>69</v>
      </c>
      <c r="D897" s="160" t="s">
        <v>220</v>
      </c>
      <c r="E897" s="181"/>
      <c r="F897" s="457">
        <v>10</v>
      </c>
      <c r="G897" s="166"/>
      <c r="H897" s="169">
        <f t="shared" si="39"/>
        <v>0</v>
      </c>
      <c r="I897" s="174"/>
      <c r="J897" s="172"/>
      <c r="K897" s="154"/>
      <c r="L897" s="154"/>
      <c r="M897" s="160"/>
      <c r="N897" s="599">
        <f t="shared" si="38"/>
        <v>42</v>
      </c>
      <c r="O897" s="177"/>
      <c r="P897" s="423" t="e">
        <f>IF(A897&lt;&gt;"", Снабжения!H897 / VLOOKUP(A897, 'Курс валют'!$A:$D, 4, 0), "")</f>
        <v>#DIV/0!</v>
      </c>
    </row>
    <row r="898" spans="1:16" ht="20.100000000000001" customHeight="1" thickBot="1" x14ac:dyDescent="0.5">
      <c r="A898" s="157">
        <v>46165</v>
      </c>
      <c r="B898" s="153" t="s">
        <v>228</v>
      </c>
      <c r="C898" s="154" t="s">
        <v>59</v>
      </c>
      <c r="D898" s="160" t="s">
        <v>187</v>
      </c>
      <c r="E898" s="181">
        <v>1000</v>
      </c>
      <c r="F898" s="457"/>
      <c r="G898" s="166">
        <v>9500</v>
      </c>
      <c r="H898" s="169">
        <f t="shared" si="39"/>
        <v>9500000</v>
      </c>
      <c r="I898" s="174"/>
      <c r="J898" s="172"/>
      <c r="K898" s="154"/>
      <c r="L898" s="154"/>
      <c r="M898" s="160"/>
      <c r="N898" s="599">
        <f t="shared" si="38"/>
        <v>125</v>
      </c>
      <c r="O898" s="177"/>
      <c r="P898" s="423" t="e">
        <f>IF(A898&lt;&gt;"", Снабжения!H898 / VLOOKUP(A898, 'Курс валют'!$A:$D, 4, 0), "")</f>
        <v>#DIV/0!</v>
      </c>
    </row>
    <row r="899" spans="1:16" ht="20.100000000000001" customHeight="1" thickBot="1" x14ac:dyDescent="0.5">
      <c r="A899" s="157">
        <v>46165</v>
      </c>
      <c r="B899" s="153" t="s">
        <v>91</v>
      </c>
      <c r="C899" s="154" t="s">
        <v>65</v>
      </c>
      <c r="D899" s="160"/>
      <c r="E899" s="181">
        <v>1</v>
      </c>
      <c r="F899" s="457"/>
      <c r="G899" s="166">
        <v>350000</v>
      </c>
      <c r="H899" s="169">
        <f t="shared" si="39"/>
        <v>350000</v>
      </c>
      <c r="I899" s="174"/>
      <c r="J899" s="172"/>
      <c r="K899" s="154"/>
      <c r="L899" s="154"/>
      <c r="M899" s="160"/>
      <c r="N899" s="599">
        <f t="shared" si="38"/>
        <v>8</v>
      </c>
      <c r="O899" s="177"/>
      <c r="P899" s="423" t="e">
        <f>IF(A899&lt;&gt;"", Снабжения!H899 / VLOOKUP(A899, 'Курс валют'!$A:$D, 4, 0), "")</f>
        <v>#DIV/0!</v>
      </c>
    </row>
    <row r="900" spans="1:16" ht="20.100000000000001" customHeight="1" thickBot="1" x14ac:dyDescent="0.5">
      <c r="A900" s="157">
        <v>46165</v>
      </c>
      <c r="B900" s="153" t="s">
        <v>190</v>
      </c>
      <c r="C900" s="154" t="s">
        <v>59</v>
      </c>
      <c r="D900" s="160" t="s">
        <v>187</v>
      </c>
      <c r="E900" s="181"/>
      <c r="F900" s="457">
        <v>20</v>
      </c>
      <c r="G900" s="166"/>
      <c r="H900" s="169">
        <f t="shared" si="39"/>
        <v>0</v>
      </c>
      <c r="I900" s="174"/>
      <c r="J900" s="172"/>
      <c r="K900" s="154"/>
      <c r="L900" s="154"/>
      <c r="M900" s="160"/>
      <c r="N900" s="599">
        <f t="shared" si="38"/>
        <v>80</v>
      </c>
      <c r="O900" s="177"/>
      <c r="P900" s="423" t="e">
        <f>IF(A900&lt;&gt;"", Снабжения!H900 / VLOOKUP(A900, 'Курс валют'!$A:$D, 4, 0), "")</f>
        <v>#DIV/0!</v>
      </c>
    </row>
    <row r="901" spans="1:16" ht="20.100000000000001" customHeight="1" thickBot="1" x14ac:dyDescent="0.5">
      <c r="A901" s="157">
        <v>46165</v>
      </c>
      <c r="B901" s="153" t="s">
        <v>219</v>
      </c>
      <c r="C901" s="154" t="s">
        <v>59</v>
      </c>
      <c r="D901" s="160" t="s">
        <v>220</v>
      </c>
      <c r="E901" s="181"/>
      <c r="F901" s="457">
        <v>2.5</v>
      </c>
      <c r="G901" s="166"/>
      <c r="H901" s="169">
        <f t="shared" ref="H901:H964" si="40">G901*E901</f>
        <v>0</v>
      </c>
      <c r="I901" s="174"/>
      <c r="J901" s="172"/>
      <c r="K901" s="154"/>
      <c r="L901" s="154"/>
      <c r="M901" s="160"/>
      <c r="N901" s="599">
        <f t="shared" si="38"/>
        <v>41.5</v>
      </c>
      <c r="O901" s="177"/>
      <c r="P901" s="423" t="e">
        <f>IF(A901&lt;&gt;"", Снабжения!H901 / VLOOKUP(A901, 'Курс валют'!$A:$D, 4, 0), "")</f>
        <v>#DIV/0!</v>
      </c>
    </row>
    <row r="902" spans="1:16" ht="20.100000000000001" customHeight="1" thickBot="1" x14ac:dyDescent="0.5">
      <c r="A902" s="157">
        <v>46165</v>
      </c>
      <c r="B902" s="153" t="s">
        <v>228</v>
      </c>
      <c r="C902" s="154" t="s">
        <v>59</v>
      </c>
      <c r="D902" s="160" t="s">
        <v>187</v>
      </c>
      <c r="E902" s="181"/>
      <c r="F902" s="457">
        <v>1000</v>
      </c>
      <c r="G902" s="166"/>
      <c r="H902" s="169">
        <f t="shared" si="40"/>
        <v>0</v>
      </c>
      <c r="I902" s="174"/>
      <c r="J902" s="172"/>
      <c r="K902" s="154"/>
      <c r="L902" s="154"/>
      <c r="M902" s="160"/>
      <c r="N902" s="599">
        <f t="shared" si="38"/>
        <v>125</v>
      </c>
      <c r="O902" s="177"/>
      <c r="P902" s="423" t="e">
        <f>IF(A902&lt;&gt;"", Снабжения!H902 / VLOOKUP(A902, 'Курс валют'!$A:$D, 4, 0), "")</f>
        <v>#DIV/0!</v>
      </c>
    </row>
    <row r="903" spans="1:16" ht="20.100000000000001" customHeight="1" thickBot="1" x14ac:dyDescent="0.5">
      <c r="A903" s="157">
        <v>46166</v>
      </c>
      <c r="B903" s="153" t="s">
        <v>189</v>
      </c>
      <c r="C903" s="154" t="s">
        <v>69</v>
      </c>
      <c r="D903" s="160" t="s">
        <v>220</v>
      </c>
      <c r="E903" s="181"/>
      <c r="F903" s="457">
        <v>40</v>
      </c>
      <c r="G903" s="166"/>
      <c r="H903" s="169">
        <f t="shared" si="40"/>
        <v>0</v>
      </c>
      <c r="I903" s="174"/>
      <c r="J903" s="172"/>
      <c r="K903" s="154"/>
      <c r="L903" s="154"/>
      <c r="M903" s="160"/>
      <c r="N903" s="599">
        <f t="shared" si="38"/>
        <v>309</v>
      </c>
      <c r="O903" s="177"/>
      <c r="P903" s="423" t="e">
        <f>IF(A903&lt;&gt;"", Снабжения!H903 / VLOOKUP(A903, 'Курс валют'!$A:$D, 4, 0), "")</f>
        <v>#DIV/0!</v>
      </c>
    </row>
    <row r="904" spans="1:16" ht="20.100000000000001" customHeight="1" thickBot="1" x14ac:dyDescent="0.5">
      <c r="A904" s="157">
        <v>46166</v>
      </c>
      <c r="B904" s="153" t="s">
        <v>186</v>
      </c>
      <c r="C904" s="154" t="s">
        <v>59</v>
      </c>
      <c r="D904" s="160" t="s">
        <v>187</v>
      </c>
      <c r="E904" s="181"/>
      <c r="F904" s="457">
        <v>20</v>
      </c>
      <c r="G904" s="166"/>
      <c r="H904" s="169">
        <f t="shared" si="40"/>
        <v>0</v>
      </c>
      <c r="I904" s="174"/>
      <c r="J904" s="172"/>
      <c r="K904" s="154"/>
      <c r="L904" s="154"/>
      <c r="M904" s="160"/>
      <c r="N904" s="599">
        <f t="shared" si="38"/>
        <v>40</v>
      </c>
      <c r="O904" s="177"/>
      <c r="P904" s="423" t="e">
        <f>IF(A904&lt;&gt;"", Снабжения!H904 / VLOOKUP(A904, 'Курс валют'!$A:$D, 4, 0), "")</f>
        <v>#DIV/0!</v>
      </c>
    </row>
    <row r="905" spans="1:16" ht="20.100000000000001" customHeight="1" thickBot="1" x14ac:dyDescent="0.5">
      <c r="A905" s="157">
        <v>46166</v>
      </c>
      <c r="B905" s="153" t="s">
        <v>188</v>
      </c>
      <c r="C905" s="154" t="s">
        <v>59</v>
      </c>
      <c r="D905" s="160" t="s">
        <v>187</v>
      </c>
      <c r="E905" s="181"/>
      <c r="F905" s="457">
        <v>20</v>
      </c>
      <c r="G905" s="166"/>
      <c r="H905" s="169">
        <f t="shared" si="40"/>
        <v>0</v>
      </c>
      <c r="I905" s="174"/>
      <c r="J905" s="172"/>
      <c r="K905" s="154"/>
      <c r="L905" s="154"/>
      <c r="M905" s="160"/>
      <c r="N905" s="599">
        <f t="shared" si="38"/>
        <v>20</v>
      </c>
      <c r="O905" s="177"/>
      <c r="P905" s="423" t="e">
        <f>IF(A905&lt;&gt;"", Снабжения!H905 / VLOOKUP(A905, 'Курс валют'!$A:$D, 4, 0), "")</f>
        <v>#DIV/0!</v>
      </c>
    </row>
    <row r="906" spans="1:16" ht="20.100000000000001" customHeight="1" thickBot="1" x14ac:dyDescent="0.5">
      <c r="A906" s="157">
        <v>46166</v>
      </c>
      <c r="B906" s="153" t="s">
        <v>208</v>
      </c>
      <c r="C906" s="154" t="s">
        <v>69</v>
      </c>
      <c r="D906" s="160" t="s">
        <v>220</v>
      </c>
      <c r="E906" s="181"/>
      <c r="F906" s="457">
        <v>2</v>
      </c>
      <c r="G906" s="166"/>
      <c r="H906" s="169">
        <f t="shared" si="40"/>
        <v>0</v>
      </c>
      <c r="I906" s="174"/>
      <c r="J906" s="172"/>
      <c r="K906" s="154"/>
      <c r="L906" s="154"/>
      <c r="M906" s="160"/>
      <c r="N906" s="599">
        <f t="shared" si="38"/>
        <v>10</v>
      </c>
      <c r="O906" s="177"/>
      <c r="P906" s="423" t="e">
        <f>IF(A906&lt;&gt;"", Снабжения!H906 / VLOOKUP(A906, 'Курс валют'!$A:$D, 4, 0), "")</f>
        <v>#DIV/0!</v>
      </c>
    </row>
    <row r="907" spans="1:16" ht="20.100000000000001" customHeight="1" thickBot="1" x14ac:dyDescent="0.5">
      <c r="A907" s="157">
        <v>46166</v>
      </c>
      <c r="B907" s="153" t="s">
        <v>271</v>
      </c>
      <c r="C907" s="154" t="s">
        <v>69</v>
      </c>
      <c r="D907" s="160" t="s">
        <v>220</v>
      </c>
      <c r="E907" s="181"/>
      <c r="F907" s="457">
        <v>12</v>
      </c>
      <c r="G907" s="166"/>
      <c r="H907" s="169">
        <f t="shared" si="40"/>
        <v>0</v>
      </c>
      <c r="I907" s="174"/>
      <c r="J907" s="172"/>
      <c r="K907" s="154"/>
      <c r="L907" s="154"/>
      <c r="M907" s="160"/>
      <c r="N907" s="599">
        <f t="shared" si="38"/>
        <v>42</v>
      </c>
      <c r="O907" s="177"/>
      <c r="P907" s="423" t="e">
        <f>IF(A907&lt;&gt;"", Снабжения!H907 / VLOOKUP(A907, 'Курс валют'!$A:$D, 4, 0), "")</f>
        <v>#DIV/0!</v>
      </c>
    </row>
    <row r="908" spans="1:16" ht="20.100000000000001" customHeight="1" thickBot="1" x14ac:dyDescent="0.5">
      <c r="A908" s="157">
        <v>46166</v>
      </c>
      <c r="B908" s="153" t="s">
        <v>207</v>
      </c>
      <c r="C908" s="154" t="s">
        <v>69</v>
      </c>
      <c r="D908" s="160" t="s">
        <v>220</v>
      </c>
      <c r="E908" s="181"/>
      <c r="F908" s="457">
        <v>1</v>
      </c>
      <c r="G908" s="166"/>
      <c r="H908" s="169">
        <f t="shared" si="40"/>
        <v>0</v>
      </c>
      <c r="I908" s="174"/>
      <c r="J908" s="172"/>
      <c r="K908" s="154"/>
      <c r="L908" s="154"/>
      <c r="M908" s="160"/>
      <c r="N908" s="599">
        <f t="shared" si="38"/>
        <v>9</v>
      </c>
      <c r="O908" s="177"/>
      <c r="P908" s="423" t="e">
        <f>IF(A908&lt;&gt;"", Снабжения!H908 / VLOOKUP(A908, 'Курс валют'!$A:$D, 4, 0), "")</f>
        <v>#DIV/0!</v>
      </c>
    </row>
    <row r="909" spans="1:16" ht="20.100000000000001" customHeight="1" thickBot="1" x14ac:dyDescent="0.5">
      <c r="A909" s="157">
        <v>46166</v>
      </c>
      <c r="B909" s="153" t="s">
        <v>283</v>
      </c>
      <c r="C909" s="154" t="s">
        <v>127</v>
      </c>
      <c r="D909" s="160" t="s">
        <v>220</v>
      </c>
      <c r="E909" s="181"/>
      <c r="F909" s="457">
        <v>5</v>
      </c>
      <c r="G909" s="166"/>
      <c r="H909" s="169">
        <f t="shared" si="40"/>
        <v>0</v>
      </c>
      <c r="I909" s="174"/>
      <c r="J909" s="172"/>
      <c r="K909" s="154"/>
      <c r="L909" s="154"/>
      <c r="M909" s="160"/>
      <c r="N909" s="599">
        <f t="shared" si="38"/>
        <v>18</v>
      </c>
      <c r="O909" s="177"/>
      <c r="P909" s="423" t="e">
        <f>IF(A909&lt;&gt;"", Снабжения!H909 / VLOOKUP(A909, 'Курс валют'!$A:$D, 4, 0), "")</f>
        <v>#DIV/0!</v>
      </c>
    </row>
    <row r="910" spans="1:16" ht="20.100000000000001" customHeight="1" thickBot="1" x14ac:dyDescent="0.5">
      <c r="A910" s="157">
        <v>46166</v>
      </c>
      <c r="B910" s="153" t="s">
        <v>284</v>
      </c>
      <c r="C910" s="154" t="s">
        <v>69</v>
      </c>
      <c r="D910" s="160" t="s">
        <v>220</v>
      </c>
      <c r="E910" s="181"/>
      <c r="F910" s="457">
        <v>1</v>
      </c>
      <c r="G910" s="166"/>
      <c r="H910" s="169">
        <f t="shared" si="40"/>
        <v>0</v>
      </c>
      <c r="I910" s="174"/>
      <c r="J910" s="172"/>
      <c r="K910" s="154"/>
      <c r="L910" s="154"/>
      <c r="M910" s="160"/>
      <c r="N910" s="599">
        <f t="shared" si="38"/>
        <v>1</v>
      </c>
      <c r="O910" s="177"/>
      <c r="P910" s="423" t="e">
        <f>IF(A910&lt;&gt;"", Снабжения!H910 / VLOOKUP(A910, 'Курс валют'!$A:$D, 4, 0), "")</f>
        <v>#DIV/0!</v>
      </c>
    </row>
    <row r="911" spans="1:16" ht="20.100000000000001" customHeight="1" thickBot="1" x14ac:dyDescent="0.5">
      <c r="A911" s="157">
        <v>46167</v>
      </c>
      <c r="B911" s="153" t="s">
        <v>254</v>
      </c>
      <c r="C911" s="154" t="s">
        <v>69</v>
      </c>
      <c r="D911" s="160" t="s">
        <v>220</v>
      </c>
      <c r="E911" s="181"/>
      <c r="F911" s="457">
        <v>12</v>
      </c>
      <c r="G911" s="166"/>
      <c r="H911" s="169">
        <f t="shared" si="40"/>
        <v>0</v>
      </c>
      <c r="I911" s="174"/>
      <c r="J911" s="172"/>
      <c r="K911" s="154"/>
      <c r="L911" s="154"/>
      <c r="M911" s="160"/>
      <c r="N911" s="599">
        <f t="shared" si="38"/>
        <v>33</v>
      </c>
      <c r="O911" s="177"/>
      <c r="P911" s="423" t="e">
        <f>IF(A911&lt;&gt;"", Снабжения!H911 / VLOOKUP(A911, 'Курс валют'!$A:$D, 4, 0), "")</f>
        <v>#DIV/0!</v>
      </c>
    </row>
    <row r="912" spans="1:16" ht="20.100000000000001" customHeight="1" thickBot="1" x14ac:dyDescent="0.5">
      <c r="A912" s="157">
        <v>46167</v>
      </c>
      <c r="B912" s="153" t="s">
        <v>219</v>
      </c>
      <c r="C912" s="154" t="s">
        <v>59</v>
      </c>
      <c r="D912" s="160" t="s">
        <v>220</v>
      </c>
      <c r="E912" s="181"/>
      <c r="F912" s="457">
        <v>2.5</v>
      </c>
      <c r="G912" s="166"/>
      <c r="H912" s="169">
        <f t="shared" si="40"/>
        <v>0</v>
      </c>
      <c r="I912" s="174"/>
      <c r="J912" s="172"/>
      <c r="K912" s="154"/>
      <c r="L912" s="154"/>
      <c r="M912" s="160"/>
      <c r="N912" s="599">
        <f t="shared" si="38"/>
        <v>41.5</v>
      </c>
      <c r="O912" s="177"/>
      <c r="P912" s="423" t="e">
        <f>IF(A912&lt;&gt;"", Снабжения!H912 / VLOOKUP(A912, 'Курс валют'!$A:$D, 4, 0), "")</f>
        <v>#DIV/0!</v>
      </c>
    </row>
    <row r="913" spans="1:16" ht="20.100000000000001" customHeight="1" thickBot="1" x14ac:dyDescent="0.5">
      <c r="A913" s="157">
        <v>46167</v>
      </c>
      <c r="B913" s="153" t="s">
        <v>182</v>
      </c>
      <c r="C913" s="154" t="s">
        <v>69</v>
      </c>
      <c r="D913" s="160" t="s">
        <v>220</v>
      </c>
      <c r="E913" s="181">
        <v>25</v>
      </c>
      <c r="F913" s="457"/>
      <c r="G913" s="166">
        <v>4900</v>
      </c>
      <c r="H913" s="169">
        <f t="shared" si="40"/>
        <v>122500</v>
      </c>
      <c r="I913" s="174"/>
      <c r="J913" s="172"/>
      <c r="K913" s="154"/>
      <c r="L913" s="154"/>
      <c r="M913" s="160"/>
      <c r="N913" s="599">
        <f t="shared" si="38"/>
        <v>22</v>
      </c>
      <c r="O913" s="177"/>
      <c r="P913" s="423" t="e">
        <f>IF(A913&lt;&gt;"", Снабжения!H913 / VLOOKUP(A913, 'Курс валют'!$A:$D, 4, 0), "")</f>
        <v>#DIV/0!</v>
      </c>
    </row>
    <row r="914" spans="1:16" ht="20.100000000000001" customHeight="1" thickBot="1" x14ac:dyDescent="0.5">
      <c r="A914" s="157">
        <v>46167</v>
      </c>
      <c r="B914" s="153" t="s">
        <v>271</v>
      </c>
      <c r="C914" s="154" t="s">
        <v>69</v>
      </c>
      <c r="D914" s="160" t="s">
        <v>220</v>
      </c>
      <c r="E914" s="181">
        <v>50</v>
      </c>
      <c r="F914" s="457"/>
      <c r="G914" s="166">
        <v>9150</v>
      </c>
      <c r="H914" s="169">
        <f t="shared" si="40"/>
        <v>457500</v>
      </c>
      <c r="I914" s="174"/>
      <c r="J914" s="172"/>
      <c r="K914" s="154"/>
      <c r="L914" s="154"/>
      <c r="M914" s="160"/>
      <c r="N914" s="599">
        <f t="shared" si="38"/>
        <v>42</v>
      </c>
      <c r="O914" s="177"/>
      <c r="P914" s="423" t="e">
        <f>IF(A914&lt;&gt;"", Снабжения!H914 / VLOOKUP(A914, 'Курс валют'!$A:$D, 4, 0), "")</f>
        <v>#DIV/0!</v>
      </c>
    </row>
    <row r="915" spans="1:16" ht="20.100000000000001" customHeight="1" thickBot="1" x14ac:dyDescent="0.5">
      <c r="A915" s="157">
        <v>46167</v>
      </c>
      <c r="B915" s="153" t="s">
        <v>198</v>
      </c>
      <c r="C915" s="154" t="s">
        <v>69</v>
      </c>
      <c r="D915" s="160" t="s">
        <v>220</v>
      </c>
      <c r="E915" s="181">
        <v>3</v>
      </c>
      <c r="F915" s="457"/>
      <c r="G915" s="166">
        <v>80000</v>
      </c>
      <c r="H915" s="169">
        <f t="shared" si="40"/>
        <v>240000</v>
      </c>
      <c r="I915" s="174"/>
      <c r="J915" s="172"/>
      <c r="K915" s="154"/>
      <c r="L915" s="154"/>
      <c r="M915" s="160">
        <v>2</v>
      </c>
      <c r="N915" s="599">
        <f t="shared" si="38"/>
        <v>3</v>
      </c>
      <c r="O915" s="177"/>
      <c r="P915" s="423" t="e">
        <f>IF(A915&lt;&gt;"", Снабжения!H915 / VLOOKUP(A915, 'Курс валют'!$A:$D, 4, 0), "")</f>
        <v>#DIV/0!</v>
      </c>
    </row>
    <row r="916" spans="1:16" ht="20.100000000000001" customHeight="1" thickBot="1" x14ac:dyDescent="0.5">
      <c r="A916" s="157">
        <v>46167</v>
      </c>
      <c r="B916" s="153" t="s">
        <v>851</v>
      </c>
      <c r="C916" s="154" t="s">
        <v>69</v>
      </c>
      <c r="D916" s="160" t="s">
        <v>220</v>
      </c>
      <c r="E916" s="181">
        <v>3</v>
      </c>
      <c r="F916" s="457"/>
      <c r="G916" s="166">
        <v>97000</v>
      </c>
      <c r="H916" s="169">
        <f t="shared" si="40"/>
        <v>291000</v>
      </c>
      <c r="I916" s="174"/>
      <c r="J916" s="172"/>
      <c r="K916" s="154"/>
      <c r="L916" s="154"/>
      <c r="M916" s="160"/>
      <c r="N916" s="599">
        <f t="shared" si="38"/>
        <v>2</v>
      </c>
      <c r="O916" s="177"/>
      <c r="P916" s="423" t="e">
        <f>IF(A916&lt;&gt;"", Снабжения!H916 / VLOOKUP(A916, 'Курс валют'!$A:$D, 4, 0), "")</f>
        <v>#DIV/0!</v>
      </c>
    </row>
    <row r="917" spans="1:16" ht="20.100000000000001" customHeight="1" thickBot="1" x14ac:dyDescent="0.5">
      <c r="A917" s="157">
        <v>46167</v>
      </c>
      <c r="B917" s="153" t="s">
        <v>219</v>
      </c>
      <c r="C917" s="154" t="s">
        <v>59</v>
      </c>
      <c r="D917" s="160" t="s">
        <v>220</v>
      </c>
      <c r="E917" s="181">
        <v>40</v>
      </c>
      <c r="F917" s="457"/>
      <c r="G917" s="166">
        <v>34000</v>
      </c>
      <c r="H917" s="169">
        <f t="shared" si="40"/>
        <v>1360000</v>
      </c>
      <c r="I917" s="174"/>
      <c r="J917" s="172"/>
      <c r="K917" s="154"/>
      <c r="L917" s="154"/>
      <c r="M917" s="160"/>
      <c r="N917" s="599">
        <f t="shared" si="38"/>
        <v>41.5</v>
      </c>
      <c r="O917" s="177"/>
      <c r="P917" s="423" t="e">
        <f>IF(A917&lt;&gt;"", Снабжения!H917 / VLOOKUP(A917, 'Курс валют'!$A:$D, 4, 0), "")</f>
        <v>#DIV/0!</v>
      </c>
    </row>
    <row r="918" spans="1:16" ht="20.100000000000001" customHeight="1" thickBot="1" x14ac:dyDescent="0.5">
      <c r="A918" s="157">
        <v>46167</v>
      </c>
      <c r="B918" s="153" t="s">
        <v>254</v>
      </c>
      <c r="C918" s="154" t="s">
        <v>69</v>
      </c>
      <c r="D918" s="160" t="s">
        <v>220</v>
      </c>
      <c r="E918" s="181">
        <v>36</v>
      </c>
      <c r="F918" s="457"/>
      <c r="G918" s="166">
        <v>45000</v>
      </c>
      <c r="H918" s="169">
        <f t="shared" si="40"/>
        <v>1620000</v>
      </c>
      <c r="I918" s="174"/>
      <c r="J918" s="172"/>
      <c r="K918" s="154"/>
      <c r="L918" s="154"/>
      <c r="M918" s="160"/>
      <c r="N918" s="599">
        <f t="shared" si="38"/>
        <v>33</v>
      </c>
      <c r="O918" s="177"/>
      <c r="P918" s="423" t="e">
        <f>IF(A918&lt;&gt;"", Снабжения!H918 / VLOOKUP(A918, 'Курс валют'!$A:$D, 4, 0), "")</f>
        <v>#DIV/0!</v>
      </c>
    </row>
    <row r="919" spans="1:16" ht="20.100000000000001" customHeight="1" thickBot="1" x14ac:dyDescent="0.5">
      <c r="A919" s="157">
        <v>46167</v>
      </c>
      <c r="B919" s="153" t="s">
        <v>91</v>
      </c>
      <c r="C919" s="154" t="s">
        <v>65</v>
      </c>
      <c r="D919" s="160"/>
      <c r="E919" s="181">
        <v>1</v>
      </c>
      <c r="F919" s="457"/>
      <c r="G919" s="166">
        <v>140000</v>
      </c>
      <c r="H919" s="169">
        <f t="shared" si="40"/>
        <v>140000</v>
      </c>
      <c r="I919" s="174"/>
      <c r="J919" s="172"/>
      <c r="K919" s="154"/>
      <c r="L919" s="154"/>
      <c r="M919" s="160"/>
      <c r="N919" s="599">
        <f t="shared" si="38"/>
        <v>8</v>
      </c>
      <c r="O919" s="177"/>
      <c r="P919" s="423" t="e">
        <f>IF(A919&lt;&gt;"", Снабжения!H919 / VLOOKUP(A919, 'Курс валют'!$A:$D, 4, 0), "")</f>
        <v>#DIV/0!</v>
      </c>
    </row>
    <row r="920" spans="1:16" ht="20.100000000000001" customHeight="1" thickBot="1" x14ac:dyDescent="0.5">
      <c r="A920" s="157">
        <v>46167</v>
      </c>
      <c r="B920" s="153" t="s">
        <v>254</v>
      </c>
      <c r="C920" s="154" t="s">
        <v>69</v>
      </c>
      <c r="D920" s="160" t="s">
        <v>220</v>
      </c>
      <c r="E920" s="181"/>
      <c r="F920" s="457">
        <v>12</v>
      </c>
      <c r="G920" s="166"/>
      <c r="H920" s="169">
        <f t="shared" si="40"/>
        <v>0</v>
      </c>
      <c r="I920" s="174"/>
      <c r="J920" s="172"/>
      <c r="K920" s="154"/>
      <c r="L920" s="154"/>
      <c r="M920" s="160"/>
      <c r="N920" s="599">
        <f t="shared" si="38"/>
        <v>33</v>
      </c>
      <c r="O920" s="177"/>
      <c r="P920" s="423" t="e">
        <f>IF(A920&lt;&gt;"", Снабжения!H920 / VLOOKUP(A920, 'Курс валют'!$A:$D, 4, 0), "")</f>
        <v>#DIV/0!</v>
      </c>
    </row>
    <row r="921" spans="1:16" ht="20.100000000000001" customHeight="1" thickBot="1" x14ac:dyDescent="0.5">
      <c r="A921" s="157">
        <v>46167</v>
      </c>
      <c r="B921" s="153" t="s">
        <v>219</v>
      </c>
      <c r="C921" s="154" t="s">
        <v>59</v>
      </c>
      <c r="D921" s="160" t="s">
        <v>220</v>
      </c>
      <c r="E921" s="181"/>
      <c r="F921" s="457">
        <v>2.5</v>
      </c>
      <c r="G921" s="166"/>
      <c r="H921" s="169">
        <f t="shared" si="40"/>
        <v>0</v>
      </c>
      <c r="I921" s="174"/>
      <c r="J921" s="172"/>
      <c r="K921" s="154"/>
      <c r="L921" s="154"/>
      <c r="M921" s="160"/>
      <c r="N921" s="599">
        <f t="shared" si="38"/>
        <v>41.5</v>
      </c>
      <c r="O921" s="177"/>
      <c r="P921" s="423" t="e">
        <f>IF(A921&lt;&gt;"", Снабжения!H921 / VLOOKUP(A921, 'Курс валют'!$A:$D, 4, 0), "")</f>
        <v>#DIV/0!</v>
      </c>
    </row>
    <row r="922" spans="1:16" ht="20.100000000000001" customHeight="1" thickBot="1" x14ac:dyDescent="0.5">
      <c r="A922" s="157">
        <v>46167</v>
      </c>
      <c r="B922" s="153" t="s">
        <v>847</v>
      </c>
      <c r="C922" s="154" t="s">
        <v>69</v>
      </c>
      <c r="D922" s="160" t="s">
        <v>220</v>
      </c>
      <c r="E922" s="181">
        <v>28</v>
      </c>
      <c r="F922" s="457"/>
      <c r="G922" s="166"/>
      <c r="H922" s="169">
        <f t="shared" si="40"/>
        <v>0</v>
      </c>
      <c r="I922" s="174"/>
      <c r="J922" s="172"/>
      <c r="K922" s="154"/>
      <c r="L922" s="154"/>
      <c r="M922" s="160"/>
      <c r="N922" s="599">
        <f t="shared" si="38"/>
        <v>28</v>
      </c>
      <c r="O922" s="177"/>
      <c r="P922" s="423" t="e">
        <f>IF(A922&lt;&gt;"", Снабжения!H922 / VLOOKUP(A922, 'Курс валют'!$A:$D, 4, 0), "")</f>
        <v>#DIV/0!</v>
      </c>
    </row>
    <row r="923" spans="1:16" ht="20.100000000000001" customHeight="1" thickBot="1" x14ac:dyDescent="0.5">
      <c r="A923" s="157">
        <v>46167</v>
      </c>
      <c r="B923" s="153" t="s">
        <v>846</v>
      </c>
      <c r="C923" s="154" t="s">
        <v>69</v>
      </c>
      <c r="D923" s="160" t="s">
        <v>177</v>
      </c>
      <c r="E923" s="181">
        <v>1</v>
      </c>
      <c r="F923" s="457"/>
      <c r="G923" s="166"/>
      <c r="H923" s="169">
        <f t="shared" si="40"/>
        <v>0</v>
      </c>
      <c r="I923" s="174"/>
      <c r="J923" s="172"/>
      <c r="K923" s="154"/>
      <c r="L923" s="154"/>
      <c r="M923" s="160"/>
      <c r="N923" s="599">
        <f t="shared" si="38"/>
        <v>1</v>
      </c>
      <c r="O923" s="177"/>
      <c r="P923" s="423" t="e">
        <f>IF(A923&lt;&gt;"", Снабжения!H923 / VLOOKUP(A923, 'Курс валют'!$A:$D, 4, 0), "")</f>
        <v>#DIV/0!</v>
      </c>
    </row>
    <row r="924" spans="1:16" ht="20.100000000000001" customHeight="1" thickBot="1" x14ac:dyDescent="0.5">
      <c r="A924" s="157">
        <v>46170</v>
      </c>
      <c r="B924" s="153" t="s">
        <v>198</v>
      </c>
      <c r="C924" s="154" t="s">
        <v>69</v>
      </c>
      <c r="D924" s="160" t="s">
        <v>220</v>
      </c>
      <c r="E924" s="181"/>
      <c r="F924" s="457">
        <v>1</v>
      </c>
      <c r="G924" s="166"/>
      <c r="H924" s="169">
        <f t="shared" si="40"/>
        <v>0</v>
      </c>
      <c r="I924" s="174"/>
      <c r="J924" s="172"/>
      <c r="K924" s="154"/>
      <c r="L924" s="154"/>
      <c r="M924" s="160"/>
      <c r="N924" s="599">
        <f t="shared" si="38"/>
        <v>3</v>
      </c>
      <c r="O924" s="177"/>
      <c r="P924" s="423" t="e">
        <f>IF(A924&lt;&gt;"", Снабжения!H924 / VLOOKUP(A924, 'Курс валют'!$A:$D, 4, 0), "")</f>
        <v>#DIV/0!</v>
      </c>
    </row>
    <row r="925" spans="1:16" ht="20.100000000000001" customHeight="1" thickBot="1" x14ac:dyDescent="0.5">
      <c r="A925" s="157">
        <v>46170</v>
      </c>
      <c r="B925" s="153" t="s">
        <v>851</v>
      </c>
      <c r="C925" s="154" t="s">
        <v>69</v>
      </c>
      <c r="D925" s="160" t="s">
        <v>220</v>
      </c>
      <c r="E925" s="181"/>
      <c r="F925" s="457">
        <v>1</v>
      </c>
      <c r="G925" s="166"/>
      <c r="H925" s="169">
        <f t="shared" si="40"/>
        <v>0</v>
      </c>
      <c r="I925" s="174"/>
      <c r="J925" s="172"/>
      <c r="K925" s="154"/>
      <c r="L925" s="154"/>
      <c r="M925" s="160"/>
      <c r="N925" s="599">
        <f t="shared" ref="N925:N988" si="41">SUMIF(B:B,B925,E:E)-SUMIF(B:B,B925,F:F)</f>
        <v>2</v>
      </c>
      <c r="O925" s="177"/>
      <c r="P925" s="423" t="e">
        <f>IF(A925&lt;&gt;"", Снабжения!H925 / VLOOKUP(A925, 'Курс валют'!$A:$D, 4, 0), "")</f>
        <v>#DIV/0!</v>
      </c>
    </row>
    <row r="926" spans="1:16" ht="20.100000000000001" customHeight="1" thickBot="1" x14ac:dyDescent="0.5">
      <c r="A926" s="157">
        <v>46170</v>
      </c>
      <c r="B926" s="153" t="s">
        <v>223</v>
      </c>
      <c r="C926" s="154" t="s">
        <v>69</v>
      </c>
      <c r="D926" s="160" t="s">
        <v>220</v>
      </c>
      <c r="E926" s="181"/>
      <c r="F926" s="457">
        <v>2</v>
      </c>
      <c r="G926" s="166"/>
      <c r="H926" s="169">
        <f t="shared" si="40"/>
        <v>0</v>
      </c>
      <c r="I926" s="174"/>
      <c r="J926" s="172"/>
      <c r="K926" s="154"/>
      <c r="L926" s="154"/>
      <c r="M926" s="160"/>
      <c r="N926" s="599">
        <f t="shared" si="41"/>
        <v>8</v>
      </c>
      <c r="O926" s="177"/>
      <c r="P926" s="423" t="e">
        <f>IF(A926&lt;&gt;"", Снабжения!H926 / VLOOKUP(A926, 'Курс валют'!$A:$D, 4, 0), "")</f>
        <v>#DIV/0!</v>
      </c>
    </row>
    <row r="927" spans="1:16" ht="20.100000000000001" customHeight="1" thickBot="1" x14ac:dyDescent="0.5">
      <c r="A927" s="157">
        <v>46170</v>
      </c>
      <c r="B927" s="153" t="s">
        <v>209</v>
      </c>
      <c r="C927" s="154" t="s">
        <v>69</v>
      </c>
      <c r="D927" s="160" t="s">
        <v>220</v>
      </c>
      <c r="E927" s="181"/>
      <c r="F927" s="457">
        <v>5</v>
      </c>
      <c r="G927" s="166"/>
      <c r="H927" s="169">
        <f t="shared" si="40"/>
        <v>0</v>
      </c>
      <c r="I927" s="174"/>
      <c r="J927" s="172"/>
      <c r="K927" s="154"/>
      <c r="L927" s="154"/>
      <c r="M927" s="160"/>
      <c r="N927" s="599">
        <f t="shared" si="41"/>
        <v>128</v>
      </c>
      <c r="O927" s="177"/>
      <c r="P927" s="423" t="e">
        <f>IF(A927&lt;&gt;"", Снабжения!H927 / VLOOKUP(A927, 'Курс валют'!$A:$D, 4, 0), "")</f>
        <v>#DIV/0!</v>
      </c>
    </row>
    <row r="928" spans="1:16" ht="20.100000000000001" customHeight="1" thickBot="1" x14ac:dyDescent="0.5">
      <c r="A928" s="157">
        <v>46170</v>
      </c>
      <c r="B928" s="153" t="s">
        <v>182</v>
      </c>
      <c r="C928" s="154" t="s">
        <v>69</v>
      </c>
      <c r="D928" s="160" t="s">
        <v>220</v>
      </c>
      <c r="E928" s="181"/>
      <c r="F928" s="457">
        <v>3</v>
      </c>
      <c r="G928" s="166"/>
      <c r="H928" s="169">
        <f t="shared" si="40"/>
        <v>0</v>
      </c>
      <c r="I928" s="174"/>
      <c r="J928" s="172"/>
      <c r="K928" s="154"/>
      <c r="L928" s="154"/>
      <c r="M928" s="160"/>
      <c r="N928" s="599">
        <f t="shared" si="41"/>
        <v>22</v>
      </c>
      <c r="O928" s="177"/>
      <c r="P928" s="423" t="e">
        <f>IF(A928&lt;&gt;"", Снабжения!H928 / VLOOKUP(A928, 'Курс валют'!$A:$D, 4, 0), "")</f>
        <v>#DIV/0!</v>
      </c>
    </row>
    <row r="929" spans="1:16" ht="20.100000000000001" customHeight="1" thickBot="1" x14ac:dyDescent="0.5">
      <c r="A929" s="157">
        <v>46170</v>
      </c>
      <c r="B929" s="153" t="s">
        <v>219</v>
      </c>
      <c r="C929" s="154" t="s">
        <v>59</v>
      </c>
      <c r="D929" s="160" t="s">
        <v>220</v>
      </c>
      <c r="E929" s="181"/>
      <c r="F929" s="457">
        <v>1</v>
      </c>
      <c r="G929" s="166"/>
      <c r="H929" s="169">
        <f t="shared" si="40"/>
        <v>0</v>
      </c>
      <c r="I929" s="174"/>
      <c r="J929" s="172"/>
      <c r="K929" s="154"/>
      <c r="L929" s="154"/>
      <c r="M929" s="160"/>
      <c r="N929" s="599">
        <f t="shared" si="41"/>
        <v>41.5</v>
      </c>
      <c r="O929" s="177"/>
      <c r="P929" s="423" t="e">
        <f>IF(A929&lt;&gt;"", Снабжения!H929 / VLOOKUP(A929, 'Курс валют'!$A:$D, 4, 0), "")</f>
        <v>#DIV/0!</v>
      </c>
    </row>
    <row r="930" spans="1:16" ht="20.100000000000001" customHeight="1" thickBot="1" x14ac:dyDescent="0.5">
      <c r="A930" s="157">
        <v>46170</v>
      </c>
      <c r="B930" s="153" t="s">
        <v>223</v>
      </c>
      <c r="C930" s="154" t="s">
        <v>69</v>
      </c>
      <c r="D930" s="160" t="s">
        <v>220</v>
      </c>
      <c r="E930" s="181"/>
      <c r="F930" s="457">
        <v>6</v>
      </c>
      <c r="G930" s="166"/>
      <c r="H930" s="169">
        <f t="shared" si="40"/>
        <v>0</v>
      </c>
      <c r="I930" s="174"/>
      <c r="J930" s="172"/>
      <c r="K930" s="154"/>
      <c r="L930" s="154"/>
      <c r="M930" s="160"/>
      <c r="N930" s="599">
        <f t="shared" si="41"/>
        <v>8</v>
      </c>
      <c r="O930" s="177"/>
      <c r="P930" s="423" t="e">
        <f>IF(A930&lt;&gt;"", Снабжения!H930 / VLOOKUP(A930, 'Курс валют'!$A:$D, 4, 0), "")</f>
        <v>#DIV/0!</v>
      </c>
    </row>
    <row r="931" spans="1:16" ht="20.100000000000001" customHeight="1" thickBot="1" x14ac:dyDescent="0.5">
      <c r="A931" s="157">
        <v>46170</v>
      </c>
      <c r="B931" s="153" t="s">
        <v>208</v>
      </c>
      <c r="C931" s="154" t="s">
        <v>69</v>
      </c>
      <c r="D931" s="160" t="s">
        <v>220</v>
      </c>
      <c r="E931" s="181"/>
      <c r="F931" s="457">
        <v>2</v>
      </c>
      <c r="G931" s="166"/>
      <c r="H931" s="169">
        <f t="shared" si="40"/>
        <v>0</v>
      </c>
      <c r="I931" s="174"/>
      <c r="J931" s="172"/>
      <c r="K931" s="154"/>
      <c r="L931" s="154"/>
      <c r="M931" s="160"/>
      <c r="N931" s="599">
        <f t="shared" si="41"/>
        <v>10</v>
      </c>
      <c r="O931" s="177"/>
      <c r="P931" s="423" t="e">
        <f>IF(A931&lt;&gt;"", Снабжения!H931 / VLOOKUP(A931, 'Курс валют'!$A:$D, 4, 0), "")</f>
        <v>#DIV/0!</v>
      </c>
    </row>
    <row r="932" spans="1:16" ht="20.100000000000001" customHeight="1" thickBot="1" x14ac:dyDescent="0.5">
      <c r="A932" s="157">
        <v>46170</v>
      </c>
      <c r="B932" s="153" t="s">
        <v>189</v>
      </c>
      <c r="C932" s="154" t="s">
        <v>69</v>
      </c>
      <c r="D932" s="160" t="s">
        <v>220</v>
      </c>
      <c r="E932" s="181"/>
      <c r="F932" s="457">
        <v>40</v>
      </c>
      <c r="G932" s="166"/>
      <c r="H932" s="169">
        <f t="shared" si="40"/>
        <v>0</v>
      </c>
      <c r="I932" s="174"/>
      <c r="J932" s="172"/>
      <c r="K932" s="154"/>
      <c r="L932" s="154"/>
      <c r="M932" s="160"/>
      <c r="N932" s="599">
        <f t="shared" si="41"/>
        <v>309</v>
      </c>
      <c r="O932" s="177"/>
      <c r="P932" s="423" t="e">
        <f>IF(A932&lt;&gt;"", Снабжения!H932 / VLOOKUP(A932, 'Курс валют'!$A:$D, 4, 0), "")</f>
        <v>#DIV/0!</v>
      </c>
    </row>
    <row r="933" spans="1:16" ht="20.100000000000001" customHeight="1" thickBot="1" x14ac:dyDescent="0.5">
      <c r="A933" s="157">
        <v>46170</v>
      </c>
      <c r="B933" s="153" t="s">
        <v>186</v>
      </c>
      <c r="C933" s="154" t="s">
        <v>59</v>
      </c>
      <c r="D933" s="160" t="s">
        <v>187</v>
      </c>
      <c r="E933" s="181"/>
      <c r="F933" s="457">
        <v>20</v>
      </c>
      <c r="G933" s="166"/>
      <c r="H933" s="169">
        <f t="shared" si="40"/>
        <v>0</v>
      </c>
      <c r="I933" s="174"/>
      <c r="J933" s="172"/>
      <c r="K933" s="154"/>
      <c r="L933" s="154"/>
      <c r="M933" s="160"/>
      <c r="N933" s="599">
        <f t="shared" si="41"/>
        <v>40</v>
      </c>
      <c r="O933" s="177"/>
      <c r="P933" s="423" t="e">
        <f>IF(A933&lt;&gt;"", Снабжения!H933 / VLOOKUP(A933, 'Курс валют'!$A:$D, 4, 0), "")</f>
        <v>#DIV/0!</v>
      </c>
    </row>
    <row r="934" spans="1:16" ht="20.100000000000001" customHeight="1" thickBot="1" x14ac:dyDescent="0.5">
      <c r="A934" s="157">
        <v>46170</v>
      </c>
      <c r="B934" s="153" t="s">
        <v>188</v>
      </c>
      <c r="C934" s="154" t="s">
        <v>59</v>
      </c>
      <c r="D934" s="160" t="s">
        <v>187</v>
      </c>
      <c r="E934" s="181"/>
      <c r="F934" s="457">
        <v>20</v>
      </c>
      <c r="G934" s="166"/>
      <c r="H934" s="169">
        <f t="shared" si="40"/>
        <v>0</v>
      </c>
      <c r="I934" s="174"/>
      <c r="J934" s="172"/>
      <c r="K934" s="154"/>
      <c r="L934" s="154"/>
      <c r="M934" s="160"/>
      <c r="N934" s="599">
        <f t="shared" si="41"/>
        <v>20</v>
      </c>
      <c r="O934" s="177"/>
      <c r="P934" s="423" t="e">
        <f>IF(A934&lt;&gt;"", Снабжения!H934 / VLOOKUP(A934, 'Курс валют'!$A:$D, 4, 0), "")</f>
        <v>#DIV/0!</v>
      </c>
    </row>
    <row r="935" spans="1:16" ht="20.100000000000001" customHeight="1" thickBot="1" x14ac:dyDescent="0.5">
      <c r="A935" s="157">
        <v>46171</v>
      </c>
      <c r="B935" s="153" t="s">
        <v>189</v>
      </c>
      <c r="C935" s="154" t="s">
        <v>69</v>
      </c>
      <c r="D935" s="160" t="s">
        <v>220</v>
      </c>
      <c r="E935" s="181"/>
      <c r="F935" s="457">
        <v>1</v>
      </c>
      <c r="G935" s="166"/>
      <c r="H935" s="169">
        <f t="shared" si="40"/>
        <v>0</v>
      </c>
      <c r="I935" s="174"/>
      <c r="J935" s="172"/>
      <c r="K935" s="154"/>
      <c r="L935" s="154"/>
      <c r="M935" s="160"/>
      <c r="N935" s="599">
        <f t="shared" si="41"/>
        <v>309</v>
      </c>
      <c r="O935" s="177"/>
      <c r="P935" s="423" t="e">
        <f>IF(A935&lt;&gt;"", Снабжения!H935 / VLOOKUP(A935, 'Курс валют'!$A:$D, 4, 0), "")</f>
        <v>#DIV/0!</v>
      </c>
    </row>
    <row r="936" spans="1:16" ht="20.100000000000001" customHeight="1" thickBot="1" x14ac:dyDescent="0.5">
      <c r="A936" s="157">
        <v>46171</v>
      </c>
      <c r="B936" s="153" t="s">
        <v>186</v>
      </c>
      <c r="C936" s="154" t="s">
        <v>59</v>
      </c>
      <c r="D936" s="160" t="s">
        <v>187</v>
      </c>
      <c r="E936" s="181"/>
      <c r="F936" s="457">
        <v>20</v>
      </c>
      <c r="G936" s="166"/>
      <c r="H936" s="169">
        <f t="shared" si="40"/>
        <v>0</v>
      </c>
      <c r="I936" s="174"/>
      <c r="J936" s="172"/>
      <c r="K936" s="154"/>
      <c r="L936" s="154"/>
      <c r="M936" s="160"/>
      <c r="N936" s="599">
        <f t="shared" si="41"/>
        <v>40</v>
      </c>
      <c r="O936" s="177"/>
      <c r="P936" s="423" t="e">
        <f>IF(A936&lt;&gt;"", Снабжения!H936 / VLOOKUP(A936, 'Курс валют'!$A:$D, 4, 0), "")</f>
        <v>#DIV/0!</v>
      </c>
    </row>
    <row r="937" spans="1:16" ht="20.100000000000001" customHeight="1" thickBot="1" x14ac:dyDescent="0.5">
      <c r="A937" s="157">
        <v>46171</v>
      </c>
      <c r="B937" s="153" t="s">
        <v>188</v>
      </c>
      <c r="C937" s="154" t="s">
        <v>59</v>
      </c>
      <c r="D937" s="160" t="s">
        <v>187</v>
      </c>
      <c r="E937" s="181"/>
      <c r="F937" s="457">
        <v>20</v>
      </c>
      <c r="G937" s="166"/>
      <c r="H937" s="169">
        <f t="shared" si="40"/>
        <v>0</v>
      </c>
      <c r="I937" s="174"/>
      <c r="J937" s="172"/>
      <c r="K937" s="154"/>
      <c r="L937" s="154"/>
      <c r="M937" s="160"/>
      <c r="N937" s="599">
        <f t="shared" si="41"/>
        <v>20</v>
      </c>
      <c r="O937" s="177"/>
      <c r="P937" s="423" t="e">
        <f>IF(A937&lt;&gt;"", Снабжения!H937 / VLOOKUP(A937, 'Курс валют'!$A:$D, 4, 0), "")</f>
        <v>#DIV/0!</v>
      </c>
    </row>
    <row r="938" spans="1:16" ht="20.100000000000001" customHeight="1" thickBot="1" x14ac:dyDescent="0.5">
      <c r="A938" s="157">
        <v>46171</v>
      </c>
      <c r="B938" s="153" t="s">
        <v>271</v>
      </c>
      <c r="C938" s="154" t="s">
        <v>69</v>
      </c>
      <c r="D938" s="160" t="s">
        <v>220</v>
      </c>
      <c r="E938" s="181"/>
      <c r="F938" s="457">
        <v>6</v>
      </c>
      <c r="G938" s="166"/>
      <c r="H938" s="169">
        <f t="shared" si="40"/>
        <v>0</v>
      </c>
      <c r="I938" s="174"/>
      <c r="J938" s="172"/>
      <c r="K938" s="154"/>
      <c r="L938" s="154"/>
      <c r="M938" s="160"/>
      <c r="N938" s="599">
        <f t="shared" si="41"/>
        <v>42</v>
      </c>
      <c r="O938" s="177"/>
      <c r="P938" s="423" t="e">
        <f>IF(A938&lt;&gt;"", Снабжения!H938 / VLOOKUP(A938, 'Курс валют'!$A:$D, 4, 0), "")</f>
        <v>#DIV/0!</v>
      </c>
    </row>
    <row r="939" spans="1:16" ht="20.100000000000001" customHeight="1" thickBot="1" x14ac:dyDescent="0.5">
      <c r="A939" s="157">
        <v>46171</v>
      </c>
      <c r="B939" s="153" t="s">
        <v>189</v>
      </c>
      <c r="C939" s="154" t="s">
        <v>69</v>
      </c>
      <c r="D939" s="160" t="s">
        <v>220</v>
      </c>
      <c r="E939" s="181"/>
      <c r="F939" s="457">
        <v>1</v>
      </c>
      <c r="G939" s="166"/>
      <c r="H939" s="169">
        <f t="shared" si="40"/>
        <v>0</v>
      </c>
      <c r="I939" s="174"/>
      <c r="J939" s="172"/>
      <c r="K939" s="154"/>
      <c r="L939" s="154"/>
      <c r="M939" s="160"/>
      <c r="N939" s="599">
        <f t="shared" si="41"/>
        <v>309</v>
      </c>
      <c r="O939" s="177"/>
      <c r="P939" s="423" t="e">
        <f>IF(A939&lt;&gt;"", Снабжения!H939 / VLOOKUP(A939, 'Курс валют'!$A:$D, 4, 0), "")</f>
        <v>#DIV/0!</v>
      </c>
    </row>
    <row r="940" spans="1:16" ht="20.100000000000001" customHeight="1" thickBot="1" x14ac:dyDescent="0.5">
      <c r="A940" s="157">
        <v>46171</v>
      </c>
      <c r="B940" s="153" t="s">
        <v>849</v>
      </c>
      <c r="C940" s="154" t="s">
        <v>69</v>
      </c>
      <c r="D940" s="160" t="s">
        <v>220</v>
      </c>
      <c r="E940" s="181"/>
      <c r="F940" s="457">
        <v>1</v>
      </c>
      <c r="G940" s="166"/>
      <c r="H940" s="169">
        <f t="shared" si="40"/>
        <v>0</v>
      </c>
      <c r="I940" s="174"/>
      <c r="J940" s="172"/>
      <c r="K940" s="154"/>
      <c r="L940" s="154"/>
      <c r="M940" s="160"/>
      <c r="N940" s="599">
        <f t="shared" si="41"/>
        <v>17</v>
      </c>
      <c r="O940" s="177"/>
      <c r="P940" s="423" t="e">
        <f>IF(A940&lt;&gt;"", Снабжения!H940 / VLOOKUP(A940, 'Курс валют'!$A:$D, 4, 0), "")</f>
        <v>#DIV/0!</v>
      </c>
    </row>
    <row r="941" spans="1:16" ht="20.100000000000001" customHeight="1" thickBot="1" x14ac:dyDescent="0.5">
      <c r="A941" s="157">
        <v>46172</v>
      </c>
      <c r="B941" s="153" t="s">
        <v>208</v>
      </c>
      <c r="C941" s="154" t="s">
        <v>69</v>
      </c>
      <c r="D941" s="160" t="s">
        <v>220</v>
      </c>
      <c r="E941" s="181"/>
      <c r="F941" s="457">
        <v>1</v>
      </c>
      <c r="G941" s="166"/>
      <c r="H941" s="169">
        <f t="shared" si="40"/>
        <v>0</v>
      </c>
      <c r="I941" s="174"/>
      <c r="J941" s="172"/>
      <c r="K941" s="154"/>
      <c r="L941" s="154"/>
      <c r="M941" s="160"/>
      <c r="N941" s="599">
        <f t="shared" si="41"/>
        <v>10</v>
      </c>
      <c r="O941" s="177"/>
      <c r="P941" s="423" t="e">
        <f>IF(A941&lt;&gt;"", Снабжения!H941 / VLOOKUP(A941, 'Курс валют'!$A:$D, 4, 0), "")</f>
        <v>#DIV/0!</v>
      </c>
    </row>
    <row r="942" spans="1:16" ht="20.100000000000001" customHeight="1" thickBot="1" x14ac:dyDescent="0.5">
      <c r="A942" s="157">
        <v>46172</v>
      </c>
      <c r="B942" s="153" t="s">
        <v>230</v>
      </c>
      <c r="C942" s="154" t="s">
        <v>85</v>
      </c>
      <c r="D942" s="160" t="s">
        <v>220</v>
      </c>
      <c r="E942" s="181"/>
      <c r="F942" s="457">
        <v>100</v>
      </c>
      <c r="G942" s="166"/>
      <c r="H942" s="169">
        <f t="shared" si="40"/>
        <v>0</v>
      </c>
      <c r="I942" s="174"/>
      <c r="J942" s="172"/>
      <c r="K942" s="154"/>
      <c r="L942" s="154"/>
      <c r="M942" s="160"/>
      <c r="N942" s="599">
        <f t="shared" si="41"/>
        <v>400</v>
      </c>
      <c r="O942" s="177"/>
      <c r="P942" s="423" t="e">
        <f>IF(A942&lt;&gt;"", Снабжения!H942 / VLOOKUP(A942, 'Курс валют'!$A:$D, 4, 0), "")</f>
        <v>#DIV/0!</v>
      </c>
    </row>
    <row r="943" spans="1:16" ht="20.100000000000001" customHeight="1" thickBot="1" x14ac:dyDescent="0.5">
      <c r="A943" s="157">
        <v>46172</v>
      </c>
      <c r="B943" s="153" t="s">
        <v>849</v>
      </c>
      <c r="C943" s="154" t="s">
        <v>69</v>
      </c>
      <c r="D943" s="160" t="s">
        <v>220</v>
      </c>
      <c r="E943" s="181"/>
      <c r="F943" s="457">
        <v>2</v>
      </c>
      <c r="G943" s="166"/>
      <c r="H943" s="169">
        <f t="shared" si="40"/>
        <v>0</v>
      </c>
      <c r="I943" s="174"/>
      <c r="J943" s="172"/>
      <c r="K943" s="154"/>
      <c r="L943" s="154"/>
      <c r="M943" s="160">
        <v>19</v>
      </c>
      <c r="N943" s="599">
        <f t="shared" si="41"/>
        <v>17</v>
      </c>
      <c r="O943" s="177"/>
      <c r="P943" s="423" t="e">
        <f>IF(A943&lt;&gt;"", Снабжения!H943 / VLOOKUP(A943, 'Курс валют'!$A:$D, 4, 0), "")</f>
        <v>#DIV/0!</v>
      </c>
    </row>
    <row r="944" spans="1:16" ht="20.100000000000001" customHeight="1" thickBot="1" x14ac:dyDescent="0.5">
      <c r="A944" s="157">
        <v>46172</v>
      </c>
      <c r="B944" s="153" t="s">
        <v>189</v>
      </c>
      <c r="C944" s="154" t="s">
        <v>69</v>
      </c>
      <c r="D944" s="160" t="s">
        <v>220</v>
      </c>
      <c r="E944" s="181"/>
      <c r="F944" s="457">
        <v>40</v>
      </c>
      <c r="G944" s="166"/>
      <c r="H944" s="169">
        <f t="shared" si="40"/>
        <v>0</v>
      </c>
      <c r="I944" s="174"/>
      <c r="J944" s="172"/>
      <c r="K944" s="154"/>
      <c r="L944" s="154"/>
      <c r="M944" s="160">
        <v>245</v>
      </c>
      <c r="N944" s="599">
        <f t="shared" si="41"/>
        <v>309</v>
      </c>
      <c r="O944" s="177"/>
      <c r="P944" s="423" t="e">
        <f>IF(A944&lt;&gt;"", Снабжения!H944 / VLOOKUP(A944, 'Курс валют'!$A:$D, 4, 0), "")</f>
        <v>#DIV/0!</v>
      </c>
    </row>
    <row r="945" spans="1:16" ht="20.100000000000001" customHeight="1" thickBot="1" x14ac:dyDescent="0.5">
      <c r="A945" s="157">
        <v>46172</v>
      </c>
      <c r="B945" s="153" t="s">
        <v>223</v>
      </c>
      <c r="C945" s="154" t="s">
        <v>69</v>
      </c>
      <c r="D945" s="160" t="s">
        <v>220</v>
      </c>
      <c r="E945" s="181"/>
      <c r="F945" s="457">
        <v>2</v>
      </c>
      <c r="G945" s="166"/>
      <c r="H945" s="169">
        <f t="shared" si="40"/>
        <v>0</v>
      </c>
      <c r="I945" s="174"/>
      <c r="J945" s="172"/>
      <c r="K945" s="154"/>
      <c r="L945" s="154"/>
      <c r="M945" s="160">
        <v>14</v>
      </c>
      <c r="N945" s="599">
        <f t="shared" si="41"/>
        <v>8</v>
      </c>
      <c r="O945" s="177"/>
      <c r="P945" s="423" t="e">
        <f>IF(A945&lt;&gt;"", Снабжения!H945 / VLOOKUP(A945, 'Курс валют'!$A:$D, 4, 0), "")</f>
        <v>#DIV/0!</v>
      </c>
    </row>
    <row r="946" spans="1:16" ht="20.100000000000001" customHeight="1" thickBot="1" x14ac:dyDescent="0.5">
      <c r="A946" s="157">
        <v>46172</v>
      </c>
      <c r="B946" s="153" t="s">
        <v>209</v>
      </c>
      <c r="C946" s="154" t="s">
        <v>69</v>
      </c>
      <c r="D946" s="160" t="s">
        <v>220</v>
      </c>
      <c r="E946" s="181"/>
      <c r="F946" s="457">
        <v>2</v>
      </c>
      <c r="G946" s="166"/>
      <c r="H946" s="169">
        <f t="shared" si="40"/>
        <v>0</v>
      </c>
      <c r="I946" s="174"/>
      <c r="J946" s="172"/>
      <c r="K946" s="154"/>
      <c r="L946" s="154"/>
      <c r="M946" s="160"/>
      <c r="N946" s="599">
        <f t="shared" si="41"/>
        <v>128</v>
      </c>
      <c r="O946" s="177"/>
      <c r="P946" s="423" t="e">
        <f>IF(A946&lt;&gt;"", Снабжения!H946 / VLOOKUP(A946, 'Курс валют'!$A:$D, 4, 0), "")</f>
        <v>#DIV/0!</v>
      </c>
    </row>
    <row r="947" spans="1:16" ht="20.100000000000001" customHeight="1" thickBot="1" x14ac:dyDescent="0.5">
      <c r="A947" s="157">
        <v>46173</v>
      </c>
      <c r="B947" s="153" t="s">
        <v>203</v>
      </c>
      <c r="C947" s="154" t="s">
        <v>69</v>
      </c>
      <c r="D947" s="160" t="s">
        <v>220</v>
      </c>
      <c r="E947" s="181"/>
      <c r="F947" s="457">
        <v>1</v>
      </c>
      <c r="G947" s="166"/>
      <c r="H947" s="169">
        <f t="shared" si="40"/>
        <v>0</v>
      </c>
      <c r="I947" s="174"/>
      <c r="J947" s="172"/>
      <c r="K947" s="154"/>
      <c r="L947" s="154"/>
      <c r="M947" s="160"/>
      <c r="N947" s="599">
        <f t="shared" si="41"/>
        <v>11</v>
      </c>
      <c r="O947" s="177"/>
      <c r="P947" s="423" t="e">
        <f>IF(A947&lt;&gt;"", Снабжения!H947 / VLOOKUP(A947, 'Курс валют'!$A:$D, 4, 0), "")</f>
        <v>#DIV/0!</v>
      </c>
    </row>
    <row r="948" spans="1:16" ht="20.100000000000001" customHeight="1" thickBot="1" x14ac:dyDescent="0.5">
      <c r="A948" s="157">
        <v>46173</v>
      </c>
      <c r="B948" s="153" t="s">
        <v>186</v>
      </c>
      <c r="C948" s="154" t="s">
        <v>59</v>
      </c>
      <c r="D948" s="160" t="s">
        <v>187</v>
      </c>
      <c r="E948" s="181"/>
      <c r="F948" s="457">
        <v>20</v>
      </c>
      <c r="G948" s="166"/>
      <c r="H948" s="169">
        <f t="shared" si="40"/>
        <v>0</v>
      </c>
      <c r="I948" s="174"/>
      <c r="J948" s="172"/>
      <c r="K948" s="154"/>
      <c r="L948" s="154"/>
      <c r="M948" s="160">
        <v>20</v>
      </c>
      <c r="N948" s="599">
        <f t="shared" si="41"/>
        <v>40</v>
      </c>
      <c r="O948" s="177"/>
      <c r="P948" s="423" t="e">
        <f>IF(A948&lt;&gt;"", Снабжения!H948 / VLOOKUP(A948, 'Курс валют'!$A:$D, 4, 0), "")</f>
        <v>#DIV/0!</v>
      </c>
    </row>
    <row r="949" spans="1:16" ht="20.100000000000001" customHeight="1" thickBot="1" x14ac:dyDescent="0.5">
      <c r="A949" s="157">
        <v>46173</v>
      </c>
      <c r="B949" s="153" t="s">
        <v>296</v>
      </c>
      <c r="C949" s="154" t="s">
        <v>127</v>
      </c>
      <c r="D949" s="160" t="s">
        <v>220</v>
      </c>
      <c r="E949" s="181">
        <v>20</v>
      </c>
      <c r="F949" s="457">
        <v>2</v>
      </c>
      <c r="G949" s="166"/>
      <c r="H949" s="169">
        <f t="shared" si="40"/>
        <v>0</v>
      </c>
      <c r="I949" s="174"/>
      <c r="J949" s="172"/>
      <c r="K949" s="154"/>
      <c r="L949" s="154"/>
      <c r="M949" s="160"/>
      <c r="N949" s="599">
        <f t="shared" si="41"/>
        <v>20</v>
      </c>
      <c r="O949" s="177"/>
      <c r="P949" s="423" t="e">
        <f>IF(A949&lt;&gt;"", Снабжения!H949 / VLOOKUP(A949, 'Курс валют'!$A:$D, 4, 0), "")</f>
        <v>#DIV/0!</v>
      </c>
    </row>
    <row r="950" spans="1:16" ht="20.100000000000001" customHeight="1" thickBot="1" x14ac:dyDescent="0.5">
      <c r="A950" s="157">
        <v>46173</v>
      </c>
      <c r="B950" s="153" t="s">
        <v>283</v>
      </c>
      <c r="C950" s="154" t="s">
        <v>127</v>
      </c>
      <c r="D950" s="160" t="s">
        <v>220</v>
      </c>
      <c r="E950" s="181">
        <v>5</v>
      </c>
      <c r="F950" s="457"/>
      <c r="G950" s="166"/>
      <c r="H950" s="169">
        <f t="shared" si="40"/>
        <v>0</v>
      </c>
      <c r="I950" s="174"/>
      <c r="J950" s="172"/>
      <c r="K950" s="154"/>
      <c r="L950" s="154"/>
      <c r="M950" s="160"/>
      <c r="N950" s="599">
        <f t="shared" si="41"/>
        <v>18</v>
      </c>
      <c r="O950" s="177"/>
      <c r="P950" s="423" t="e">
        <f>IF(A950&lt;&gt;"", Снабжения!H950 / VLOOKUP(A950, 'Курс валют'!$A:$D, 4, 0), "")</f>
        <v>#DIV/0!</v>
      </c>
    </row>
    <row r="951" spans="1:16" ht="20.100000000000001" customHeight="1" thickBot="1" x14ac:dyDescent="0.5">
      <c r="A951" s="157">
        <v>46174</v>
      </c>
      <c r="B951" s="153" t="s">
        <v>271</v>
      </c>
      <c r="C951" s="154" t="s">
        <v>69</v>
      </c>
      <c r="D951" s="160" t="s">
        <v>220</v>
      </c>
      <c r="E951" s="181"/>
      <c r="F951" s="457">
        <v>10</v>
      </c>
      <c r="G951" s="166"/>
      <c r="H951" s="169">
        <f t="shared" si="40"/>
        <v>0</v>
      </c>
      <c r="I951" s="174"/>
      <c r="J951" s="172"/>
      <c r="K951" s="154"/>
      <c r="L951" s="154"/>
      <c r="M951" s="160">
        <v>50</v>
      </c>
      <c r="N951" s="599">
        <f t="shared" si="41"/>
        <v>42</v>
      </c>
      <c r="O951" s="177"/>
      <c r="P951" s="423" t="e">
        <f>IF(A951&lt;&gt;"", Снабжения!H951 / VLOOKUP(A951, 'Курс валют'!$A:$D, 4, 0), "")</f>
        <v>#DIV/0!</v>
      </c>
    </row>
    <row r="952" spans="1:16" ht="20.100000000000001" customHeight="1" thickBot="1" x14ac:dyDescent="0.5">
      <c r="A952" s="157">
        <v>46174</v>
      </c>
      <c r="B952" s="153" t="s">
        <v>254</v>
      </c>
      <c r="C952" s="154" t="s">
        <v>69</v>
      </c>
      <c r="D952" s="160" t="s">
        <v>220</v>
      </c>
      <c r="E952" s="181"/>
      <c r="F952" s="457">
        <v>6</v>
      </c>
      <c r="G952" s="166"/>
      <c r="H952" s="169">
        <f t="shared" si="40"/>
        <v>0</v>
      </c>
      <c r="I952" s="174"/>
      <c r="J952" s="172"/>
      <c r="K952" s="154"/>
      <c r="L952" s="154"/>
      <c r="M952" s="160"/>
      <c r="N952" s="599">
        <f t="shared" si="41"/>
        <v>33</v>
      </c>
      <c r="O952" s="177"/>
      <c r="P952" s="423" t="e">
        <f>IF(A952&lt;&gt;"", Снабжения!H952 / VLOOKUP(A952, 'Курс валют'!$A:$D, 4, 0), "")</f>
        <v>#DIV/0!</v>
      </c>
    </row>
    <row r="953" spans="1:16" ht="20.100000000000001" customHeight="1" thickBot="1" x14ac:dyDescent="0.5">
      <c r="A953" s="157">
        <v>46174</v>
      </c>
      <c r="B953" s="153" t="s">
        <v>240</v>
      </c>
      <c r="C953" s="154" t="s">
        <v>69</v>
      </c>
      <c r="D953" s="160" t="s">
        <v>220</v>
      </c>
      <c r="E953" s="181"/>
      <c r="F953" s="457">
        <v>2</v>
      </c>
      <c r="G953" s="166"/>
      <c r="H953" s="169">
        <f t="shared" si="40"/>
        <v>0</v>
      </c>
      <c r="I953" s="174"/>
      <c r="J953" s="172"/>
      <c r="K953" s="154"/>
      <c r="L953" s="154"/>
      <c r="M953" s="160"/>
      <c r="N953" s="599">
        <f t="shared" si="41"/>
        <v>9</v>
      </c>
      <c r="O953" s="177"/>
      <c r="P953" s="423" t="e">
        <f>IF(A953&lt;&gt;"", Снабжения!H953 / VLOOKUP(A953, 'Курс валют'!$A:$D, 4, 0), "")</f>
        <v>#DIV/0!</v>
      </c>
    </row>
    <row r="954" spans="1:16" ht="20.100000000000001" customHeight="1" thickBot="1" x14ac:dyDescent="0.5">
      <c r="A954" s="157">
        <v>46174</v>
      </c>
      <c r="B954" s="153" t="s">
        <v>182</v>
      </c>
      <c r="C954" s="154" t="s">
        <v>69</v>
      </c>
      <c r="D954" s="160" t="s">
        <v>220</v>
      </c>
      <c r="E954" s="181"/>
      <c r="F954" s="457">
        <v>1</v>
      </c>
      <c r="G954" s="166"/>
      <c r="H954" s="169">
        <f t="shared" si="40"/>
        <v>0</v>
      </c>
      <c r="I954" s="174"/>
      <c r="J954" s="172"/>
      <c r="K954" s="154"/>
      <c r="L954" s="154"/>
      <c r="M954" s="160">
        <v>20</v>
      </c>
      <c r="N954" s="599">
        <f t="shared" si="41"/>
        <v>22</v>
      </c>
      <c r="O954" s="177"/>
      <c r="P954" s="423" t="e">
        <f>IF(A954&lt;&gt;"", Снабжения!H954 / VLOOKUP(A954, 'Курс валют'!$A:$D, 4, 0), "")</f>
        <v>#DIV/0!</v>
      </c>
    </row>
    <row r="955" spans="1:16" ht="20.100000000000001" customHeight="1" thickBot="1" x14ac:dyDescent="0.5">
      <c r="A955" s="157">
        <v>46174</v>
      </c>
      <c r="B955" s="153" t="s">
        <v>253</v>
      </c>
      <c r="C955" s="154" t="s">
        <v>69</v>
      </c>
      <c r="D955" s="160" t="s">
        <v>220</v>
      </c>
      <c r="E955" s="181"/>
      <c r="F955" s="457">
        <v>2</v>
      </c>
      <c r="G955" s="166"/>
      <c r="H955" s="169">
        <f t="shared" si="40"/>
        <v>0</v>
      </c>
      <c r="I955" s="174"/>
      <c r="J955" s="172"/>
      <c r="K955" s="154"/>
      <c r="L955" s="154"/>
      <c r="M955" s="160"/>
      <c r="N955" s="599">
        <f t="shared" si="41"/>
        <v>8</v>
      </c>
      <c r="O955" s="177"/>
      <c r="P955" s="423" t="e">
        <f>IF(A955&lt;&gt;"", Снабжения!H955 / VLOOKUP(A955, 'Курс валют'!$A:$D, 4, 0), "")</f>
        <v>#DIV/0!</v>
      </c>
    </row>
    <row r="956" spans="1:16" ht="20.100000000000001" customHeight="1" thickBot="1" x14ac:dyDescent="0.5">
      <c r="A956" s="157">
        <v>46174</v>
      </c>
      <c r="B956" s="153" t="s">
        <v>219</v>
      </c>
      <c r="C956" s="154" t="s">
        <v>59</v>
      </c>
      <c r="D956" s="160" t="s">
        <v>220</v>
      </c>
      <c r="E956" s="181"/>
      <c r="F956" s="457">
        <v>2.5</v>
      </c>
      <c r="G956" s="166"/>
      <c r="H956" s="169">
        <f t="shared" si="40"/>
        <v>0</v>
      </c>
      <c r="I956" s="174"/>
      <c r="J956" s="172"/>
      <c r="K956" s="154"/>
      <c r="L956" s="154"/>
      <c r="M956" s="160"/>
      <c r="N956" s="599">
        <f t="shared" si="41"/>
        <v>41.5</v>
      </c>
      <c r="O956" s="177"/>
      <c r="P956" s="423" t="e">
        <f>IF(A956&lt;&gt;"", Снабжения!H956 / VLOOKUP(A956, 'Курс валют'!$A:$D, 4, 0), "")</f>
        <v>#DIV/0!</v>
      </c>
    </row>
    <row r="957" spans="1:16" ht="20.100000000000001" customHeight="1" thickBot="1" x14ac:dyDescent="0.5">
      <c r="A957" s="157">
        <v>46174</v>
      </c>
      <c r="B957" s="153" t="s">
        <v>284</v>
      </c>
      <c r="C957" s="154" t="s">
        <v>69</v>
      </c>
      <c r="D957" s="160" t="s">
        <v>220</v>
      </c>
      <c r="E957" s="181"/>
      <c r="F957" s="457">
        <v>1</v>
      </c>
      <c r="G957" s="166"/>
      <c r="H957" s="169">
        <f t="shared" si="40"/>
        <v>0</v>
      </c>
      <c r="I957" s="174"/>
      <c r="J957" s="172"/>
      <c r="K957" s="154"/>
      <c r="L957" s="154"/>
      <c r="M957" s="160"/>
      <c r="N957" s="599">
        <f t="shared" si="41"/>
        <v>1</v>
      </c>
      <c r="O957" s="177"/>
      <c r="P957" s="423" t="e">
        <f>IF(A957&lt;&gt;"", Снабжения!H957 / VLOOKUP(A957, 'Курс валют'!$A:$D, 4, 0), "")</f>
        <v>#DIV/0!</v>
      </c>
    </row>
    <row r="958" spans="1:16" ht="20.100000000000001" customHeight="1" thickBot="1" x14ac:dyDescent="0.5">
      <c r="A958" s="157"/>
      <c r="B958" s="153"/>
      <c r="C958" s="154"/>
      <c r="D958" s="160"/>
      <c r="E958" s="181"/>
      <c r="F958" s="457"/>
      <c r="G958" s="166"/>
      <c r="H958" s="169">
        <f t="shared" si="40"/>
        <v>0</v>
      </c>
      <c r="I958" s="174"/>
      <c r="J958" s="172"/>
      <c r="K958" s="154"/>
      <c r="L958" s="154"/>
      <c r="M958" s="160"/>
      <c r="N958" s="599">
        <f t="shared" si="41"/>
        <v>0</v>
      </c>
      <c r="O958" s="177"/>
      <c r="P958" s="423" t="str">
        <f>IF(A958&lt;&gt;"", Снабжения!H958 / VLOOKUP(A958, 'Курс валют'!$A:$D, 4, 0), "")</f>
        <v/>
      </c>
    </row>
    <row r="959" spans="1:16" ht="20.100000000000001" customHeight="1" thickBot="1" x14ac:dyDescent="0.5">
      <c r="A959" s="157"/>
      <c r="B959" s="153"/>
      <c r="C959" s="154"/>
      <c r="D959" s="160"/>
      <c r="E959" s="181"/>
      <c r="F959" s="457"/>
      <c r="G959" s="166"/>
      <c r="H959" s="169">
        <f t="shared" si="40"/>
        <v>0</v>
      </c>
      <c r="I959" s="174"/>
      <c r="J959" s="172"/>
      <c r="K959" s="154"/>
      <c r="L959" s="154"/>
      <c r="M959" s="160"/>
      <c r="N959" s="599">
        <f t="shared" si="41"/>
        <v>0</v>
      </c>
      <c r="O959" s="177"/>
      <c r="P959" s="423" t="str">
        <f>IF(A959&lt;&gt;"", Снабжения!H959 / VLOOKUP(A959, 'Курс валют'!$A:$D, 4, 0), "")</f>
        <v/>
      </c>
    </row>
    <row r="960" spans="1:16" ht="20.100000000000001" customHeight="1" thickBot="1" x14ac:dyDescent="0.5">
      <c r="A960" s="157"/>
      <c r="B960" s="153"/>
      <c r="C960" s="154"/>
      <c r="D960" s="160"/>
      <c r="E960" s="181"/>
      <c r="F960" s="457"/>
      <c r="G960" s="166"/>
      <c r="H960" s="169">
        <f t="shared" si="40"/>
        <v>0</v>
      </c>
      <c r="I960" s="174"/>
      <c r="J960" s="172"/>
      <c r="K960" s="154"/>
      <c r="L960" s="154"/>
      <c r="M960" s="160"/>
      <c r="N960" s="599">
        <f t="shared" si="41"/>
        <v>0</v>
      </c>
      <c r="O960" s="177"/>
      <c r="P960" s="423" t="str">
        <f>IF(A960&lt;&gt;"", Снабжения!H960 / VLOOKUP(A960, 'Курс валют'!$A:$D, 4, 0), "")</f>
        <v/>
      </c>
    </row>
    <row r="961" spans="1:16" ht="20.100000000000001" customHeight="1" thickBot="1" x14ac:dyDescent="0.5">
      <c r="A961" s="157"/>
      <c r="B961" s="153"/>
      <c r="C961" s="154"/>
      <c r="D961" s="160"/>
      <c r="E961" s="181"/>
      <c r="F961" s="457"/>
      <c r="G961" s="166"/>
      <c r="H961" s="169">
        <f t="shared" si="40"/>
        <v>0</v>
      </c>
      <c r="I961" s="174"/>
      <c r="J961" s="172"/>
      <c r="K961" s="154"/>
      <c r="L961" s="154"/>
      <c r="M961" s="160"/>
      <c r="N961" s="599">
        <f t="shared" si="41"/>
        <v>0</v>
      </c>
      <c r="O961" s="177"/>
      <c r="P961" s="423" t="str">
        <f>IF(A961&lt;&gt;"", Снабжения!H961 / VLOOKUP(A961, 'Курс валют'!$A:$D, 4, 0), "")</f>
        <v/>
      </c>
    </row>
    <row r="962" spans="1:16" ht="20.100000000000001" customHeight="1" thickBot="1" x14ac:dyDescent="0.5">
      <c r="A962" s="157"/>
      <c r="B962" s="153"/>
      <c r="C962" s="154"/>
      <c r="D962" s="160"/>
      <c r="E962" s="181"/>
      <c r="F962" s="457"/>
      <c r="G962" s="166"/>
      <c r="H962" s="169">
        <f t="shared" si="40"/>
        <v>0</v>
      </c>
      <c r="I962" s="174"/>
      <c r="J962" s="172"/>
      <c r="K962" s="154"/>
      <c r="L962" s="154"/>
      <c r="M962" s="160"/>
      <c r="N962" s="599">
        <f t="shared" si="41"/>
        <v>0</v>
      </c>
      <c r="O962" s="177"/>
      <c r="P962" s="423" t="str">
        <f>IF(A962&lt;&gt;"", Снабжения!H962 / VLOOKUP(A962, 'Курс валют'!$A:$D, 4, 0), "")</f>
        <v/>
      </c>
    </row>
    <row r="963" spans="1:16" ht="20.100000000000001" customHeight="1" thickBot="1" x14ac:dyDescent="0.5">
      <c r="A963" s="157"/>
      <c r="B963" s="153"/>
      <c r="C963" s="154"/>
      <c r="D963" s="160"/>
      <c r="E963" s="181"/>
      <c r="F963" s="457"/>
      <c r="G963" s="166"/>
      <c r="H963" s="169">
        <f t="shared" si="40"/>
        <v>0</v>
      </c>
      <c r="I963" s="174"/>
      <c r="J963" s="172"/>
      <c r="K963" s="154"/>
      <c r="L963" s="154"/>
      <c r="M963" s="160"/>
      <c r="N963" s="599">
        <f t="shared" si="41"/>
        <v>0</v>
      </c>
      <c r="O963" s="177"/>
      <c r="P963" s="423" t="str">
        <f>IF(A963&lt;&gt;"", Снабжения!H963 / VLOOKUP(A963, 'Курс валют'!$A:$D, 4, 0), "")</f>
        <v/>
      </c>
    </row>
    <row r="964" spans="1:16" ht="20.100000000000001" customHeight="1" thickBot="1" x14ac:dyDescent="0.5">
      <c r="A964" s="157"/>
      <c r="B964" s="153"/>
      <c r="C964" s="154"/>
      <c r="D964" s="160"/>
      <c r="E964" s="181"/>
      <c r="F964" s="457"/>
      <c r="G964" s="166"/>
      <c r="H964" s="169">
        <f t="shared" si="40"/>
        <v>0</v>
      </c>
      <c r="I964" s="174"/>
      <c r="J964" s="172"/>
      <c r="K964" s="154"/>
      <c r="L964" s="154"/>
      <c r="M964" s="160"/>
      <c r="N964" s="599">
        <f t="shared" si="41"/>
        <v>0</v>
      </c>
      <c r="O964" s="177"/>
      <c r="P964" s="423" t="str">
        <f>IF(A964&lt;&gt;"", Снабжения!H964 / VLOOKUP(A964, 'Курс валют'!$A:$D, 4, 0), "")</f>
        <v/>
      </c>
    </row>
    <row r="965" spans="1:16" ht="20.100000000000001" customHeight="1" thickBot="1" x14ac:dyDescent="0.5">
      <c r="A965" s="157"/>
      <c r="B965" s="153"/>
      <c r="C965" s="154"/>
      <c r="D965" s="160"/>
      <c r="E965" s="181"/>
      <c r="F965" s="457"/>
      <c r="G965" s="166"/>
      <c r="H965" s="169">
        <f t="shared" ref="H965:H1000" si="42">G965*E965</f>
        <v>0</v>
      </c>
      <c r="I965" s="174"/>
      <c r="J965" s="172"/>
      <c r="K965" s="154"/>
      <c r="L965" s="154"/>
      <c r="M965" s="160"/>
      <c r="N965" s="599">
        <f t="shared" si="41"/>
        <v>0</v>
      </c>
      <c r="O965" s="177"/>
      <c r="P965" s="423" t="str">
        <f>IF(A965&lt;&gt;"", Снабжения!H965 / VLOOKUP(A965, 'Курс валют'!$A:$D, 4, 0), "")</f>
        <v/>
      </c>
    </row>
    <row r="966" spans="1:16" ht="20.100000000000001" customHeight="1" thickBot="1" x14ac:dyDescent="0.5">
      <c r="A966" s="157"/>
      <c r="B966" s="153"/>
      <c r="C966" s="154"/>
      <c r="D966" s="160"/>
      <c r="E966" s="181"/>
      <c r="F966" s="457"/>
      <c r="G966" s="166"/>
      <c r="H966" s="169">
        <f t="shared" si="42"/>
        <v>0</v>
      </c>
      <c r="I966" s="174"/>
      <c r="J966" s="172"/>
      <c r="K966" s="154"/>
      <c r="L966" s="154"/>
      <c r="M966" s="160"/>
      <c r="N966" s="599">
        <f t="shared" si="41"/>
        <v>0</v>
      </c>
      <c r="O966" s="177"/>
      <c r="P966" s="423" t="str">
        <f>IF(A966&lt;&gt;"", Снабжения!H966 / VLOOKUP(A966, 'Курс валют'!$A:$D, 4, 0), "")</f>
        <v/>
      </c>
    </row>
    <row r="967" spans="1:16" ht="20.100000000000001" customHeight="1" thickBot="1" x14ac:dyDescent="0.5">
      <c r="A967" s="157"/>
      <c r="B967" s="153"/>
      <c r="C967" s="154"/>
      <c r="D967" s="160"/>
      <c r="E967" s="181"/>
      <c r="F967" s="457"/>
      <c r="G967" s="166"/>
      <c r="H967" s="169">
        <f t="shared" si="42"/>
        <v>0</v>
      </c>
      <c r="I967" s="174"/>
      <c r="J967" s="172"/>
      <c r="K967" s="154"/>
      <c r="L967" s="154"/>
      <c r="M967" s="160"/>
      <c r="N967" s="599">
        <f t="shared" si="41"/>
        <v>0</v>
      </c>
      <c r="O967" s="177"/>
      <c r="P967" s="423" t="str">
        <f>IF(A967&lt;&gt;"", Снабжения!H967 / VLOOKUP(A967, 'Курс валют'!$A:$D, 4, 0), "")</f>
        <v/>
      </c>
    </row>
    <row r="968" spans="1:16" ht="20.100000000000001" customHeight="1" thickBot="1" x14ac:dyDescent="0.5">
      <c r="A968" s="157"/>
      <c r="B968" s="153"/>
      <c r="C968" s="154"/>
      <c r="D968" s="160"/>
      <c r="E968" s="181"/>
      <c r="F968" s="457"/>
      <c r="G968" s="166"/>
      <c r="H968" s="169">
        <f t="shared" si="42"/>
        <v>0</v>
      </c>
      <c r="I968" s="174"/>
      <c r="J968" s="172"/>
      <c r="K968" s="154"/>
      <c r="L968" s="154"/>
      <c r="M968" s="160"/>
      <c r="N968" s="599">
        <f t="shared" si="41"/>
        <v>0</v>
      </c>
      <c r="O968" s="177"/>
      <c r="P968" s="423" t="str">
        <f>IF(A968&lt;&gt;"", Снабжения!H968 / VLOOKUP(A968, 'Курс валют'!$A:$D, 4, 0), "")</f>
        <v/>
      </c>
    </row>
    <row r="969" spans="1:16" ht="20.100000000000001" customHeight="1" thickBot="1" x14ac:dyDescent="0.5">
      <c r="A969" s="157"/>
      <c r="B969" s="153"/>
      <c r="C969" s="154"/>
      <c r="D969" s="160"/>
      <c r="E969" s="181"/>
      <c r="F969" s="457"/>
      <c r="G969" s="166"/>
      <c r="H969" s="169">
        <f t="shared" si="42"/>
        <v>0</v>
      </c>
      <c r="I969" s="174"/>
      <c r="J969" s="172"/>
      <c r="K969" s="154"/>
      <c r="L969" s="154"/>
      <c r="M969" s="160"/>
      <c r="N969" s="599">
        <f t="shared" si="41"/>
        <v>0</v>
      </c>
      <c r="O969" s="177"/>
      <c r="P969" s="423" t="str">
        <f>IF(A969&lt;&gt;"", Снабжения!H969 / VLOOKUP(A969, 'Курс валют'!$A:$D, 4, 0), "")</f>
        <v/>
      </c>
    </row>
    <row r="970" spans="1:16" ht="20.100000000000001" customHeight="1" thickBot="1" x14ac:dyDescent="0.5">
      <c r="A970" s="157"/>
      <c r="B970" s="153"/>
      <c r="C970" s="154"/>
      <c r="D970" s="160"/>
      <c r="E970" s="181"/>
      <c r="F970" s="457"/>
      <c r="G970" s="166"/>
      <c r="H970" s="169">
        <f t="shared" si="42"/>
        <v>0</v>
      </c>
      <c r="I970" s="174"/>
      <c r="J970" s="172"/>
      <c r="K970" s="154"/>
      <c r="L970" s="154"/>
      <c r="M970" s="160"/>
      <c r="N970" s="599">
        <f t="shared" si="41"/>
        <v>0</v>
      </c>
      <c r="O970" s="177"/>
      <c r="P970" s="423" t="str">
        <f>IF(A970&lt;&gt;"", Снабжения!H970 / VLOOKUP(A970, 'Курс валют'!$A:$D, 4, 0), "")</f>
        <v/>
      </c>
    </row>
    <row r="971" spans="1:16" ht="20.100000000000001" customHeight="1" thickBot="1" x14ac:dyDescent="0.5">
      <c r="A971" s="157"/>
      <c r="B971" s="153"/>
      <c r="C971" s="154"/>
      <c r="D971" s="160"/>
      <c r="E971" s="181"/>
      <c r="F971" s="457"/>
      <c r="G971" s="166"/>
      <c r="H971" s="169">
        <f t="shared" si="42"/>
        <v>0</v>
      </c>
      <c r="I971" s="174"/>
      <c r="J971" s="172"/>
      <c r="K971" s="154"/>
      <c r="L971" s="154"/>
      <c r="M971" s="160"/>
      <c r="N971" s="599">
        <f t="shared" si="41"/>
        <v>0</v>
      </c>
      <c r="O971" s="177"/>
      <c r="P971" s="423" t="str">
        <f>IF(A971&lt;&gt;"", Снабжения!H971 / VLOOKUP(A971, 'Курс валют'!$A:$D, 4, 0), "")</f>
        <v/>
      </c>
    </row>
    <row r="972" spans="1:16" ht="20.100000000000001" customHeight="1" thickBot="1" x14ac:dyDescent="0.5">
      <c r="A972" s="157"/>
      <c r="B972" s="153"/>
      <c r="C972" s="154"/>
      <c r="D972" s="160"/>
      <c r="E972" s="181"/>
      <c r="F972" s="457"/>
      <c r="G972" s="166"/>
      <c r="H972" s="169">
        <f t="shared" si="42"/>
        <v>0</v>
      </c>
      <c r="I972" s="174"/>
      <c r="J972" s="172"/>
      <c r="K972" s="154"/>
      <c r="L972" s="154"/>
      <c r="M972" s="160"/>
      <c r="N972" s="599">
        <f t="shared" si="41"/>
        <v>0</v>
      </c>
      <c r="O972" s="177"/>
      <c r="P972" s="423" t="str">
        <f>IF(A972&lt;&gt;"", Снабжения!H972 / VLOOKUP(A972, 'Курс валют'!$A:$D, 4, 0), "")</f>
        <v/>
      </c>
    </row>
    <row r="973" spans="1:16" ht="20.100000000000001" customHeight="1" thickBot="1" x14ac:dyDescent="0.5">
      <c r="A973" s="157"/>
      <c r="B973" s="153"/>
      <c r="C973" s="154"/>
      <c r="D973" s="160"/>
      <c r="E973" s="181"/>
      <c r="F973" s="457"/>
      <c r="G973" s="166"/>
      <c r="H973" s="169">
        <f t="shared" si="42"/>
        <v>0</v>
      </c>
      <c r="I973" s="174"/>
      <c r="J973" s="172"/>
      <c r="K973" s="154"/>
      <c r="L973" s="154"/>
      <c r="M973" s="160"/>
      <c r="N973" s="599">
        <f t="shared" si="41"/>
        <v>0</v>
      </c>
      <c r="O973" s="177"/>
      <c r="P973" s="423" t="str">
        <f>IF(A973&lt;&gt;"", Снабжения!H973 / VLOOKUP(A973, 'Курс валют'!$A:$D, 4, 0), "")</f>
        <v/>
      </c>
    </row>
    <row r="974" spans="1:16" ht="20.100000000000001" customHeight="1" thickBot="1" x14ac:dyDescent="0.5">
      <c r="A974" s="157"/>
      <c r="B974" s="153"/>
      <c r="C974" s="154"/>
      <c r="D974" s="160"/>
      <c r="E974" s="181"/>
      <c r="F974" s="457"/>
      <c r="G974" s="166"/>
      <c r="H974" s="169">
        <f t="shared" si="42"/>
        <v>0</v>
      </c>
      <c r="I974" s="174"/>
      <c r="J974" s="172"/>
      <c r="K974" s="154"/>
      <c r="L974" s="154"/>
      <c r="M974" s="160"/>
      <c r="N974" s="599">
        <f t="shared" si="41"/>
        <v>0</v>
      </c>
      <c r="O974" s="177"/>
      <c r="P974" s="423" t="str">
        <f>IF(A974&lt;&gt;"", Снабжения!H974 / VLOOKUP(A974, 'Курс валют'!$A:$D, 4, 0), "")</f>
        <v/>
      </c>
    </row>
    <row r="975" spans="1:16" ht="20.100000000000001" customHeight="1" thickBot="1" x14ac:dyDescent="0.5">
      <c r="A975" s="157"/>
      <c r="B975" s="153"/>
      <c r="C975" s="154"/>
      <c r="D975" s="160"/>
      <c r="E975" s="181"/>
      <c r="F975" s="457"/>
      <c r="G975" s="166"/>
      <c r="H975" s="169">
        <f t="shared" si="42"/>
        <v>0</v>
      </c>
      <c r="I975" s="174"/>
      <c r="J975" s="172"/>
      <c r="K975" s="154"/>
      <c r="L975" s="154"/>
      <c r="M975" s="160"/>
      <c r="N975" s="599">
        <f t="shared" si="41"/>
        <v>0</v>
      </c>
      <c r="O975" s="177"/>
      <c r="P975" s="423" t="str">
        <f>IF(A975&lt;&gt;"", Снабжения!H975 / VLOOKUP(A975, 'Курс валют'!$A:$D, 4, 0), "")</f>
        <v/>
      </c>
    </row>
    <row r="976" spans="1:16" ht="20.100000000000001" customHeight="1" thickBot="1" x14ac:dyDescent="0.5">
      <c r="A976" s="157"/>
      <c r="B976" s="153"/>
      <c r="C976" s="154"/>
      <c r="D976" s="160"/>
      <c r="E976" s="181"/>
      <c r="F976" s="457"/>
      <c r="G976" s="166"/>
      <c r="H976" s="169">
        <f t="shared" si="42"/>
        <v>0</v>
      </c>
      <c r="I976" s="174"/>
      <c r="J976" s="172"/>
      <c r="K976" s="154"/>
      <c r="L976" s="154"/>
      <c r="M976" s="160"/>
      <c r="N976" s="599">
        <f t="shared" si="41"/>
        <v>0</v>
      </c>
      <c r="O976" s="177"/>
      <c r="P976" s="423" t="str">
        <f>IF(A976&lt;&gt;"", Снабжения!H976 / VLOOKUP(A976, 'Курс валют'!$A:$D, 4, 0), "")</f>
        <v/>
      </c>
    </row>
    <row r="977" spans="1:16" ht="20.100000000000001" customHeight="1" thickBot="1" x14ac:dyDescent="0.5">
      <c r="A977" s="157"/>
      <c r="B977" s="153"/>
      <c r="C977" s="154"/>
      <c r="D977" s="160"/>
      <c r="E977" s="181"/>
      <c r="F977" s="457"/>
      <c r="G977" s="166"/>
      <c r="H977" s="169">
        <f t="shared" si="42"/>
        <v>0</v>
      </c>
      <c r="I977" s="174"/>
      <c r="J977" s="172"/>
      <c r="K977" s="154"/>
      <c r="L977" s="154"/>
      <c r="M977" s="160"/>
      <c r="N977" s="599">
        <f t="shared" si="41"/>
        <v>0</v>
      </c>
      <c r="O977" s="177"/>
      <c r="P977" s="423" t="str">
        <f>IF(A977&lt;&gt;"", Снабжения!H977 / VLOOKUP(A977, 'Курс валют'!$A:$D, 4, 0), "")</f>
        <v/>
      </c>
    </row>
    <row r="978" spans="1:16" ht="20.100000000000001" customHeight="1" thickBot="1" x14ac:dyDescent="0.5">
      <c r="A978" s="157"/>
      <c r="B978" s="153"/>
      <c r="C978" s="154"/>
      <c r="D978" s="160"/>
      <c r="E978" s="181"/>
      <c r="F978" s="457"/>
      <c r="G978" s="166"/>
      <c r="H978" s="169">
        <f t="shared" si="42"/>
        <v>0</v>
      </c>
      <c r="I978" s="174"/>
      <c r="J978" s="172"/>
      <c r="K978" s="154"/>
      <c r="L978" s="154"/>
      <c r="M978" s="160"/>
      <c r="N978" s="599">
        <f t="shared" si="41"/>
        <v>0</v>
      </c>
      <c r="O978" s="177"/>
      <c r="P978" s="423" t="str">
        <f>IF(A978&lt;&gt;"", Снабжения!H978 / VLOOKUP(A978, 'Курс валют'!$A:$D, 4, 0), "")</f>
        <v/>
      </c>
    </row>
    <row r="979" spans="1:16" ht="20.100000000000001" customHeight="1" thickBot="1" x14ac:dyDescent="0.5">
      <c r="A979" s="157"/>
      <c r="B979" s="153"/>
      <c r="C979" s="154"/>
      <c r="D979" s="160"/>
      <c r="E979" s="181"/>
      <c r="F979" s="457"/>
      <c r="G979" s="166"/>
      <c r="H979" s="169">
        <f t="shared" si="42"/>
        <v>0</v>
      </c>
      <c r="I979" s="174"/>
      <c r="J979" s="172"/>
      <c r="K979" s="154"/>
      <c r="L979" s="154"/>
      <c r="M979" s="160"/>
      <c r="N979" s="599">
        <f t="shared" si="41"/>
        <v>0</v>
      </c>
      <c r="O979" s="177"/>
      <c r="P979" s="423" t="str">
        <f>IF(A979&lt;&gt;"", Снабжения!H979 / VLOOKUP(A979, 'Курс валют'!$A:$D, 4, 0), "")</f>
        <v/>
      </c>
    </row>
    <row r="980" spans="1:16" ht="20.100000000000001" customHeight="1" thickBot="1" x14ac:dyDescent="0.5">
      <c r="A980" s="157"/>
      <c r="B980" s="153"/>
      <c r="C980" s="154"/>
      <c r="D980" s="160"/>
      <c r="E980" s="181"/>
      <c r="F980" s="457"/>
      <c r="G980" s="166"/>
      <c r="H980" s="169">
        <f t="shared" si="42"/>
        <v>0</v>
      </c>
      <c r="I980" s="174"/>
      <c r="J980" s="172"/>
      <c r="K980" s="154"/>
      <c r="L980" s="154"/>
      <c r="M980" s="160"/>
      <c r="N980" s="599">
        <f t="shared" si="41"/>
        <v>0</v>
      </c>
      <c r="O980" s="177"/>
      <c r="P980" s="423" t="str">
        <f>IF(A980&lt;&gt;"", Снабжения!H980 / VLOOKUP(A980, 'Курс валют'!$A:$D, 4, 0), "")</f>
        <v/>
      </c>
    </row>
    <row r="981" spans="1:16" ht="20.100000000000001" customHeight="1" thickBot="1" x14ac:dyDescent="0.5">
      <c r="A981" s="157"/>
      <c r="B981" s="153"/>
      <c r="C981" s="154"/>
      <c r="D981" s="160"/>
      <c r="E981" s="181"/>
      <c r="F981" s="457"/>
      <c r="G981" s="166"/>
      <c r="H981" s="169">
        <f t="shared" si="42"/>
        <v>0</v>
      </c>
      <c r="I981" s="174"/>
      <c r="J981" s="172"/>
      <c r="K981" s="154"/>
      <c r="L981" s="154"/>
      <c r="M981" s="160"/>
      <c r="N981" s="599">
        <f t="shared" si="41"/>
        <v>0</v>
      </c>
      <c r="O981" s="177"/>
      <c r="P981" s="423" t="str">
        <f>IF(A981&lt;&gt;"", Снабжения!H981 / VLOOKUP(A981, 'Курс валют'!$A:$D, 4, 0), "")</f>
        <v/>
      </c>
    </row>
    <row r="982" spans="1:16" ht="20.100000000000001" customHeight="1" thickBot="1" x14ac:dyDescent="0.5">
      <c r="A982" s="157"/>
      <c r="B982" s="153"/>
      <c r="C982" s="154"/>
      <c r="D982" s="160"/>
      <c r="E982" s="181"/>
      <c r="F982" s="457"/>
      <c r="G982" s="166"/>
      <c r="H982" s="169">
        <f t="shared" si="42"/>
        <v>0</v>
      </c>
      <c r="I982" s="174"/>
      <c r="J982" s="172"/>
      <c r="K982" s="154"/>
      <c r="L982" s="154"/>
      <c r="M982" s="160"/>
      <c r="N982" s="599">
        <f t="shared" si="41"/>
        <v>0</v>
      </c>
      <c r="O982" s="177"/>
      <c r="P982" s="423" t="str">
        <f>IF(A982&lt;&gt;"", Снабжения!H982 / VLOOKUP(A982, 'Курс валют'!$A:$D, 4, 0), "")</f>
        <v/>
      </c>
    </row>
    <row r="983" spans="1:16" ht="20.100000000000001" customHeight="1" thickBot="1" x14ac:dyDescent="0.5">
      <c r="A983" s="157"/>
      <c r="B983" s="153"/>
      <c r="C983" s="154"/>
      <c r="D983" s="160"/>
      <c r="E983" s="181"/>
      <c r="F983" s="457"/>
      <c r="G983" s="166"/>
      <c r="H983" s="169">
        <f t="shared" si="42"/>
        <v>0</v>
      </c>
      <c r="I983" s="174"/>
      <c r="J983" s="172"/>
      <c r="K983" s="154"/>
      <c r="L983" s="154"/>
      <c r="M983" s="160"/>
      <c r="N983" s="599">
        <f t="shared" si="41"/>
        <v>0</v>
      </c>
      <c r="O983" s="177"/>
      <c r="P983" s="423" t="str">
        <f>IF(A983&lt;&gt;"", Снабжения!H983 / VLOOKUP(A983, 'Курс валют'!$A:$D, 4, 0), "")</f>
        <v/>
      </c>
    </row>
    <row r="984" spans="1:16" ht="20.100000000000001" customHeight="1" thickBot="1" x14ac:dyDescent="0.5">
      <c r="A984" s="157"/>
      <c r="B984" s="153"/>
      <c r="C984" s="154"/>
      <c r="D984" s="160"/>
      <c r="E984" s="181"/>
      <c r="F984" s="457"/>
      <c r="G984" s="166"/>
      <c r="H984" s="169">
        <f t="shared" si="42"/>
        <v>0</v>
      </c>
      <c r="I984" s="174"/>
      <c r="J984" s="172"/>
      <c r="K984" s="154"/>
      <c r="L984" s="154"/>
      <c r="M984" s="160"/>
      <c r="N984" s="599">
        <f t="shared" si="41"/>
        <v>0</v>
      </c>
      <c r="O984" s="177"/>
      <c r="P984" s="423" t="str">
        <f>IF(A984&lt;&gt;"", Снабжения!H984 / VLOOKUP(A984, 'Курс валют'!$A:$D, 4, 0), "")</f>
        <v/>
      </c>
    </row>
    <row r="985" spans="1:16" ht="20.100000000000001" customHeight="1" thickBot="1" x14ac:dyDescent="0.5">
      <c r="A985" s="157"/>
      <c r="B985" s="153"/>
      <c r="C985" s="154"/>
      <c r="D985" s="160"/>
      <c r="E985" s="181"/>
      <c r="F985" s="457"/>
      <c r="G985" s="166"/>
      <c r="H985" s="169">
        <f t="shared" si="42"/>
        <v>0</v>
      </c>
      <c r="I985" s="174"/>
      <c r="J985" s="172"/>
      <c r="K985" s="154"/>
      <c r="L985" s="154"/>
      <c r="M985" s="160"/>
      <c r="N985" s="599">
        <f t="shared" si="41"/>
        <v>0</v>
      </c>
      <c r="O985" s="177"/>
      <c r="P985" s="423" t="str">
        <f>IF(A985&lt;&gt;"", Снабжения!H985 / VLOOKUP(A985, 'Курс валют'!$A:$D, 4, 0), "")</f>
        <v/>
      </c>
    </row>
    <row r="986" spans="1:16" ht="20.100000000000001" customHeight="1" thickBot="1" x14ac:dyDescent="0.5">
      <c r="A986" s="157"/>
      <c r="B986" s="153"/>
      <c r="C986" s="154"/>
      <c r="D986" s="160"/>
      <c r="E986" s="181"/>
      <c r="F986" s="457"/>
      <c r="G986" s="166"/>
      <c r="H986" s="169">
        <f t="shared" si="42"/>
        <v>0</v>
      </c>
      <c r="I986" s="174"/>
      <c r="J986" s="172"/>
      <c r="K986" s="154"/>
      <c r="L986" s="154"/>
      <c r="M986" s="160"/>
      <c r="N986" s="599">
        <f t="shared" si="41"/>
        <v>0</v>
      </c>
      <c r="O986" s="177"/>
      <c r="P986" s="423" t="str">
        <f>IF(A986&lt;&gt;"", Снабжения!H986 / VLOOKUP(A986, 'Курс валют'!$A:$D, 4, 0), "")</f>
        <v/>
      </c>
    </row>
    <row r="987" spans="1:16" ht="20.100000000000001" customHeight="1" thickBot="1" x14ac:dyDescent="0.5">
      <c r="A987" s="157"/>
      <c r="B987" s="153"/>
      <c r="C987" s="154"/>
      <c r="D987" s="160"/>
      <c r="E987" s="181"/>
      <c r="F987" s="457"/>
      <c r="G987" s="166"/>
      <c r="H987" s="169">
        <f t="shared" si="42"/>
        <v>0</v>
      </c>
      <c r="I987" s="174"/>
      <c r="J987" s="172"/>
      <c r="K987" s="154"/>
      <c r="L987" s="154"/>
      <c r="M987" s="160"/>
      <c r="N987" s="599">
        <f t="shared" si="41"/>
        <v>0</v>
      </c>
      <c r="O987" s="177"/>
      <c r="P987" s="423" t="str">
        <f>IF(A987&lt;&gt;"", Снабжения!H987 / VLOOKUP(A987, 'Курс валют'!$A:$D, 4, 0), "")</f>
        <v/>
      </c>
    </row>
    <row r="988" spans="1:16" ht="20.100000000000001" customHeight="1" thickBot="1" x14ac:dyDescent="0.5">
      <c r="A988" s="157"/>
      <c r="B988" s="153"/>
      <c r="C988" s="154"/>
      <c r="D988" s="160"/>
      <c r="E988" s="181"/>
      <c r="F988" s="457"/>
      <c r="G988" s="166"/>
      <c r="H988" s="169">
        <f t="shared" si="42"/>
        <v>0</v>
      </c>
      <c r="I988" s="174"/>
      <c r="J988" s="172"/>
      <c r="K988" s="154"/>
      <c r="L988" s="154"/>
      <c r="M988" s="160"/>
      <c r="N988" s="599">
        <f t="shared" si="41"/>
        <v>0</v>
      </c>
      <c r="O988" s="177"/>
      <c r="P988" s="423" t="str">
        <f>IF(A988&lt;&gt;"", Снабжения!H988 / VLOOKUP(A988, 'Курс валют'!$A:$D, 4, 0), "")</f>
        <v/>
      </c>
    </row>
    <row r="989" spans="1:16" ht="20.100000000000001" customHeight="1" thickBot="1" x14ac:dyDescent="0.5">
      <c r="A989" s="157"/>
      <c r="B989" s="153"/>
      <c r="C989" s="154"/>
      <c r="D989" s="160"/>
      <c r="E989" s="181"/>
      <c r="F989" s="457"/>
      <c r="G989" s="166"/>
      <c r="H989" s="169">
        <f t="shared" si="42"/>
        <v>0</v>
      </c>
      <c r="I989" s="174"/>
      <c r="J989" s="172"/>
      <c r="K989" s="154"/>
      <c r="L989" s="154"/>
      <c r="M989" s="160"/>
      <c r="N989" s="599">
        <f t="shared" ref="N989:N1000" si="43">SUMIF(B:B,B989,E:E)-SUMIF(B:B,B989,F:F)</f>
        <v>0</v>
      </c>
      <c r="O989" s="177"/>
      <c r="P989" s="423" t="str">
        <f>IF(A989&lt;&gt;"", Снабжения!H989 / VLOOKUP(A989, 'Курс валют'!$A:$D, 4, 0), "")</f>
        <v/>
      </c>
    </row>
    <row r="990" spans="1:16" ht="20.100000000000001" customHeight="1" thickBot="1" x14ac:dyDescent="0.5">
      <c r="A990" s="157"/>
      <c r="B990" s="153"/>
      <c r="C990" s="154"/>
      <c r="D990" s="160"/>
      <c r="E990" s="181"/>
      <c r="F990" s="457"/>
      <c r="G990" s="166"/>
      <c r="H990" s="169">
        <f t="shared" si="42"/>
        <v>0</v>
      </c>
      <c r="I990" s="174"/>
      <c r="J990" s="172"/>
      <c r="K990" s="154"/>
      <c r="L990" s="154"/>
      <c r="M990" s="160"/>
      <c r="N990" s="599">
        <f t="shared" si="43"/>
        <v>0</v>
      </c>
      <c r="O990" s="177"/>
      <c r="P990" s="423" t="str">
        <f>IF(A990&lt;&gt;"", Снабжения!H990 / VLOOKUP(A990, 'Курс валют'!$A:$D, 4, 0), "")</f>
        <v/>
      </c>
    </row>
    <row r="991" spans="1:16" ht="20.100000000000001" customHeight="1" thickBot="1" x14ac:dyDescent="0.5">
      <c r="A991" s="157"/>
      <c r="B991" s="153"/>
      <c r="C991" s="154"/>
      <c r="D991" s="160"/>
      <c r="E991" s="181"/>
      <c r="F991" s="457"/>
      <c r="G991" s="166"/>
      <c r="H991" s="169">
        <f t="shared" si="42"/>
        <v>0</v>
      </c>
      <c r="I991" s="174"/>
      <c r="J991" s="172"/>
      <c r="K991" s="154"/>
      <c r="L991" s="154"/>
      <c r="M991" s="160"/>
      <c r="N991" s="599">
        <f t="shared" si="43"/>
        <v>0</v>
      </c>
      <c r="O991" s="177"/>
      <c r="P991" s="423" t="str">
        <f>IF(A991&lt;&gt;"", Снабжения!H991 / VLOOKUP(A991, 'Курс валют'!$A:$D, 4, 0), "")</f>
        <v/>
      </c>
    </row>
    <row r="992" spans="1:16" ht="20.100000000000001" customHeight="1" thickBot="1" x14ac:dyDescent="0.5">
      <c r="A992" s="157"/>
      <c r="B992" s="153"/>
      <c r="C992" s="154"/>
      <c r="D992" s="160"/>
      <c r="E992" s="181"/>
      <c r="F992" s="457"/>
      <c r="G992" s="166"/>
      <c r="H992" s="169">
        <f t="shared" si="42"/>
        <v>0</v>
      </c>
      <c r="I992" s="174"/>
      <c r="J992" s="172"/>
      <c r="K992" s="154"/>
      <c r="L992" s="154"/>
      <c r="M992" s="160"/>
      <c r="N992" s="599">
        <f t="shared" si="43"/>
        <v>0</v>
      </c>
      <c r="O992" s="177"/>
      <c r="P992" s="423" t="str">
        <f>IF(A992&lt;&gt;"", Снабжения!H992 / VLOOKUP(A992, 'Курс валют'!$A:$D, 4, 0), "")</f>
        <v/>
      </c>
    </row>
    <row r="993" spans="1:16" ht="20.100000000000001" customHeight="1" thickBot="1" x14ac:dyDescent="0.5">
      <c r="A993" s="157"/>
      <c r="B993" s="153"/>
      <c r="C993" s="154"/>
      <c r="D993" s="160"/>
      <c r="E993" s="181"/>
      <c r="F993" s="457"/>
      <c r="G993" s="166"/>
      <c r="H993" s="169">
        <f t="shared" si="42"/>
        <v>0</v>
      </c>
      <c r="I993" s="174"/>
      <c r="J993" s="172"/>
      <c r="K993" s="154"/>
      <c r="L993" s="154"/>
      <c r="M993" s="160"/>
      <c r="N993" s="599">
        <f t="shared" si="43"/>
        <v>0</v>
      </c>
      <c r="O993" s="177"/>
      <c r="P993" s="423" t="str">
        <f>IF(A993&lt;&gt;"", Снабжения!H993 / VLOOKUP(A993, 'Курс валют'!$A:$D, 4, 0), "")</f>
        <v/>
      </c>
    </row>
    <row r="994" spans="1:16" ht="20.100000000000001" customHeight="1" thickBot="1" x14ac:dyDescent="0.5">
      <c r="A994" s="157"/>
      <c r="B994" s="153"/>
      <c r="C994" s="154"/>
      <c r="D994" s="160"/>
      <c r="E994" s="181"/>
      <c r="F994" s="457"/>
      <c r="G994" s="166"/>
      <c r="H994" s="169">
        <f t="shared" si="42"/>
        <v>0</v>
      </c>
      <c r="I994" s="174"/>
      <c r="J994" s="172"/>
      <c r="K994" s="154"/>
      <c r="L994" s="154"/>
      <c r="M994" s="160"/>
      <c r="N994" s="599">
        <f t="shared" si="43"/>
        <v>0</v>
      </c>
      <c r="O994" s="177"/>
      <c r="P994" s="423" t="str">
        <f>IF(A994&lt;&gt;"", Снабжения!H994 / VLOOKUP(A994, 'Курс валют'!$A:$D, 4, 0), "")</f>
        <v/>
      </c>
    </row>
    <row r="995" spans="1:16" ht="20.100000000000001" customHeight="1" thickBot="1" x14ac:dyDescent="0.5">
      <c r="A995" s="157"/>
      <c r="B995" s="153"/>
      <c r="C995" s="154"/>
      <c r="D995" s="160"/>
      <c r="E995" s="181"/>
      <c r="F995" s="457"/>
      <c r="G995" s="166"/>
      <c r="H995" s="169">
        <f t="shared" si="42"/>
        <v>0</v>
      </c>
      <c r="I995" s="174"/>
      <c r="J995" s="172"/>
      <c r="K995" s="154"/>
      <c r="L995" s="154"/>
      <c r="M995" s="160"/>
      <c r="N995" s="599">
        <f t="shared" si="43"/>
        <v>0</v>
      </c>
      <c r="O995" s="177"/>
      <c r="P995" s="423" t="str">
        <f>IF(A995&lt;&gt;"", Снабжения!H995 / VLOOKUP(A995, 'Курс валют'!$A:$D, 4, 0), "")</f>
        <v/>
      </c>
    </row>
    <row r="996" spans="1:16" ht="20.100000000000001" customHeight="1" thickBot="1" x14ac:dyDescent="0.5">
      <c r="A996" s="157"/>
      <c r="B996" s="153"/>
      <c r="C996" s="154"/>
      <c r="D996" s="160"/>
      <c r="E996" s="181"/>
      <c r="F996" s="457"/>
      <c r="G996" s="166"/>
      <c r="H996" s="169">
        <f t="shared" si="42"/>
        <v>0</v>
      </c>
      <c r="I996" s="174"/>
      <c r="J996" s="172"/>
      <c r="K996" s="154"/>
      <c r="L996" s="154"/>
      <c r="M996" s="160"/>
      <c r="N996" s="599">
        <f t="shared" si="43"/>
        <v>0</v>
      </c>
      <c r="O996" s="177"/>
      <c r="P996" s="423" t="str">
        <f>IF(A996&lt;&gt;"", Снабжения!H996 / VLOOKUP(A996, 'Курс валют'!$A:$D, 4, 0), "")</f>
        <v/>
      </c>
    </row>
    <row r="997" spans="1:16" ht="20.100000000000001" customHeight="1" thickBot="1" x14ac:dyDescent="0.5">
      <c r="A997" s="157"/>
      <c r="B997" s="153"/>
      <c r="C997" s="154"/>
      <c r="D997" s="160"/>
      <c r="E997" s="181"/>
      <c r="F997" s="457"/>
      <c r="G997" s="166"/>
      <c r="H997" s="169">
        <f t="shared" si="42"/>
        <v>0</v>
      </c>
      <c r="I997" s="174"/>
      <c r="J997" s="172"/>
      <c r="K997" s="154"/>
      <c r="L997" s="154"/>
      <c r="M997" s="160"/>
      <c r="N997" s="599">
        <f t="shared" si="43"/>
        <v>0</v>
      </c>
      <c r="O997" s="177"/>
      <c r="P997" s="423" t="str">
        <f>IF(A997&lt;&gt;"", Снабжения!H997 / VLOOKUP(A997, 'Курс валют'!$A:$D, 4, 0), "")</f>
        <v/>
      </c>
    </row>
    <row r="998" spans="1:16" ht="20.100000000000001" customHeight="1" thickBot="1" x14ac:dyDescent="0.5">
      <c r="A998" s="157"/>
      <c r="B998" s="153"/>
      <c r="C998" s="154"/>
      <c r="D998" s="160"/>
      <c r="E998" s="181"/>
      <c r="F998" s="457"/>
      <c r="G998" s="166"/>
      <c r="H998" s="169">
        <f t="shared" si="42"/>
        <v>0</v>
      </c>
      <c r="I998" s="174"/>
      <c r="J998" s="172"/>
      <c r="K998" s="154"/>
      <c r="L998" s="154"/>
      <c r="M998" s="160"/>
      <c r="N998" s="599">
        <f t="shared" si="43"/>
        <v>0</v>
      </c>
      <c r="O998" s="177"/>
      <c r="P998" s="423" t="str">
        <f>IF(A998&lt;&gt;"", Снабжения!H998 / VLOOKUP(A998, 'Курс валют'!$A:$D, 4, 0), "")</f>
        <v/>
      </c>
    </row>
    <row r="999" spans="1:16" ht="20.100000000000001" customHeight="1" thickBot="1" x14ac:dyDescent="0.5">
      <c r="A999" s="157"/>
      <c r="B999" s="153"/>
      <c r="C999" s="154"/>
      <c r="D999" s="160"/>
      <c r="E999" s="181"/>
      <c r="F999" s="457"/>
      <c r="G999" s="166"/>
      <c r="H999" s="169">
        <f t="shared" si="42"/>
        <v>0</v>
      </c>
      <c r="I999" s="174"/>
      <c r="J999" s="172"/>
      <c r="K999" s="154"/>
      <c r="L999" s="154"/>
      <c r="M999" s="160"/>
      <c r="N999" s="599">
        <f t="shared" si="43"/>
        <v>0</v>
      </c>
      <c r="O999" s="177"/>
      <c r="P999" s="423" t="str">
        <f>IF(A999&lt;&gt;"", Снабжения!H999 / VLOOKUP(A999, 'Курс валют'!$A:$D, 4, 0), "")</f>
        <v/>
      </c>
    </row>
    <row r="1000" spans="1:16" ht="20.100000000000001" customHeight="1" thickBot="1" x14ac:dyDescent="0.5">
      <c r="A1000" s="157"/>
      <c r="B1000" s="153"/>
      <c r="C1000" s="154"/>
      <c r="D1000" s="160"/>
      <c r="E1000" s="181"/>
      <c r="F1000" s="457"/>
      <c r="G1000" s="166"/>
      <c r="H1000" s="169">
        <f t="shared" si="42"/>
        <v>0</v>
      </c>
      <c r="I1000" s="174"/>
      <c r="J1000" s="172"/>
      <c r="K1000" s="154"/>
      <c r="L1000" s="154"/>
      <c r="M1000" s="160"/>
      <c r="N1000" s="599">
        <f t="shared" si="43"/>
        <v>0</v>
      </c>
      <c r="O1000" s="177"/>
      <c r="P1000" s="423" t="str">
        <f>IF(A1000&lt;&gt;"", Снабжения!H1000 / VLOOKUP(A1000, 'Курс валют'!$A:$D, 4, 0), "")</f>
        <v/>
      </c>
    </row>
  </sheetData>
  <autoFilter ref="A2:P1000" xr:uid="{95765604-B1DD-4ECA-B7A8-8B252538B5DD}"/>
  <mergeCells count="1">
    <mergeCell ref="A1:P1"/>
  </mergeCells>
  <conditionalFormatting sqref="A841:A849">
    <cfRule type="expression" dxfId="66" priority="1">
      <formula>MOD(ROW(),2)=0</formula>
    </cfRule>
  </conditionalFormatting>
  <conditionalFormatting sqref="A3:D843">
    <cfRule type="expression" dxfId="65" priority="2">
      <formula>MOD(ROW(),2)=0</formula>
    </cfRule>
  </conditionalFormatting>
  <conditionalFormatting sqref="B846:D849 A850:D1000">
    <cfRule type="expression" dxfId="64" priority="3">
      <formula>MOD(ROW(),2)=0</formula>
    </cfRule>
  </conditionalFormatting>
  <conditionalFormatting sqref="J3:J1000">
    <cfRule type="expression" dxfId="63" priority="6">
      <formula>$J3="Завершен"</formula>
    </cfRule>
  </conditionalFormatting>
  <conditionalFormatting sqref="J3:M1000">
    <cfRule type="expression" dxfId="62" priority="4">
      <formula>MOD(ROW(),2)=0</formula>
    </cfRule>
  </conditionalFormatting>
  <conditionalFormatting sqref="N3:N1000">
    <cfRule type="expression" dxfId="61" priority="7">
      <formula>AND(ISNUMBER($N3),$N3&gt;0,$N3&lt;5)</formula>
    </cfRule>
    <cfRule type="expression" dxfId="60" priority="8">
      <formula>$N3=0</formula>
    </cfRule>
  </conditionalFormatting>
  <conditionalFormatting sqref="O3:O1000">
    <cfRule type="expression" dxfId="59" priority="5">
      <formula>MOD(ROW(),2)=0</formula>
    </cfRule>
  </conditionalFormatting>
  <dataValidations count="4">
    <dataValidation type="list" allowBlank="1" showInputMessage="1" showErrorMessage="1" sqref="D3:D833 D836:D843 D846:D1048576" xr:uid="{64CEDC84-92F4-43FC-AE5E-74605F70AABD}">
      <formula1>"Сыпучие смесы, Стеновые материалы, Пиломатериалы, Кровля и изоляция, Стены, Электроинструменты, Ручной инструменты, Расходники, Сантехника, Электрика, Мет.из, Прочее,"</formula1>
    </dataValidation>
    <dataValidation type="list" allowBlank="1" showInputMessage="1" showErrorMessage="1" sqref="J2:J1048576" xr:uid="{203C3674-6DF5-4FB6-BAD6-0CBB09FF0192}">
      <formula1>"Новый, В процессе, Завершен"</formula1>
    </dataValidation>
    <dataValidation type="list" allowBlank="1" showInputMessage="1" showErrorMessage="1" sqref="K3:K80" xr:uid="{D7D11538-D1DC-455C-9E1A-9BEC71578C41}">
      <formula1>"Наличные,Терминал,Перечисление"</formula1>
    </dataValidation>
    <dataValidation type="list" allowBlank="1" showInputMessage="1" showErrorMessage="1" sqref="K2 K81:K1048576" xr:uid="{EA2340B2-28F4-4AF1-8D56-32C0BDACCE4B}">
      <formula1>"Налычние,Терминал,Перечисление"</formula1>
    </dataValidation>
  </dataValidations>
  <pageMargins left="0.7" right="0.7" top="0.75" bottom="0.75" header="0.3" footer="0.3"/>
  <pageSetup paperSize="9" orientation="portrait" horizontalDpi="300" verticalDpi="30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CF0B0-C955-4EE8-914B-52B2C97EA2B3}">
  <sheetPr codeName="Worksheet____5"/>
  <dimension ref="A1:AD300"/>
  <sheetViews>
    <sheetView zoomScale="85" zoomScaleNormal="85" workbookViewId="0">
      <pane ySplit="1" topLeftCell="A239" activePane="bottomLeft" state="frozen"/>
      <selection pane="bottomLeft" activeCell="V300" sqref="V2:V300"/>
    </sheetView>
  </sheetViews>
  <sheetFormatPr defaultRowHeight="14.25" x14ac:dyDescent="0.45"/>
  <cols>
    <col min="1" max="1" width="9.9296875" bestFit="1" customWidth="1"/>
    <col min="2" max="2" width="9.796875" bestFit="1" customWidth="1"/>
    <col min="3" max="4" width="12.796875" customWidth="1"/>
    <col min="5" max="6" width="9.1328125" customWidth="1"/>
    <col min="7" max="7" width="5.796875" bestFit="1" customWidth="1"/>
    <col min="8" max="8" width="8.73046875" customWidth="1"/>
    <col min="9" max="20" width="5.9296875" customWidth="1"/>
    <col min="21" max="21" width="7.6640625" bestFit="1" customWidth="1"/>
    <col min="22" max="22" width="7.6640625" customWidth="1"/>
    <col min="23" max="23" width="7.6640625" bestFit="1" customWidth="1"/>
    <col min="24" max="24" width="20.33203125" customWidth="1"/>
    <col min="25" max="26" width="10.59765625" customWidth="1"/>
    <col min="27" max="27" width="14.1328125" bestFit="1" customWidth="1"/>
    <col min="28" max="28" width="6.46484375" customWidth="1"/>
    <col min="29" max="29" width="11.265625" customWidth="1"/>
    <col min="30" max="36" width="11.3984375" customWidth="1"/>
  </cols>
  <sheetData>
    <row r="1" spans="1:30" ht="36" customHeight="1" x14ac:dyDescent="0.45">
      <c r="A1" s="476" t="s">
        <v>31</v>
      </c>
      <c r="B1" s="477" t="s">
        <v>26</v>
      </c>
      <c r="C1" s="477" t="s">
        <v>129</v>
      </c>
      <c r="D1" s="477" t="s">
        <v>867</v>
      </c>
      <c r="E1" s="477" t="s">
        <v>130</v>
      </c>
      <c r="F1" s="477" t="s">
        <v>881</v>
      </c>
      <c r="G1" s="477" t="s">
        <v>131</v>
      </c>
      <c r="H1" s="477" t="s">
        <v>868</v>
      </c>
      <c r="I1" s="477" t="s">
        <v>132</v>
      </c>
      <c r="J1" s="477" t="s">
        <v>869</v>
      </c>
      <c r="K1" s="477" t="s">
        <v>133</v>
      </c>
      <c r="L1" s="477" t="s">
        <v>870</v>
      </c>
      <c r="M1" s="477" t="s">
        <v>134</v>
      </c>
      <c r="N1" s="477" t="s">
        <v>871</v>
      </c>
      <c r="O1" s="477" t="s">
        <v>135</v>
      </c>
      <c r="P1" s="477" t="s">
        <v>872</v>
      </c>
      <c r="Q1" s="477" t="s">
        <v>136</v>
      </c>
      <c r="R1" s="477" t="s">
        <v>873</v>
      </c>
      <c r="S1" s="477" t="s">
        <v>137</v>
      </c>
      <c r="T1" s="477" t="s">
        <v>874</v>
      </c>
      <c r="U1" s="477" t="s">
        <v>138</v>
      </c>
      <c r="V1" s="477" t="s">
        <v>875</v>
      </c>
      <c r="W1" s="477" t="s">
        <v>139</v>
      </c>
      <c r="X1" s="477" t="s">
        <v>24</v>
      </c>
      <c r="Y1" s="477" t="s">
        <v>140</v>
      </c>
      <c r="Z1" s="477" t="s">
        <v>141</v>
      </c>
      <c r="AA1" s="477" t="s">
        <v>142</v>
      </c>
      <c r="AB1" s="477" t="s">
        <v>143</v>
      </c>
      <c r="AC1" s="477" t="s">
        <v>144</v>
      </c>
      <c r="AD1" s="478" t="s">
        <v>36</v>
      </c>
    </row>
    <row r="2" spans="1:30" ht="22.15" customHeight="1" x14ac:dyDescent="0.45">
      <c r="A2" s="582">
        <v>1</v>
      </c>
      <c r="B2" s="583">
        <v>45972</v>
      </c>
      <c r="C2" s="582"/>
      <c r="D2" s="606" t="s">
        <v>882</v>
      </c>
      <c r="E2" s="584"/>
      <c r="F2" s="606" t="s">
        <v>882</v>
      </c>
      <c r="G2" s="584"/>
      <c r="H2" s="606" t="s">
        <v>882</v>
      </c>
      <c r="I2" s="584"/>
      <c r="J2" s="606" t="s">
        <v>882</v>
      </c>
      <c r="K2" s="584">
        <v>3148</v>
      </c>
      <c r="L2" s="606" t="s">
        <v>882</v>
      </c>
      <c r="M2" s="584">
        <v>3063</v>
      </c>
      <c r="N2" s="606" t="s">
        <v>882</v>
      </c>
      <c r="O2" s="584"/>
      <c r="P2" s="606" t="s">
        <v>882</v>
      </c>
      <c r="Q2" s="584">
        <v>2873</v>
      </c>
      <c r="R2" s="606" t="s">
        <v>882</v>
      </c>
      <c r="S2" s="584">
        <v>3033</v>
      </c>
      <c r="T2" s="606" t="s">
        <v>882</v>
      </c>
      <c r="U2" s="584">
        <v>3018</v>
      </c>
      <c r="V2" s="606" t="s">
        <v>882</v>
      </c>
      <c r="W2" s="584">
        <v>3053</v>
      </c>
      <c r="X2" s="404"/>
      <c r="Y2" s="584"/>
      <c r="Z2" s="584"/>
      <c r="AA2" s="584"/>
      <c r="AB2" s="585"/>
      <c r="AC2" s="586"/>
      <c r="AD2" s="587"/>
    </row>
    <row r="3" spans="1:30" ht="22.15" customHeight="1" x14ac:dyDescent="0.45">
      <c r="A3" s="582" t="s">
        <v>145</v>
      </c>
      <c r="B3" s="583">
        <v>45972</v>
      </c>
      <c r="C3" s="582"/>
      <c r="D3" s="606" t="s">
        <v>882</v>
      </c>
      <c r="E3" s="584"/>
      <c r="F3" s="606" t="s">
        <v>882</v>
      </c>
      <c r="G3" s="584"/>
      <c r="H3" s="606" t="s">
        <v>882</v>
      </c>
      <c r="I3" s="584"/>
      <c r="J3" s="606" t="s">
        <v>882</v>
      </c>
      <c r="K3" s="584">
        <v>3163</v>
      </c>
      <c r="L3" s="606" t="s">
        <v>882</v>
      </c>
      <c r="M3" s="584">
        <v>3058</v>
      </c>
      <c r="N3" s="606" t="s">
        <v>882</v>
      </c>
      <c r="O3" s="584"/>
      <c r="P3" s="606" t="s">
        <v>882</v>
      </c>
      <c r="Q3" s="584"/>
      <c r="R3" s="606" t="s">
        <v>882</v>
      </c>
      <c r="S3" s="584">
        <v>3033</v>
      </c>
      <c r="T3" s="606" t="s">
        <v>882</v>
      </c>
      <c r="U3" s="584">
        <v>3013</v>
      </c>
      <c r="V3" s="606" t="s">
        <v>882</v>
      </c>
      <c r="W3" s="584">
        <v>3048</v>
      </c>
      <c r="X3" s="404"/>
      <c r="Y3" s="584"/>
      <c r="Z3" s="584"/>
      <c r="AA3" s="584"/>
      <c r="AB3" s="585"/>
      <c r="AC3" s="586"/>
      <c r="AD3" s="587"/>
    </row>
    <row r="4" spans="1:30" ht="22.15" customHeight="1" x14ac:dyDescent="0.45">
      <c r="A4" s="582"/>
      <c r="B4" s="583">
        <v>45972</v>
      </c>
      <c r="C4" s="582"/>
      <c r="D4" s="606" t="s">
        <v>882</v>
      </c>
      <c r="E4" s="584"/>
      <c r="F4" s="606" t="s">
        <v>882</v>
      </c>
      <c r="G4" s="584"/>
      <c r="H4" s="606" t="s">
        <v>882</v>
      </c>
      <c r="I4" s="584"/>
      <c r="J4" s="606" t="s">
        <v>882</v>
      </c>
      <c r="K4" s="584">
        <v>3153</v>
      </c>
      <c r="L4" s="606" t="s">
        <v>882</v>
      </c>
      <c r="M4" s="584">
        <v>3048</v>
      </c>
      <c r="N4" s="606" t="s">
        <v>882</v>
      </c>
      <c r="O4" s="584"/>
      <c r="P4" s="606" t="s">
        <v>882</v>
      </c>
      <c r="Q4" s="584"/>
      <c r="R4" s="606" t="s">
        <v>882</v>
      </c>
      <c r="S4" s="584">
        <v>3033</v>
      </c>
      <c r="T4" s="606" t="s">
        <v>882</v>
      </c>
      <c r="U4" s="584"/>
      <c r="V4" s="606" t="s">
        <v>882</v>
      </c>
      <c r="W4" s="584"/>
      <c r="X4" s="404"/>
      <c r="Y4" s="584"/>
      <c r="Z4" s="584"/>
      <c r="AA4" s="584"/>
      <c r="AB4" s="585"/>
      <c r="AC4" s="586"/>
      <c r="AD4" s="587"/>
    </row>
    <row r="5" spans="1:30" ht="22.15" customHeight="1" x14ac:dyDescent="0.45">
      <c r="A5" s="582"/>
      <c r="B5" s="583">
        <v>45972</v>
      </c>
      <c r="C5" s="582"/>
      <c r="D5" s="606" t="s">
        <v>882</v>
      </c>
      <c r="E5" s="584"/>
      <c r="F5" s="606" t="s">
        <v>882</v>
      </c>
      <c r="G5" s="584"/>
      <c r="H5" s="606" t="s">
        <v>882</v>
      </c>
      <c r="I5" s="584"/>
      <c r="J5" s="606" t="s">
        <v>882</v>
      </c>
      <c r="K5" s="584">
        <v>3168</v>
      </c>
      <c r="L5" s="606" t="s">
        <v>882</v>
      </c>
      <c r="M5" s="584">
        <v>3048</v>
      </c>
      <c r="N5" s="606" t="s">
        <v>882</v>
      </c>
      <c r="O5" s="584"/>
      <c r="P5" s="606" t="s">
        <v>882</v>
      </c>
      <c r="Q5" s="584"/>
      <c r="R5" s="606" t="s">
        <v>882</v>
      </c>
      <c r="S5" s="584">
        <v>3053</v>
      </c>
      <c r="T5" s="606" t="s">
        <v>882</v>
      </c>
      <c r="U5" s="584"/>
      <c r="V5" s="606" t="s">
        <v>882</v>
      </c>
      <c r="W5" s="584"/>
      <c r="X5" s="404"/>
      <c r="Y5" s="584"/>
      <c r="Z5" s="584"/>
      <c r="AA5" s="584"/>
      <c r="AB5" s="585"/>
      <c r="AC5" s="586"/>
      <c r="AD5" s="587"/>
    </row>
    <row r="6" spans="1:30" ht="22.15" customHeight="1" x14ac:dyDescent="0.45">
      <c r="A6" s="582"/>
      <c r="B6" s="583">
        <v>45972</v>
      </c>
      <c r="C6" s="582"/>
      <c r="D6" s="606" t="s">
        <v>882</v>
      </c>
      <c r="E6" s="584"/>
      <c r="F6" s="606" t="s">
        <v>882</v>
      </c>
      <c r="G6" s="584"/>
      <c r="H6" s="606" t="s">
        <v>882</v>
      </c>
      <c r="I6" s="584"/>
      <c r="J6" s="606" t="s">
        <v>882</v>
      </c>
      <c r="K6" s="584">
        <v>3163</v>
      </c>
      <c r="L6" s="606" t="s">
        <v>882</v>
      </c>
      <c r="M6" s="584">
        <v>3063</v>
      </c>
      <c r="N6" s="606" t="s">
        <v>882</v>
      </c>
      <c r="O6" s="584"/>
      <c r="P6" s="606" t="s">
        <v>882</v>
      </c>
      <c r="Q6" s="584"/>
      <c r="R6" s="606" t="s">
        <v>882</v>
      </c>
      <c r="S6" s="584"/>
      <c r="T6" s="606" t="s">
        <v>882</v>
      </c>
      <c r="U6" s="584"/>
      <c r="V6" s="606" t="s">
        <v>882</v>
      </c>
      <c r="W6" s="584"/>
      <c r="X6" s="404"/>
      <c r="Y6" s="584"/>
      <c r="Z6" s="584"/>
      <c r="AA6" s="584"/>
      <c r="AB6" s="585"/>
      <c r="AC6" s="586"/>
      <c r="AD6" s="587"/>
    </row>
    <row r="7" spans="1:30" ht="22.15" customHeight="1" x14ac:dyDescent="0.45">
      <c r="A7" s="582"/>
      <c r="B7" s="583">
        <v>45972</v>
      </c>
      <c r="C7" s="582"/>
      <c r="D7" s="606" t="s">
        <v>882</v>
      </c>
      <c r="E7" s="584"/>
      <c r="F7" s="606" t="s">
        <v>882</v>
      </c>
      <c r="G7" s="584"/>
      <c r="H7" s="606" t="s">
        <v>882</v>
      </c>
      <c r="I7" s="584"/>
      <c r="J7" s="606" t="s">
        <v>882</v>
      </c>
      <c r="K7" s="584">
        <v>3143</v>
      </c>
      <c r="L7" s="606" t="s">
        <v>882</v>
      </c>
      <c r="M7" s="584">
        <v>3058</v>
      </c>
      <c r="N7" s="606" t="s">
        <v>882</v>
      </c>
      <c r="O7" s="584"/>
      <c r="P7" s="606" t="s">
        <v>882</v>
      </c>
      <c r="Q7" s="584"/>
      <c r="R7" s="606" t="s">
        <v>882</v>
      </c>
      <c r="S7" s="584"/>
      <c r="T7" s="606" t="s">
        <v>882</v>
      </c>
      <c r="U7" s="584"/>
      <c r="V7" s="606" t="s">
        <v>882</v>
      </c>
      <c r="W7" s="584"/>
      <c r="X7" s="404"/>
      <c r="Y7" s="584"/>
      <c r="Z7" s="584"/>
      <c r="AA7" s="584"/>
      <c r="AB7" s="585"/>
      <c r="AC7" s="586"/>
      <c r="AD7" s="587"/>
    </row>
    <row r="8" spans="1:30" ht="22.15" customHeight="1" x14ac:dyDescent="0.45">
      <c r="A8" s="582"/>
      <c r="B8" s="583">
        <v>45972</v>
      </c>
      <c r="C8" s="582"/>
      <c r="D8" s="606" t="s">
        <v>882</v>
      </c>
      <c r="E8" s="584"/>
      <c r="F8" s="606" t="s">
        <v>882</v>
      </c>
      <c r="G8" s="584"/>
      <c r="H8" s="606" t="s">
        <v>882</v>
      </c>
      <c r="I8" s="584"/>
      <c r="J8" s="606" t="s">
        <v>882</v>
      </c>
      <c r="K8" s="584">
        <v>3133</v>
      </c>
      <c r="L8" s="606" t="s">
        <v>882</v>
      </c>
      <c r="M8" s="584">
        <v>3053</v>
      </c>
      <c r="N8" s="606" t="s">
        <v>882</v>
      </c>
      <c r="O8" s="584"/>
      <c r="P8" s="606" t="s">
        <v>882</v>
      </c>
      <c r="Q8" s="584"/>
      <c r="R8" s="606" t="s">
        <v>882</v>
      </c>
      <c r="S8" s="584"/>
      <c r="T8" s="606" t="s">
        <v>882</v>
      </c>
      <c r="U8" s="584"/>
      <c r="V8" s="606" t="s">
        <v>882</v>
      </c>
      <c r="W8" s="584"/>
      <c r="X8" s="404"/>
      <c r="Y8" s="584"/>
      <c r="Z8" s="584"/>
      <c r="AA8" s="584"/>
      <c r="AB8" s="585"/>
      <c r="AC8" s="586"/>
      <c r="AD8" s="587"/>
    </row>
    <row r="9" spans="1:30" ht="22.15" customHeight="1" x14ac:dyDescent="0.45">
      <c r="A9" s="582"/>
      <c r="B9" s="583">
        <v>45972</v>
      </c>
      <c r="C9" s="582"/>
      <c r="D9" s="606" t="s">
        <v>882</v>
      </c>
      <c r="E9" s="584"/>
      <c r="F9" s="606" t="s">
        <v>882</v>
      </c>
      <c r="G9" s="584"/>
      <c r="H9" s="606" t="s">
        <v>882</v>
      </c>
      <c r="I9" s="584"/>
      <c r="J9" s="606" t="s">
        <v>882</v>
      </c>
      <c r="K9" s="584">
        <v>3148</v>
      </c>
      <c r="L9" s="606" t="s">
        <v>882</v>
      </c>
      <c r="M9" s="584">
        <v>3053</v>
      </c>
      <c r="N9" s="606" t="s">
        <v>882</v>
      </c>
      <c r="O9" s="584"/>
      <c r="P9" s="606" t="s">
        <v>882</v>
      </c>
      <c r="Q9" s="584"/>
      <c r="R9" s="606" t="s">
        <v>882</v>
      </c>
      <c r="S9" s="584"/>
      <c r="T9" s="606" t="s">
        <v>882</v>
      </c>
      <c r="U9" s="584"/>
      <c r="V9" s="606" t="s">
        <v>882</v>
      </c>
      <c r="W9" s="584"/>
      <c r="X9" s="404"/>
      <c r="Y9" s="584"/>
      <c r="Z9" s="584"/>
      <c r="AA9" s="584"/>
      <c r="AB9" s="585"/>
      <c r="AC9" s="586"/>
      <c r="AD9" s="587"/>
    </row>
    <row r="10" spans="1:30" ht="22.15" customHeight="1" x14ac:dyDescent="0.45">
      <c r="A10" s="582"/>
      <c r="B10" s="583">
        <v>45972</v>
      </c>
      <c r="C10" s="582"/>
      <c r="D10" s="606" t="s">
        <v>882</v>
      </c>
      <c r="E10" s="584"/>
      <c r="F10" s="606" t="s">
        <v>882</v>
      </c>
      <c r="G10" s="584"/>
      <c r="H10" s="606" t="s">
        <v>882</v>
      </c>
      <c r="I10" s="584"/>
      <c r="J10" s="606" t="s">
        <v>882</v>
      </c>
      <c r="K10" s="584">
        <v>3138</v>
      </c>
      <c r="L10" s="606" t="s">
        <v>882</v>
      </c>
      <c r="M10" s="584">
        <v>3053</v>
      </c>
      <c r="N10" s="606" t="s">
        <v>882</v>
      </c>
      <c r="O10" s="584"/>
      <c r="P10" s="606" t="s">
        <v>882</v>
      </c>
      <c r="Q10" s="584"/>
      <c r="R10" s="606" t="s">
        <v>882</v>
      </c>
      <c r="S10" s="584"/>
      <c r="T10" s="606" t="s">
        <v>882</v>
      </c>
      <c r="U10" s="584"/>
      <c r="V10" s="606" t="s">
        <v>882</v>
      </c>
      <c r="W10" s="584"/>
      <c r="X10" s="404"/>
      <c r="Y10" s="584"/>
      <c r="Z10" s="584"/>
      <c r="AA10" s="584"/>
      <c r="AB10" s="585"/>
      <c r="AC10" s="586"/>
      <c r="AD10" s="587"/>
    </row>
    <row r="11" spans="1:30" ht="22.15" customHeight="1" x14ac:dyDescent="0.45">
      <c r="A11" s="582"/>
      <c r="B11" s="583">
        <v>45972</v>
      </c>
      <c r="C11" s="582"/>
      <c r="D11" s="606" t="s">
        <v>882</v>
      </c>
      <c r="E11" s="584"/>
      <c r="F11" s="606" t="s">
        <v>882</v>
      </c>
      <c r="G11" s="584"/>
      <c r="H11" s="606" t="s">
        <v>882</v>
      </c>
      <c r="I11" s="584"/>
      <c r="J11" s="606" t="s">
        <v>882</v>
      </c>
      <c r="K11" s="584">
        <v>3138</v>
      </c>
      <c r="L11" s="606" t="s">
        <v>882</v>
      </c>
      <c r="M11" s="584">
        <v>3053</v>
      </c>
      <c r="N11" s="606" t="s">
        <v>882</v>
      </c>
      <c r="O11" s="584"/>
      <c r="P11" s="606" t="s">
        <v>882</v>
      </c>
      <c r="Q11" s="584"/>
      <c r="R11" s="606" t="s">
        <v>882</v>
      </c>
      <c r="S11" s="584"/>
      <c r="T11" s="606" t="s">
        <v>882</v>
      </c>
      <c r="U11" s="584"/>
      <c r="V11" s="606" t="s">
        <v>882</v>
      </c>
      <c r="W11" s="584"/>
      <c r="X11" s="404"/>
      <c r="Y11" s="584"/>
      <c r="Z11" s="584"/>
      <c r="AA11" s="584"/>
      <c r="AB11" s="585"/>
      <c r="AC11" s="586"/>
      <c r="AD11" s="587"/>
    </row>
    <row r="12" spans="1:30" ht="22.15" customHeight="1" x14ac:dyDescent="0.45">
      <c r="A12" s="582"/>
      <c r="B12" s="583">
        <v>45972</v>
      </c>
      <c r="C12" s="582"/>
      <c r="D12" s="606" t="s">
        <v>882</v>
      </c>
      <c r="E12" s="584"/>
      <c r="F12" s="606" t="s">
        <v>882</v>
      </c>
      <c r="G12" s="584"/>
      <c r="H12" s="606" t="s">
        <v>882</v>
      </c>
      <c r="I12" s="584"/>
      <c r="J12" s="606" t="s">
        <v>882</v>
      </c>
      <c r="K12" s="584"/>
      <c r="L12" s="606" t="s">
        <v>882</v>
      </c>
      <c r="M12" s="584">
        <v>3058</v>
      </c>
      <c r="N12" s="606" t="s">
        <v>882</v>
      </c>
      <c r="O12" s="584"/>
      <c r="P12" s="606" t="s">
        <v>882</v>
      </c>
      <c r="Q12" s="584"/>
      <c r="R12" s="606" t="s">
        <v>882</v>
      </c>
      <c r="S12" s="584"/>
      <c r="T12" s="606" t="s">
        <v>882</v>
      </c>
      <c r="U12" s="584"/>
      <c r="V12" s="606" t="s">
        <v>882</v>
      </c>
      <c r="W12" s="584"/>
      <c r="X12" s="404"/>
      <c r="Y12" s="584"/>
      <c r="Z12" s="584"/>
      <c r="AA12" s="584"/>
      <c r="AB12" s="585"/>
      <c r="AC12" s="586"/>
      <c r="AD12" s="587"/>
    </row>
    <row r="13" spans="1:30" ht="22.15" customHeight="1" x14ac:dyDescent="0.45">
      <c r="A13" s="582"/>
      <c r="B13" s="583">
        <v>45972</v>
      </c>
      <c r="C13" s="582"/>
      <c r="D13" s="606" t="s">
        <v>882</v>
      </c>
      <c r="E13" s="584"/>
      <c r="F13" s="606" t="s">
        <v>882</v>
      </c>
      <c r="G13" s="584"/>
      <c r="H13" s="606" t="s">
        <v>882</v>
      </c>
      <c r="I13" s="584"/>
      <c r="J13" s="606" t="s">
        <v>882</v>
      </c>
      <c r="K13" s="584"/>
      <c r="L13" s="606" t="s">
        <v>882</v>
      </c>
      <c r="M13" s="584">
        <v>3063</v>
      </c>
      <c r="N13" s="606" t="s">
        <v>882</v>
      </c>
      <c r="O13" s="584"/>
      <c r="P13" s="606" t="s">
        <v>882</v>
      </c>
      <c r="Q13" s="584"/>
      <c r="R13" s="606" t="s">
        <v>882</v>
      </c>
      <c r="S13" s="584"/>
      <c r="T13" s="606" t="s">
        <v>882</v>
      </c>
      <c r="U13" s="584"/>
      <c r="V13" s="606" t="s">
        <v>882</v>
      </c>
      <c r="W13" s="584"/>
      <c r="X13" s="404"/>
      <c r="Y13" s="584"/>
      <c r="Z13" s="584"/>
      <c r="AA13" s="584"/>
      <c r="AB13" s="585"/>
      <c r="AC13" s="586"/>
      <c r="AD13" s="587"/>
    </row>
    <row r="14" spans="1:30" ht="22.15" customHeight="1" x14ac:dyDescent="0.45">
      <c r="A14" s="582"/>
      <c r="B14" s="583">
        <v>45972</v>
      </c>
      <c r="C14" s="582"/>
      <c r="D14" s="606" t="s">
        <v>882</v>
      </c>
      <c r="E14" s="584"/>
      <c r="F14" s="606" t="s">
        <v>882</v>
      </c>
      <c r="G14" s="584"/>
      <c r="H14" s="606" t="s">
        <v>882</v>
      </c>
      <c r="I14" s="584"/>
      <c r="J14" s="606" t="s">
        <v>882</v>
      </c>
      <c r="K14" s="584"/>
      <c r="L14" s="606" t="s">
        <v>882</v>
      </c>
      <c r="M14" s="584">
        <v>3048</v>
      </c>
      <c r="N14" s="606" t="s">
        <v>882</v>
      </c>
      <c r="O14" s="584"/>
      <c r="P14" s="606" t="s">
        <v>882</v>
      </c>
      <c r="Q14" s="584"/>
      <c r="R14" s="606" t="s">
        <v>882</v>
      </c>
      <c r="S14" s="584"/>
      <c r="T14" s="606" t="s">
        <v>882</v>
      </c>
      <c r="U14" s="584"/>
      <c r="V14" s="606" t="s">
        <v>882</v>
      </c>
      <c r="W14" s="584"/>
      <c r="X14" s="404"/>
      <c r="Y14" s="584"/>
      <c r="Z14" s="584"/>
      <c r="AA14" s="584"/>
      <c r="AB14" s="585"/>
      <c r="AC14" s="586"/>
      <c r="AD14" s="587"/>
    </row>
    <row r="15" spans="1:30" ht="22.15" customHeight="1" x14ac:dyDescent="0.45">
      <c r="A15" s="582"/>
      <c r="B15" s="583">
        <v>45972</v>
      </c>
      <c r="C15" s="582"/>
      <c r="D15" s="606" t="s">
        <v>882</v>
      </c>
      <c r="E15" s="584"/>
      <c r="F15" s="606" t="s">
        <v>882</v>
      </c>
      <c r="G15" s="584"/>
      <c r="H15" s="606" t="s">
        <v>882</v>
      </c>
      <c r="I15" s="584"/>
      <c r="J15" s="606" t="s">
        <v>882</v>
      </c>
      <c r="K15" s="584"/>
      <c r="L15" s="606" t="s">
        <v>882</v>
      </c>
      <c r="M15" s="584">
        <v>3053</v>
      </c>
      <c r="N15" s="606" t="s">
        <v>882</v>
      </c>
      <c r="O15" s="584"/>
      <c r="P15" s="606" t="s">
        <v>882</v>
      </c>
      <c r="Q15" s="584"/>
      <c r="R15" s="606" t="s">
        <v>882</v>
      </c>
      <c r="S15" s="584"/>
      <c r="T15" s="606" t="s">
        <v>882</v>
      </c>
      <c r="U15" s="584"/>
      <c r="V15" s="606" t="s">
        <v>882</v>
      </c>
      <c r="W15" s="584"/>
      <c r="X15" s="404">
        <f>SUM(K2:K11,M2:M15,Q2,S2:S5,U2:U4,W2:W3)</f>
        <v>101424</v>
      </c>
      <c r="Y15" s="584"/>
      <c r="Z15" s="584"/>
      <c r="AA15" s="584"/>
      <c r="AB15" s="585">
        <f>(X15/1000)*640*AC15</f>
        <v>774717081.60000002</v>
      </c>
      <c r="AC15" s="586">
        <v>11935</v>
      </c>
      <c r="AD15" s="587">
        <f>(X15/1000)*640</f>
        <v>64911.360000000001</v>
      </c>
    </row>
    <row r="16" spans="1:30" ht="22.15" customHeight="1" x14ac:dyDescent="0.45">
      <c r="A16" s="582">
        <v>2</v>
      </c>
      <c r="B16" s="583">
        <v>45985</v>
      </c>
      <c r="C16" s="582"/>
      <c r="D16" s="606" t="s">
        <v>882</v>
      </c>
      <c r="E16" s="584"/>
      <c r="F16" s="606" t="s">
        <v>882</v>
      </c>
      <c r="G16" s="584"/>
      <c r="H16" s="606" t="s">
        <v>882</v>
      </c>
      <c r="I16" s="584"/>
      <c r="J16" s="606" t="s">
        <v>882</v>
      </c>
      <c r="K16" s="584"/>
      <c r="L16" s="606" t="s">
        <v>882</v>
      </c>
      <c r="M16" s="584"/>
      <c r="N16" s="606" t="s">
        <v>882</v>
      </c>
      <c r="O16" s="584"/>
      <c r="P16" s="606" t="s">
        <v>882</v>
      </c>
      <c r="Q16" s="584"/>
      <c r="R16" s="606" t="s">
        <v>882</v>
      </c>
      <c r="S16" s="584"/>
      <c r="T16" s="606" t="s">
        <v>882</v>
      </c>
      <c r="U16" s="584"/>
      <c r="V16" s="606" t="s">
        <v>882</v>
      </c>
      <c r="W16" s="584"/>
      <c r="X16" s="404"/>
      <c r="Y16" s="405">
        <f>17*11.7</f>
        <v>198.89999999999998</v>
      </c>
      <c r="Z16" s="405">
        <f>11.7*2</f>
        <v>23.4</v>
      </c>
      <c r="AA16" s="405">
        <f>11.7*2</f>
        <v>23.4</v>
      </c>
      <c r="AB16" s="585"/>
      <c r="AC16" s="586"/>
      <c r="AD16" s="587"/>
    </row>
    <row r="17" spans="1:30" x14ac:dyDescent="0.45">
      <c r="A17" s="582">
        <v>3</v>
      </c>
      <c r="B17" s="583">
        <v>45990</v>
      </c>
      <c r="C17" s="582"/>
      <c r="D17" s="606" t="s">
        <v>882</v>
      </c>
      <c r="E17" s="584"/>
      <c r="F17" s="606" t="s">
        <v>882</v>
      </c>
      <c r="G17" s="584"/>
      <c r="H17" s="606" t="s">
        <v>882</v>
      </c>
      <c r="I17" s="584">
        <v>3135</v>
      </c>
      <c r="J17" s="606" t="s">
        <v>882</v>
      </c>
      <c r="K17" s="584"/>
      <c r="L17" s="606" t="s">
        <v>882</v>
      </c>
      <c r="M17" s="584"/>
      <c r="N17" s="606" t="s">
        <v>882</v>
      </c>
      <c r="O17" s="584">
        <v>2600</v>
      </c>
      <c r="P17" s="606" t="s">
        <v>882</v>
      </c>
      <c r="Q17" s="584">
        <v>2410</v>
      </c>
      <c r="R17" s="606" t="s">
        <v>882</v>
      </c>
      <c r="S17" s="584"/>
      <c r="T17" s="606" t="s">
        <v>882</v>
      </c>
      <c r="U17" s="584">
        <v>1555</v>
      </c>
      <c r="V17" s="606" t="s">
        <v>882</v>
      </c>
      <c r="W17" s="584">
        <v>2600</v>
      </c>
      <c r="X17" s="404"/>
      <c r="Y17" s="584"/>
      <c r="Z17" s="584"/>
      <c r="AA17" s="584"/>
      <c r="AB17" s="585"/>
      <c r="AC17" s="586"/>
      <c r="AD17" s="587"/>
    </row>
    <row r="18" spans="1:30" x14ac:dyDescent="0.45">
      <c r="A18" s="582" t="s">
        <v>145</v>
      </c>
      <c r="B18" s="583">
        <v>45990</v>
      </c>
      <c r="C18" s="582"/>
      <c r="D18" s="606" t="s">
        <v>882</v>
      </c>
      <c r="E18" s="584"/>
      <c r="F18" s="606" t="s">
        <v>882</v>
      </c>
      <c r="G18" s="584"/>
      <c r="H18" s="606" t="s">
        <v>882</v>
      </c>
      <c r="I18" s="584">
        <v>3135</v>
      </c>
      <c r="J18" s="606" t="s">
        <v>882</v>
      </c>
      <c r="K18" s="584"/>
      <c r="L18" s="606" t="s">
        <v>882</v>
      </c>
      <c r="M18" s="584"/>
      <c r="N18" s="606" t="s">
        <v>882</v>
      </c>
      <c r="O18" s="584">
        <v>5215</v>
      </c>
      <c r="P18" s="606" t="s">
        <v>882</v>
      </c>
      <c r="Q18" s="584">
        <v>2450</v>
      </c>
      <c r="R18" s="606" t="s">
        <v>882</v>
      </c>
      <c r="S18" s="584"/>
      <c r="T18" s="606" t="s">
        <v>882</v>
      </c>
      <c r="U18" s="584">
        <v>2485</v>
      </c>
      <c r="V18" s="606" t="s">
        <v>882</v>
      </c>
      <c r="W18" s="584">
        <v>2580</v>
      </c>
      <c r="X18" s="404"/>
      <c r="Y18" s="584"/>
      <c r="Z18" s="584"/>
      <c r="AA18" s="584"/>
      <c r="AB18" s="585"/>
      <c r="AC18" s="586"/>
      <c r="AD18" s="587"/>
    </row>
    <row r="19" spans="1:30" x14ac:dyDescent="0.45">
      <c r="A19" s="582" t="s">
        <v>146</v>
      </c>
      <c r="B19" s="583">
        <v>45990</v>
      </c>
      <c r="C19" s="582"/>
      <c r="D19" s="606" t="s">
        <v>882</v>
      </c>
      <c r="E19" s="584"/>
      <c r="F19" s="606" t="s">
        <v>882</v>
      </c>
      <c r="G19" s="584"/>
      <c r="H19" s="606" t="s">
        <v>882</v>
      </c>
      <c r="I19" s="584">
        <v>3110</v>
      </c>
      <c r="J19" s="606" t="s">
        <v>882</v>
      </c>
      <c r="K19" s="584"/>
      <c r="L19" s="606" t="s">
        <v>882</v>
      </c>
      <c r="M19" s="584"/>
      <c r="N19" s="606" t="s">
        <v>882</v>
      </c>
      <c r="O19" s="584">
        <v>5200</v>
      </c>
      <c r="P19" s="606" t="s">
        <v>882</v>
      </c>
      <c r="Q19" s="584">
        <v>2515</v>
      </c>
      <c r="R19" s="606" t="s">
        <v>882</v>
      </c>
      <c r="S19" s="584"/>
      <c r="T19" s="606" t="s">
        <v>882</v>
      </c>
      <c r="U19" s="584">
        <v>2490</v>
      </c>
      <c r="V19" s="606" t="s">
        <v>882</v>
      </c>
      <c r="W19" s="584">
        <v>2500</v>
      </c>
      <c r="X19" s="404"/>
      <c r="Y19" s="584"/>
      <c r="Z19" s="584"/>
      <c r="AA19" s="584"/>
      <c r="AB19" s="585"/>
      <c r="AC19" s="586"/>
      <c r="AD19" s="587"/>
    </row>
    <row r="20" spans="1:30" x14ac:dyDescent="0.45">
      <c r="A20" s="582"/>
      <c r="B20" s="583">
        <v>45990</v>
      </c>
      <c r="C20" s="582"/>
      <c r="D20" s="606" t="s">
        <v>882</v>
      </c>
      <c r="E20" s="584"/>
      <c r="F20" s="606" t="s">
        <v>882</v>
      </c>
      <c r="G20" s="584"/>
      <c r="H20" s="606" t="s">
        <v>882</v>
      </c>
      <c r="I20" s="584">
        <v>3130</v>
      </c>
      <c r="J20" s="606" t="s">
        <v>882</v>
      </c>
      <c r="K20" s="584"/>
      <c r="L20" s="606" t="s">
        <v>882</v>
      </c>
      <c r="M20" s="584"/>
      <c r="N20" s="606" t="s">
        <v>882</v>
      </c>
      <c r="O20" s="584">
        <v>5135</v>
      </c>
      <c r="P20" s="606" t="s">
        <v>882</v>
      </c>
      <c r="Q20" s="584">
        <v>2500</v>
      </c>
      <c r="R20" s="606" t="s">
        <v>882</v>
      </c>
      <c r="S20" s="584"/>
      <c r="T20" s="606" t="s">
        <v>882</v>
      </c>
      <c r="U20" s="584">
        <v>2550</v>
      </c>
      <c r="V20" s="606" t="s">
        <v>882</v>
      </c>
      <c r="W20" s="584">
        <v>2580</v>
      </c>
      <c r="X20" s="404"/>
      <c r="Y20" s="584"/>
      <c r="Z20" s="584"/>
      <c r="AA20" s="584"/>
      <c r="AB20" s="585"/>
      <c r="AC20" s="586"/>
      <c r="AD20" s="587"/>
    </row>
    <row r="21" spans="1:30" x14ac:dyDescent="0.45">
      <c r="A21" s="582"/>
      <c r="B21" s="583">
        <v>45990</v>
      </c>
      <c r="C21" s="582"/>
      <c r="D21" s="606" t="s">
        <v>882</v>
      </c>
      <c r="E21" s="584"/>
      <c r="F21" s="606" t="s">
        <v>882</v>
      </c>
      <c r="G21" s="584"/>
      <c r="H21" s="606" t="s">
        <v>882</v>
      </c>
      <c r="I21" s="584">
        <v>3125</v>
      </c>
      <c r="J21" s="606" t="s">
        <v>882</v>
      </c>
      <c r="K21" s="584"/>
      <c r="L21" s="606" t="s">
        <v>882</v>
      </c>
      <c r="M21" s="584"/>
      <c r="N21" s="606" t="s">
        <v>882</v>
      </c>
      <c r="O21" s="584">
        <v>2555</v>
      </c>
      <c r="P21" s="606" t="s">
        <v>882</v>
      </c>
      <c r="Q21" s="584">
        <v>2540</v>
      </c>
      <c r="R21" s="606" t="s">
        <v>882</v>
      </c>
      <c r="S21" s="584"/>
      <c r="T21" s="606" t="s">
        <v>882</v>
      </c>
      <c r="U21" s="584">
        <v>2580</v>
      </c>
      <c r="V21" s="606" t="s">
        <v>882</v>
      </c>
      <c r="W21" s="584">
        <v>2590</v>
      </c>
      <c r="X21" s="404"/>
      <c r="Y21" s="584"/>
      <c r="Z21" s="584"/>
      <c r="AA21" s="584"/>
      <c r="AB21" s="585"/>
      <c r="AC21" s="586"/>
      <c r="AD21" s="587"/>
    </row>
    <row r="22" spans="1:30" x14ac:dyDescent="0.45">
      <c r="A22" s="582"/>
      <c r="B22" s="583">
        <v>45990</v>
      </c>
      <c r="C22" s="582"/>
      <c r="D22" s="606" t="s">
        <v>882</v>
      </c>
      <c r="E22" s="584"/>
      <c r="F22" s="606" t="s">
        <v>882</v>
      </c>
      <c r="G22" s="584"/>
      <c r="H22" s="606" t="s">
        <v>882</v>
      </c>
      <c r="I22" s="584"/>
      <c r="J22" s="606" t="s">
        <v>882</v>
      </c>
      <c r="K22" s="584"/>
      <c r="L22" s="606" t="s">
        <v>882</v>
      </c>
      <c r="M22" s="584"/>
      <c r="N22" s="606" t="s">
        <v>882</v>
      </c>
      <c r="O22" s="584">
        <v>2560</v>
      </c>
      <c r="P22" s="606" t="s">
        <v>882</v>
      </c>
      <c r="Q22" s="584"/>
      <c r="R22" s="606" t="s">
        <v>882</v>
      </c>
      <c r="S22" s="584"/>
      <c r="T22" s="606" t="s">
        <v>882</v>
      </c>
      <c r="U22" s="584">
        <v>2580</v>
      </c>
      <c r="V22" s="606" t="s">
        <v>882</v>
      </c>
      <c r="W22" s="584">
        <v>2585</v>
      </c>
      <c r="X22" s="404"/>
      <c r="Y22" s="584"/>
      <c r="Z22" s="584"/>
      <c r="AA22" s="584"/>
      <c r="AB22" s="585"/>
      <c r="AC22" s="586"/>
      <c r="AD22" s="587"/>
    </row>
    <row r="23" spans="1:30" x14ac:dyDescent="0.45">
      <c r="A23" s="582"/>
      <c r="B23" s="583">
        <v>45990</v>
      </c>
      <c r="C23" s="582"/>
      <c r="D23" s="606" t="s">
        <v>882</v>
      </c>
      <c r="E23" s="584"/>
      <c r="F23" s="606" t="s">
        <v>882</v>
      </c>
      <c r="G23" s="584"/>
      <c r="H23" s="606" t="s">
        <v>882</v>
      </c>
      <c r="I23" s="584"/>
      <c r="J23" s="606" t="s">
        <v>882</v>
      </c>
      <c r="K23" s="584"/>
      <c r="L23" s="606" t="s">
        <v>882</v>
      </c>
      <c r="M23" s="584"/>
      <c r="N23" s="606" t="s">
        <v>882</v>
      </c>
      <c r="O23" s="584">
        <v>2575</v>
      </c>
      <c r="P23" s="606" t="s">
        <v>882</v>
      </c>
      <c r="Q23" s="584"/>
      <c r="R23" s="606" t="s">
        <v>882</v>
      </c>
      <c r="S23" s="584"/>
      <c r="T23" s="606" t="s">
        <v>882</v>
      </c>
      <c r="U23" s="584">
        <v>2580</v>
      </c>
      <c r="V23" s="606" t="s">
        <v>882</v>
      </c>
      <c r="W23" s="584">
        <v>2510</v>
      </c>
      <c r="X23" s="404"/>
      <c r="Y23" s="584"/>
      <c r="Z23" s="584"/>
      <c r="AA23" s="584"/>
      <c r="AB23" s="585"/>
      <c r="AC23" s="586"/>
      <c r="AD23" s="587"/>
    </row>
    <row r="24" spans="1:30" x14ac:dyDescent="0.45">
      <c r="A24" s="582"/>
      <c r="B24" s="583">
        <v>45990</v>
      </c>
      <c r="C24" s="582"/>
      <c r="D24" s="606" t="s">
        <v>882</v>
      </c>
      <c r="E24" s="584"/>
      <c r="F24" s="606" t="s">
        <v>882</v>
      </c>
      <c r="G24" s="584"/>
      <c r="H24" s="606" t="s">
        <v>882</v>
      </c>
      <c r="I24" s="584"/>
      <c r="J24" s="606" t="s">
        <v>882</v>
      </c>
      <c r="K24" s="584"/>
      <c r="L24" s="606" t="s">
        <v>882</v>
      </c>
      <c r="M24" s="584"/>
      <c r="N24" s="606" t="s">
        <v>882</v>
      </c>
      <c r="O24" s="584"/>
      <c r="P24" s="606" t="s">
        <v>882</v>
      </c>
      <c r="Q24" s="584"/>
      <c r="R24" s="606" t="s">
        <v>882</v>
      </c>
      <c r="S24" s="584"/>
      <c r="T24" s="606" t="s">
        <v>882</v>
      </c>
      <c r="U24" s="584">
        <v>2585</v>
      </c>
      <c r="V24" s="606" t="s">
        <v>882</v>
      </c>
      <c r="W24" s="584">
        <v>2570</v>
      </c>
      <c r="X24" s="404"/>
      <c r="Y24" s="584"/>
      <c r="Z24" s="584"/>
      <c r="AA24" s="584"/>
      <c r="AB24" s="585"/>
      <c r="AC24" s="586"/>
      <c r="AD24" s="587"/>
    </row>
    <row r="25" spans="1:30" x14ac:dyDescent="0.45">
      <c r="A25" s="582"/>
      <c r="B25" s="583">
        <v>45990</v>
      </c>
      <c r="C25" s="582"/>
      <c r="D25" s="606" t="s">
        <v>882</v>
      </c>
      <c r="E25" s="584"/>
      <c r="F25" s="606" t="s">
        <v>882</v>
      </c>
      <c r="G25" s="584"/>
      <c r="H25" s="606" t="s">
        <v>882</v>
      </c>
      <c r="I25" s="584"/>
      <c r="J25" s="606" t="s">
        <v>882</v>
      </c>
      <c r="K25" s="584"/>
      <c r="L25" s="606" t="s">
        <v>882</v>
      </c>
      <c r="M25" s="584"/>
      <c r="N25" s="606" t="s">
        <v>882</v>
      </c>
      <c r="O25" s="584"/>
      <c r="P25" s="606" t="s">
        <v>882</v>
      </c>
      <c r="Q25" s="584"/>
      <c r="R25" s="606" t="s">
        <v>882</v>
      </c>
      <c r="S25" s="584"/>
      <c r="T25" s="606" t="s">
        <v>882</v>
      </c>
      <c r="U25" s="584">
        <v>2585</v>
      </c>
      <c r="V25" s="606" t="s">
        <v>882</v>
      </c>
      <c r="W25" s="584">
        <v>2225</v>
      </c>
      <c r="X25" s="404"/>
      <c r="Y25" s="584"/>
      <c r="Z25" s="584"/>
      <c r="AA25" s="584"/>
      <c r="AB25" s="585"/>
      <c r="AC25" s="586"/>
      <c r="AD25" s="587"/>
    </row>
    <row r="26" spans="1:30" x14ac:dyDescent="0.45">
      <c r="A26" s="582"/>
      <c r="B26" s="583">
        <v>45990</v>
      </c>
      <c r="C26" s="582"/>
      <c r="D26" s="606" t="s">
        <v>882</v>
      </c>
      <c r="E26" s="584"/>
      <c r="F26" s="606" t="s">
        <v>882</v>
      </c>
      <c r="G26" s="584"/>
      <c r="H26" s="606" t="s">
        <v>882</v>
      </c>
      <c r="I26" s="584"/>
      <c r="J26" s="606" t="s">
        <v>882</v>
      </c>
      <c r="K26" s="584"/>
      <c r="L26" s="606" t="s">
        <v>882</v>
      </c>
      <c r="M26" s="584"/>
      <c r="N26" s="606" t="s">
        <v>882</v>
      </c>
      <c r="O26" s="584"/>
      <c r="P26" s="606" t="s">
        <v>882</v>
      </c>
      <c r="Q26" s="584"/>
      <c r="R26" s="606" t="s">
        <v>882</v>
      </c>
      <c r="S26" s="584"/>
      <c r="T26" s="606" t="s">
        <v>882</v>
      </c>
      <c r="U26" s="584">
        <v>2585</v>
      </c>
      <c r="V26" s="606" t="s">
        <v>882</v>
      </c>
      <c r="W26" s="584">
        <v>2165</v>
      </c>
      <c r="X26" s="404"/>
      <c r="Y26" s="584"/>
      <c r="Z26" s="584"/>
      <c r="AA26" s="584"/>
      <c r="AB26" s="585"/>
      <c r="AC26" s="586"/>
      <c r="AD26" s="587"/>
    </row>
    <row r="27" spans="1:30" x14ac:dyDescent="0.45">
      <c r="A27" s="582"/>
      <c r="B27" s="583">
        <v>45990</v>
      </c>
      <c r="C27" s="582"/>
      <c r="D27" s="606" t="s">
        <v>882</v>
      </c>
      <c r="E27" s="584"/>
      <c r="F27" s="606" t="s">
        <v>882</v>
      </c>
      <c r="G27" s="584"/>
      <c r="H27" s="606" t="s">
        <v>882</v>
      </c>
      <c r="I27" s="584"/>
      <c r="J27" s="606" t="s">
        <v>882</v>
      </c>
      <c r="K27" s="584"/>
      <c r="L27" s="606" t="s">
        <v>882</v>
      </c>
      <c r="M27" s="584"/>
      <c r="N27" s="606" t="s">
        <v>882</v>
      </c>
      <c r="O27" s="584"/>
      <c r="P27" s="606" t="s">
        <v>882</v>
      </c>
      <c r="Q27" s="584"/>
      <c r="R27" s="606" t="s">
        <v>882</v>
      </c>
      <c r="S27" s="584"/>
      <c r="T27" s="606" t="s">
        <v>882</v>
      </c>
      <c r="U27" s="584">
        <v>2585</v>
      </c>
      <c r="V27" s="606" t="s">
        <v>882</v>
      </c>
      <c r="W27" s="584">
        <v>2775</v>
      </c>
      <c r="X27" s="404"/>
      <c r="Y27" s="584"/>
      <c r="Z27" s="584"/>
      <c r="AA27" s="584"/>
      <c r="AB27" s="585"/>
      <c r="AC27" s="586"/>
      <c r="AD27" s="587"/>
    </row>
    <row r="28" spans="1:30" x14ac:dyDescent="0.45">
      <c r="A28" s="582"/>
      <c r="B28" s="583">
        <v>45990</v>
      </c>
      <c r="C28" s="582"/>
      <c r="D28" s="606" t="s">
        <v>882</v>
      </c>
      <c r="E28" s="584"/>
      <c r="F28" s="606" t="s">
        <v>882</v>
      </c>
      <c r="G28" s="584"/>
      <c r="H28" s="606" t="s">
        <v>882</v>
      </c>
      <c r="I28" s="584"/>
      <c r="J28" s="606" t="s">
        <v>882</v>
      </c>
      <c r="K28" s="584"/>
      <c r="L28" s="606" t="s">
        <v>882</v>
      </c>
      <c r="M28" s="584"/>
      <c r="N28" s="606" t="s">
        <v>882</v>
      </c>
      <c r="O28" s="584"/>
      <c r="P28" s="606" t="s">
        <v>882</v>
      </c>
      <c r="Q28" s="584"/>
      <c r="R28" s="606" t="s">
        <v>882</v>
      </c>
      <c r="S28" s="584"/>
      <c r="T28" s="606" t="s">
        <v>882</v>
      </c>
      <c r="U28" s="584">
        <v>2590</v>
      </c>
      <c r="V28" s="606" t="s">
        <v>882</v>
      </c>
      <c r="W28" s="584">
        <v>2590</v>
      </c>
      <c r="X28" s="404"/>
      <c r="Y28" s="584"/>
      <c r="Z28" s="584"/>
      <c r="AA28" s="584"/>
      <c r="AB28" s="585"/>
      <c r="AC28" s="586"/>
      <c r="AD28" s="587"/>
    </row>
    <row r="29" spans="1:30" x14ac:dyDescent="0.45">
      <c r="A29" s="582"/>
      <c r="B29" s="583">
        <v>45990</v>
      </c>
      <c r="C29" s="582"/>
      <c r="D29" s="606" t="s">
        <v>882</v>
      </c>
      <c r="E29" s="584"/>
      <c r="F29" s="606" t="s">
        <v>882</v>
      </c>
      <c r="G29" s="584"/>
      <c r="H29" s="606" t="s">
        <v>882</v>
      </c>
      <c r="I29" s="584"/>
      <c r="J29" s="606" t="s">
        <v>882</v>
      </c>
      <c r="K29" s="584"/>
      <c r="L29" s="606" t="s">
        <v>882</v>
      </c>
      <c r="M29" s="584"/>
      <c r="N29" s="606" t="s">
        <v>882</v>
      </c>
      <c r="O29" s="584"/>
      <c r="P29" s="606" t="s">
        <v>882</v>
      </c>
      <c r="Q29" s="584"/>
      <c r="R29" s="606" t="s">
        <v>882</v>
      </c>
      <c r="S29" s="584"/>
      <c r="T29" s="606" t="s">
        <v>882</v>
      </c>
      <c r="U29" s="584">
        <v>2590</v>
      </c>
      <c r="V29" s="606" t="s">
        <v>882</v>
      </c>
      <c r="W29" s="584"/>
      <c r="X29" s="404"/>
      <c r="Y29" s="584"/>
      <c r="Z29" s="584"/>
      <c r="AA29" s="584"/>
      <c r="AB29" s="585"/>
      <c r="AC29" s="586"/>
      <c r="AD29" s="587"/>
    </row>
    <row r="30" spans="1:30" x14ac:dyDescent="0.45">
      <c r="A30" s="582"/>
      <c r="B30" s="583">
        <v>45990</v>
      </c>
      <c r="C30" s="582"/>
      <c r="D30" s="606" t="s">
        <v>882</v>
      </c>
      <c r="E30" s="584"/>
      <c r="F30" s="606" t="s">
        <v>882</v>
      </c>
      <c r="G30" s="584"/>
      <c r="H30" s="606" t="s">
        <v>882</v>
      </c>
      <c r="I30" s="584"/>
      <c r="J30" s="606" t="s">
        <v>882</v>
      </c>
      <c r="K30" s="584"/>
      <c r="L30" s="606" t="s">
        <v>882</v>
      </c>
      <c r="M30" s="584"/>
      <c r="N30" s="606" t="s">
        <v>882</v>
      </c>
      <c r="O30" s="584"/>
      <c r="P30" s="606" t="s">
        <v>882</v>
      </c>
      <c r="Q30" s="584"/>
      <c r="R30" s="606" t="s">
        <v>882</v>
      </c>
      <c r="S30" s="584"/>
      <c r="T30" s="606" t="s">
        <v>882</v>
      </c>
      <c r="U30" s="584">
        <v>2590</v>
      </c>
      <c r="V30" s="606" t="s">
        <v>882</v>
      </c>
      <c r="W30" s="584"/>
      <c r="X30" s="404"/>
      <c r="Y30" s="584"/>
      <c r="Z30" s="584"/>
      <c r="AA30" s="584"/>
      <c r="AB30" s="585"/>
      <c r="AC30" s="586"/>
      <c r="AD30" s="587"/>
    </row>
    <row r="31" spans="1:30" x14ac:dyDescent="0.45">
      <c r="A31" s="582"/>
      <c r="B31" s="583">
        <v>45990</v>
      </c>
      <c r="C31" s="582"/>
      <c r="D31" s="606" t="s">
        <v>882</v>
      </c>
      <c r="E31" s="584"/>
      <c r="F31" s="606" t="s">
        <v>882</v>
      </c>
      <c r="G31" s="584"/>
      <c r="H31" s="606" t="s">
        <v>882</v>
      </c>
      <c r="I31" s="584"/>
      <c r="J31" s="606" t="s">
        <v>882</v>
      </c>
      <c r="K31" s="584"/>
      <c r="L31" s="606" t="s">
        <v>882</v>
      </c>
      <c r="M31" s="584"/>
      <c r="N31" s="606" t="s">
        <v>882</v>
      </c>
      <c r="O31" s="584"/>
      <c r="P31" s="606" t="s">
        <v>882</v>
      </c>
      <c r="Q31" s="584"/>
      <c r="R31" s="606" t="s">
        <v>882</v>
      </c>
      <c r="S31" s="584"/>
      <c r="T31" s="606" t="s">
        <v>882</v>
      </c>
      <c r="U31" s="584">
        <v>2600</v>
      </c>
      <c r="V31" s="606" t="s">
        <v>882</v>
      </c>
      <c r="W31" s="584"/>
      <c r="X31" s="404"/>
      <c r="Y31" s="584"/>
      <c r="Z31" s="584"/>
      <c r="AA31" s="584"/>
      <c r="AB31" s="585"/>
      <c r="AC31" s="586"/>
      <c r="AD31" s="587"/>
    </row>
    <row r="32" spans="1:30" x14ac:dyDescent="0.45">
      <c r="A32" s="582"/>
      <c r="B32" s="583">
        <v>45990</v>
      </c>
      <c r="C32" s="582"/>
      <c r="D32" s="606" t="s">
        <v>882</v>
      </c>
      <c r="E32" s="584"/>
      <c r="F32" s="606" t="s">
        <v>882</v>
      </c>
      <c r="G32" s="584"/>
      <c r="H32" s="606" t="s">
        <v>882</v>
      </c>
      <c r="I32" s="584"/>
      <c r="J32" s="606" t="s">
        <v>882</v>
      </c>
      <c r="K32" s="584"/>
      <c r="L32" s="606" t="s">
        <v>882</v>
      </c>
      <c r="M32" s="584"/>
      <c r="N32" s="606" t="s">
        <v>882</v>
      </c>
      <c r="O32" s="584"/>
      <c r="P32" s="606" t="s">
        <v>882</v>
      </c>
      <c r="Q32" s="584"/>
      <c r="R32" s="606" t="s">
        <v>882</v>
      </c>
      <c r="S32" s="584"/>
      <c r="T32" s="606" t="s">
        <v>882</v>
      </c>
      <c r="U32" s="584">
        <v>2620</v>
      </c>
      <c r="V32" s="606" t="s">
        <v>882</v>
      </c>
      <c r="W32" s="584"/>
      <c r="X32" s="404"/>
      <c r="Y32" s="584"/>
      <c r="Z32" s="584"/>
      <c r="AA32" s="584"/>
      <c r="AB32" s="585"/>
      <c r="AC32" s="586"/>
      <c r="AD32" s="587"/>
    </row>
    <row r="33" spans="1:30" x14ac:dyDescent="0.45">
      <c r="A33" s="582"/>
      <c r="B33" s="583">
        <v>45990</v>
      </c>
      <c r="C33" s="582"/>
      <c r="D33" s="606" t="s">
        <v>882</v>
      </c>
      <c r="E33" s="584"/>
      <c r="F33" s="606" t="s">
        <v>882</v>
      </c>
      <c r="G33" s="584"/>
      <c r="H33" s="606" t="s">
        <v>882</v>
      </c>
      <c r="I33" s="584"/>
      <c r="J33" s="606" t="s">
        <v>882</v>
      </c>
      <c r="K33" s="584"/>
      <c r="L33" s="606" t="s">
        <v>882</v>
      </c>
      <c r="M33" s="584"/>
      <c r="N33" s="606" t="s">
        <v>882</v>
      </c>
      <c r="O33" s="584"/>
      <c r="P33" s="606" t="s">
        <v>882</v>
      </c>
      <c r="Q33" s="584"/>
      <c r="R33" s="606" t="s">
        <v>882</v>
      </c>
      <c r="S33" s="584"/>
      <c r="T33" s="606" t="s">
        <v>882</v>
      </c>
      <c r="U33" s="584">
        <v>2695</v>
      </c>
      <c r="V33" s="606" t="s">
        <v>882</v>
      </c>
      <c r="W33" s="584"/>
      <c r="X33" s="404"/>
      <c r="Y33" s="584"/>
      <c r="Z33" s="584"/>
      <c r="AA33" s="584"/>
      <c r="AB33" s="585"/>
      <c r="AC33" s="586"/>
      <c r="AD33" s="587"/>
    </row>
    <row r="34" spans="1:30" x14ac:dyDescent="0.45">
      <c r="A34" s="582"/>
      <c r="B34" s="583">
        <v>45990</v>
      </c>
      <c r="C34" s="582"/>
      <c r="D34" s="606" t="s">
        <v>882</v>
      </c>
      <c r="E34" s="584"/>
      <c r="F34" s="606" t="s">
        <v>882</v>
      </c>
      <c r="G34" s="584"/>
      <c r="H34" s="606" t="s">
        <v>882</v>
      </c>
      <c r="I34" s="584"/>
      <c r="J34" s="606" t="s">
        <v>882</v>
      </c>
      <c r="K34" s="584"/>
      <c r="L34" s="606" t="s">
        <v>882</v>
      </c>
      <c r="M34" s="584"/>
      <c r="N34" s="606" t="s">
        <v>882</v>
      </c>
      <c r="O34" s="584"/>
      <c r="P34" s="606" t="s">
        <v>882</v>
      </c>
      <c r="Q34" s="584"/>
      <c r="R34" s="606" t="s">
        <v>882</v>
      </c>
      <c r="S34" s="584"/>
      <c r="T34" s="606" t="s">
        <v>882</v>
      </c>
      <c r="U34" s="584">
        <v>2930</v>
      </c>
      <c r="V34" s="606" t="s">
        <v>882</v>
      </c>
      <c r="W34" s="584"/>
      <c r="X34" s="404"/>
      <c r="Y34" s="584"/>
      <c r="Z34" s="584"/>
      <c r="AA34" s="584"/>
      <c r="AB34" s="585"/>
      <c r="AC34" s="586"/>
      <c r="AD34" s="587"/>
    </row>
    <row r="35" spans="1:30" x14ac:dyDescent="0.45">
      <c r="A35" s="582"/>
      <c r="B35" s="583">
        <v>45990</v>
      </c>
      <c r="C35" s="582"/>
      <c r="D35" s="606" t="s">
        <v>882</v>
      </c>
      <c r="E35" s="584"/>
      <c r="F35" s="606" t="s">
        <v>882</v>
      </c>
      <c r="G35" s="584"/>
      <c r="H35" s="606" t="s">
        <v>882</v>
      </c>
      <c r="I35" s="584"/>
      <c r="J35" s="606" t="s">
        <v>882</v>
      </c>
      <c r="K35" s="584"/>
      <c r="L35" s="606" t="s">
        <v>882</v>
      </c>
      <c r="M35" s="584"/>
      <c r="N35" s="606" t="s">
        <v>882</v>
      </c>
      <c r="O35" s="584"/>
      <c r="P35" s="606" t="s">
        <v>882</v>
      </c>
      <c r="Q35" s="584"/>
      <c r="R35" s="606" t="s">
        <v>882</v>
      </c>
      <c r="S35" s="584"/>
      <c r="T35" s="606" t="s">
        <v>882</v>
      </c>
      <c r="U35" s="584">
        <v>3370</v>
      </c>
      <c r="V35" s="606" t="s">
        <v>882</v>
      </c>
      <c r="W35" s="584"/>
      <c r="X35" s="404"/>
      <c r="Y35" s="584"/>
      <c r="Z35" s="584"/>
      <c r="AA35" s="584"/>
      <c r="AB35" s="585"/>
      <c r="AC35" s="586"/>
      <c r="AD35" s="587"/>
    </row>
    <row r="36" spans="1:30" x14ac:dyDescent="0.45">
      <c r="A36" s="582"/>
      <c r="B36" s="583">
        <v>45990</v>
      </c>
      <c r="C36" s="582"/>
      <c r="D36" s="606" t="s">
        <v>882</v>
      </c>
      <c r="E36" s="584"/>
      <c r="F36" s="606" t="s">
        <v>882</v>
      </c>
      <c r="G36" s="584"/>
      <c r="H36" s="606" t="s">
        <v>882</v>
      </c>
      <c r="I36" s="584"/>
      <c r="J36" s="606" t="s">
        <v>882</v>
      </c>
      <c r="K36" s="584"/>
      <c r="L36" s="606" t="s">
        <v>882</v>
      </c>
      <c r="M36" s="584"/>
      <c r="N36" s="606" t="s">
        <v>882</v>
      </c>
      <c r="O36" s="584"/>
      <c r="P36" s="606" t="s">
        <v>882</v>
      </c>
      <c r="Q36" s="584"/>
      <c r="R36" s="606" t="s">
        <v>882</v>
      </c>
      <c r="S36" s="584"/>
      <c r="T36" s="606" t="s">
        <v>882</v>
      </c>
      <c r="U36" s="584">
        <v>3470</v>
      </c>
      <c r="V36" s="606" t="s">
        <v>882</v>
      </c>
      <c r="W36" s="584"/>
      <c r="X36" s="404">
        <f>SUM(I17:I21,O17:O23,Q17:Q21,U17:U36,W17:W28)</f>
        <v>136775</v>
      </c>
      <c r="Y36" s="584"/>
      <c r="Z36" s="584"/>
      <c r="AA36" s="584"/>
      <c r="AB36" s="585">
        <f>(SUM(U32,U34,U36)/1000)*640*AC36</f>
        <v>68638591.999999985</v>
      </c>
      <c r="AC36" s="586">
        <v>11890</v>
      </c>
      <c r="AD36" s="587">
        <f>(SUM(U32,U34,U36)/1000)*640</f>
        <v>5772.7999999999993</v>
      </c>
    </row>
    <row r="37" spans="1:30" x14ac:dyDescent="0.45">
      <c r="A37" s="582">
        <v>4</v>
      </c>
      <c r="B37" s="583"/>
      <c r="C37" s="582">
        <v>788</v>
      </c>
      <c r="D37" s="606" t="s">
        <v>882</v>
      </c>
      <c r="E37" s="584"/>
      <c r="F37" s="606" t="s">
        <v>882</v>
      </c>
      <c r="G37" s="584"/>
      <c r="H37" s="606" t="s">
        <v>882</v>
      </c>
      <c r="I37" s="584"/>
      <c r="J37" s="606" t="s">
        <v>882</v>
      </c>
      <c r="K37" s="584"/>
      <c r="L37" s="606" t="s">
        <v>882</v>
      </c>
      <c r="M37" s="584"/>
      <c r="N37" s="606" t="s">
        <v>882</v>
      </c>
      <c r="O37" s="584">
        <v>5215</v>
      </c>
      <c r="P37" s="606" t="s">
        <v>882</v>
      </c>
      <c r="Q37" s="584">
        <v>2450</v>
      </c>
      <c r="R37" s="606" t="s">
        <v>882</v>
      </c>
      <c r="S37" s="584"/>
      <c r="T37" s="606" t="s">
        <v>882</v>
      </c>
      <c r="U37" s="584">
        <v>1555</v>
      </c>
      <c r="V37" s="606" t="s">
        <v>882</v>
      </c>
      <c r="W37" s="584">
        <v>2590</v>
      </c>
      <c r="X37" s="404"/>
      <c r="Y37" s="584"/>
      <c r="Z37" s="584"/>
      <c r="AA37" s="584"/>
      <c r="AB37" s="585"/>
      <c r="AC37" s="586"/>
      <c r="AD37" s="587"/>
    </row>
    <row r="38" spans="1:30" x14ac:dyDescent="0.45">
      <c r="A38" s="582" t="s">
        <v>147</v>
      </c>
      <c r="B38" s="583"/>
      <c r="C38" s="582"/>
      <c r="D38" s="606" t="s">
        <v>882</v>
      </c>
      <c r="E38" s="584"/>
      <c r="F38" s="606" t="s">
        <v>882</v>
      </c>
      <c r="G38" s="584"/>
      <c r="H38" s="606" t="s">
        <v>882</v>
      </c>
      <c r="I38" s="584"/>
      <c r="J38" s="606" t="s">
        <v>882</v>
      </c>
      <c r="K38" s="584"/>
      <c r="L38" s="606" t="s">
        <v>882</v>
      </c>
      <c r="M38" s="584"/>
      <c r="N38" s="606" t="s">
        <v>882</v>
      </c>
      <c r="O38">
        <v>5135</v>
      </c>
      <c r="P38" s="606" t="s">
        <v>882</v>
      </c>
      <c r="Q38">
        <v>2410</v>
      </c>
      <c r="R38" s="606" t="s">
        <v>882</v>
      </c>
      <c r="T38" s="606" t="s">
        <v>882</v>
      </c>
      <c r="U38">
        <v>2485</v>
      </c>
      <c r="V38" s="606" t="s">
        <v>882</v>
      </c>
      <c r="W38" s="584"/>
      <c r="X38" s="404"/>
      <c r="Y38" s="584"/>
      <c r="Z38" s="584"/>
      <c r="AA38" s="584"/>
      <c r="AB38" s="585"/>
      <c r="AC38" s="586"/>
      <c r="AD38" s="587"/>
    </row>
    <row r="39" spans="1:30" x14ac:dyDescent="0.45">
      <c r="A39" s="582" t="s">
        <v>146</v>
      </c>
      <c r="B39" s="583"/>
      <c r="C39" s="582"/>
      <c r="D39" s="606" t="s">
        <v>882</v>
      </c>
      <c r="E39" s="584"/>
      <c r="F39" s="606" t="s">
        <v>882</v>
      </c>
      <c r="G39" s="584"/>
      <c r="H39" s="606" t="s">
        <v>882</v>
      </c>
      <c r="I39" s="584"/>
      <c r="J39" s="606" t="s">
        <v>882</v>
      </c>
      <c r="K39" s="584"/>
      <c r="L39" s="606" t="s">
        <v>882</v>
      </c>
      <c r="M39" s="584"/>
      <c r="N39" s="606" t="s">
        <v>882</v>
      </c>
      <c r="O39" s="584">
        <v>2555</v>
      </c>
      <c r="P39" s="606" t="s">
        <v>882</v>
      </c>
      <c r="Q39" s="584"/>
      <c r="R39" s="606" t="s">
        <v>882</v>
      </c>
      <c r="S39" s="584"/>
      <c r="T39" s="606" t="s">
        <v>882</v>
      </c>
      <c r="U39" s="584">
        <v>2490</v>
      </c>
      <c r="V39" s="606" t="s">
        <v>882</v>
      </c>
      <c r="W39" s="584"/>
      <c r="X39" s="404"/>
      <c r="Y39" s="584"/>
      <c r="Z39" s="584"/>
      <c r="AA39" s="584"/>
      <c r="AB39" s="585"/>
      <c r="AC39" s="586"/>
      <c r="AD39" s="587"/>
    </row>
    <row r="40" spans="1:30" x14ac:dyDescent="0.45">
      <c r="A40" s="582"/>
      <c r="B40" s="583"/>
      <c r="C40" s="582"/>
      <c r="D40" s="606" t="s">
        <v>882</v>
      </c>
      <c r="E40" s="584"/>
      <c r="F40" s="606" t="s">
        <v>882</v>
      </c>
      <c r="G40" s="584"/>
      <c r="H40" s="606" t="s">
        <v>882</v>
      </c>
      <c r="I40" s="584"/>
      <c r="J40" s="606" t="s">
        <v>882</v>
      </c>
      <c r="K40" s="584"/>
      <c r="L40" s="606" t="s">
        <v>882</v>
      </c>
      <c r="M40" s="584"/>
      <c r="N40" s="606" t="s">
        <v>882</v>
      </c>
      <c r="O40" s="584">
        <v>2575</v>
      </c>
      <c r="P40" s="606" t="s">
        <v>882</v>
      </c>
      <c r="Q40" s="584"/>
      <c r="R40" s="606" t="s">
        <v>882</v>
      </c>
      <c r="S40" s="584"/>
      <c r="T40" s="606" t="s">
        <v>882</v>
      </c>
      <c r="U40" s="584">
        <v>2550</v>
      </c>
      <c r="V40" s="606" t="s">
        <v>882</v>
      </c>
      <c r="W40" s="584"/>
      <c r="X40" s="404"/>
      <c r="Y40" s="584"/>
      <c r="Z40" s="584"/>
      <c r="AA40" s="584"/>
      <c r="AB40" s="585"/>
      <c r="AC40" s="586"/>
      <c r="AD40" s="587"/>
    </row>
    <row r="41" spans="1:30" x14ac:dyDescent="0.45">
      <c r="A41" s="582"/>
      <c r="B41" s="583"/>
      <c r="C41" s="582"/>
      <c r="D41" s="606" t="s">
        <v>882</v>
      </c>
      <c r="E41" s="584"/>
      <c r="F41" s="606" t="s">
        <v>882</v>
      </c>
      <c r="G41" s="584"/>
      <c r="H41" s="606" t="s">
        <v>882</v>
      </c>
      <c r="I41" s="584"/>
      <c r="J41" s="606" t="s">
        <v>882</v>
      </c>
      <c r="K41" s="584"/>
      <c r="L41" s="606" t="s">
        <v>882</v>
      </c>
      <c r="M41" s="584"/>
      <c r="N41" s="606" t="s">
        <v>882</v>
      </c>
      <c r="O41" s="584">
        <v>2560</v>
      </c>
      <c r="P41" s="606" t="s">
        <v>882</v>
      </c>
      <c r="Q41" s="584"/>
      <c r="R41" s="606" t="s">
        <v>882</v>
      </c>
      <c r="S41" s="584"/>
      <c r="T41" s="606" t="s">
        <v>882</v>
      </c>
      <c r="U41" s="584">
        <v>2580</v>
      </c>
      <c r="V41" s="606" t="s">
        <v>882</v>
      </c>
      <c r="W41" s="584"/>
      <c r="X41" s="404"/>
      <c r="Y41" s="584"/>
      <c r="Z41" s="584"/>
      <c r="AA41" s="584"/>
      <c r="AB41" s="585"/>
      <c r="AC41" s="586"/>
      <c r="AD41" s="587"/>
    </row>
    <row r="42" spans="1:30" x14ac:dyDescent="0.45">
      <c r="A42" s="582"/>
      <c r="B42" s="583"/>
      <c r="C42" s="582"/>
      <c r="D42" s="606" t="s">
        <v>882</v>
      </c>
      <c r="E42" s="584"/>
      <c r="F42" s="606" t="s">
        <v>882</v>
      </c>
      <c r="G42" s="584"/>
      <c r="H42" s="606" t="s">
        <v>882</v>
      </c>
      <c r="I42" s="584"/>
      <c r="J42" s="606" t="s">
        <v>882</v>
      </c>
      <c r="K42" s="584"/>
      <c r="L42" s="606" t="s">
        <v>882</v>
      </c>
      <c r="M42" s="584"/>
      <c r="N42" s="606" t="s">
        <v>882</v>
      </c>
      <c r="O42" s="584"/>
      <c r="P42" s="606" t="s">
        <v>882</v>
      </c>
      <c r="Q42" s="584"/>
      <c r="R42" s="606" t="s">
        <v>882</v>
      </c>
      <c r="S42" s="584"/>
      <c r="T42" s="606" t="s">
        <v>882</v>
      </c>
      <c r="U42" s="584">
        <v>2580</v>
      </c>
      <c r="V42" s="606" t="s">
        <v>882</v>
      </c>
      <c r="W42" s="584"/>
      <c r="X42" s="404"/>
      <c r="Y42" s="584"/>
      <c r="Z42" s="584"/>
      <c r="AA42" s="584"/>
      <c r="AB42" s="585"/>
      <c r="AC42" s="586"/>
      <c r="AD42" s="587"/>
    </row>
    <row r="43" spans="1:30" x14ac:dyDescent="0.45">
      <c r="A43" s="582"/>
      <c r="B43" s="583"/>
      <c r="C43" s="582">
        <v>928</v>
      </c>
      <c r="D43" s="606" t="s">
        <v>882</v>
      </c>
      <c r="E43" s="584"/>
      <c r="F43" s="606" t="s">
        <v>882</v>
      </c>
      <c r="G43" s="584"/>
      <c r="H43" s="606" t="s">
        <v>882</v>
      </c>
      <c r="I43" s="584">
        <v>3125</v>
      </c>
      <c r="J43" s="606" t="s">
        <v>882</v>
      </c>
      <c r="K43" s="584"/>
      <c r="L43" s="606" t="s">
        <v>882</v>
      </c>
      <c r="M43" s="584"/>
      <c r="N43" s="606" t="s">
        <v>882</v>
      </c>
      <c r="O43" s="584">
        <v>2600</v>
      </c>
      <c r="P43" s="606" t="s">
        <v>882</v>
      </c>
      <c r="Q43" s="584"/>
      <c r="R43" s="606" t="s">
        <v>882</v>
      </c>
      <c r="S43" s="584"/>
      <c r="T43" s="606" t="s">
        <v>882</v>
      </c>
      <c r="U43" s="584">
        <v>2580</v>
      </c>
      <c r="V43" s="606" t="s">
        <v>882</v>
      </c>
      <c r="W43" s="584">
        <v>2585</v>
      </c>
      <c r="X43" s="404"/>
      <c r="Y43" s="584"/>
      <c r="Z43" s="584"/>
      <c r="AA43" s="584"/>
      <c r="AB43" s="585"/>
      <c r="AC43" s="586"/>
      <c r="AD43" s="587"/>
    </row>
    <row r="44" spans="1:30" x14ac:dyDescent="0.45">
      <c r="A44" s="582"/>
      <c r="B44" s="583"/>
      <c r="C44" s="582"/>
      <c r="D44" s="606" t="s">
        <v>882</v>
      </c>
      <c r="E44" s="584"/>
      <c r="F44" s="606" t="s">
        <v>882</v>
      </c>
      <c r="G44" s="584"/>
      <c r="H44" s="606" t="s">
        <v>882</v>
      </c>
      <c r="I44" s="584"/>
      <c r="J44" s="606" t="s">
        <v>882</v>
      </c>
      <c r="K44" s="584"/>
      <c r="L44" s="606" t="s">
        <v>882</v>
      </c>
      <c r="M44" s="584"/>
      <c r="N44" s="606" t="s">
        <v>882</v>
      </c>
      <c r="O44" s="584">
        <v>5200</v>
      </c>
      <c r="P44" s="606" t="s">
        <v>882</v>
      </c>
      <c r="Q44" s="584"/>
      <c r="R44" s="606" t="s">
        <v>882</v>
      </c>
      <c r="S44" s="584"/>
      <c r="T44" s="606" t="s">
        <v>882</v>
      </c>
      <c r="U44" s="584">
        <v>2585</v>
      </c>
      <c r="V44" s="606" t="s">
        <v>882</v>
      </c>
      <c r="W44" s="584">
        <v>2580</v>
      </c>
      <c r="X44" s="404"/>
      <c r="Y44" s="584"/>
      <c r="Z44" s="584"/>
      <c r="AA44" s="584"/>
      <c r="AB44" s="585"/>
      <c r="AC44" s="586"/>
      <c r="AD44" s="587"/>
    </row>
    <row r="45" spans="1:30" x14ac:dyDescent="0.45">
      <c r="A45" s="582"/>
      <c r="B45" s="583"/>
      <c r="C45" s="582"/>
      <c r="D45" s="606" t="s">
        <v>882</v>
      </c>
      <c r="E45" s="584"/>
      <c r="F45" s="606" t="s">
        <v>882</v>
      </c>
      <c r="G45" s="584"/>
      <c r="H45" s="606" t="s">
        <v>882</v>
      </c>
      <c r="I45" s="584"/>
      <c r="J45" s="606" t="s">
        <v>882</v>
      </c>
      <c r="K45" s="584"/>
      <c r="L45" s="606" t="s">
        <v>882</v>
      </c>
      <c r="M45" s="584"/>
      <c r="N45" s="606" t="s">
        <v>882</v>
      </c>
      <c r="O45" s="584"/>
      <c r="P45" s="606" t="s">
        <v>882</v>
      </c>
      <c r="Q45" s="584"/>
      <c r="R45" s="606" t="s">
        <v>882</v>
      </c>
      <c r="S45" s="584"/>
      <c r="T45" s="606" t="s">
        <v>882</v>
      </c>
      <c r="U45" s="584">
        <v>2585</v>
      </c>
      <c r="V45" s="606" t="s">
        <v>882</v>
      </c>
      <c r="W45" s="584">
        <v>2165</v>
      </c>
      <c r="X45" s="404"/>
      <c r="Y45" s="584"/>
      <c r="Z45" s="584"/>
      <c r="AA45" s="584"/>
      <c r="AB45" s="585"/>
      <c r="AC45" s="586"/>
      <c r="AD45" s="587"/>
    </row>
    <row r="46" spans="1:30" x14ac:dyDescent="0.45">
      <c r="A46" s="582"/>
      <c r="B46" s="583"/>
      <c r="C46" s="582"/>
      <c r="D46" s="606" t="s">
        <v>882</v>
      </c>
      <c r="E46" s="584"/>
      <c r="F46" s="606" t="s">
        <v>882</v>
      </c>
      <c r="G46" s="584"/>
      <c r="H46" s="606" t="s">
        <v>882</v>
      </c>
      <c r="I46" s="584"/>
      <c r="J46" s="606" t="s">
        <v>882</v>
      </c>
      <c r="K46" s="584"/>
      <c r="L46" s="606" t="s">
        <v>882</v>
      </c>
      <c r="M46" s="584"/>
      <c r="N46" s="606" t="s">
        <v>882</v>
      </c>
      <c r="O46" s="584"/>
      <c r="P46" s="606" t="s">
        <v>882</v>
      </c>
      <c r="Q46" s="584"/>
      <c r="R46" s="606" t="s">
        <v>882</v>
      </c>
      <c r="S46" s="584"/>
      <c r="T46" s="606" t="s">
        <v>882</v>
      </c>
      <c r="U46" s="584">
        <v>2585</v>
      </c>
      <c r="V46" s="606" t="s">
        <v>882</v>
      </c>
      <c r="W46" s="584">
        <v>2580</v>
      </c>
      <c r="X46" s="404"/>
      <c r="Y46" s="584"/>
      <c r="Z46" s="584"/>
      <c r="AA46" s="584"/>
      <c r="AB46" s="585"/>
      <c r="AC46" s="586"/>
      <c r="AD46" s="587"/>
    </row>
    <row r="47" spans="1:30" x14ac:dyDescent="0.45">
      <c r="A47" s="582"/>
      <c r="B47" s="583"/>
      <c r="C47" s="582"/>
      <c r="D47" s="606" t="s">
        <v>882</v>
      </c>
      <c r="E47" s="584"/>
      <c r="F47" s="606" t="s">
        <v>882</v>
      </c>
      <c r="G47" s="584"/>
      <c r="H47" s="606" t="s">
        <v>882</v>
      </c>
      <c r="I47" s="584"/>
      <c r="J47" s="606" t="s">
        <v>882</v>
      </c>
      <c r="K47" s="584"/>
      <c r="L47" s="606" t="s">
        <v>882</v>
      </c>
      <c r="M47" s="584"/>
      <c r="N47" s="606" t="s">
        <v>882</v>
      </c>
      <c r="O47" s="584"/>
      <c r="P47" s="606" t="s">
        <v>882</v>
      </c>
      <c r="Q47" s="584"/>
      <c r="R47" s="606" t="s">
        <v>882</v>
      </c>
      <c r="S47" s="584"/>
      <c r="T47" s="606" t="s">
        <v>882</v>
      </c>
      <c r="U47" s="584">
        <v>2585</v>
      </c>
      <c r="V47" s="606" t="s">
        <v>882</v>
      </c>
      <c r="W47" s="584">
        <v>2500</v>
      </c>
      <c r="X47" s="404"/>
      <c r="Y47" s="584"/>
      <c r="Z47" s="584"/>
      <c r="AA47" s="584"/>
      <c r="AB47" s="585"/>
      <c r="AC47" s="586"/>
      <c r="AD47" s="587"/>
    </row>
    <row r="48" spans="1:30" x14ac:dyDescent="0.45">
      <c r="A48" s="582"/>
      <c r="B48" s="583"/>
      <c r="C48" s="582"/>
      <c r="D48" s="606" t="s">
        <v>882</v>
      </c>
      <c r="E48" s="584"/>
      <c r="F48" s="606" t="s">
        <v>882</v>
      </c>
      <c r="G48" s="584"/>
      <c r="H48" s="606" t="s">
        <v>882</v>
      </c>
      <c r="I48" s="584"/>
      <c r="J48" s="606" t="s">
        <v>882</v>
      </c>
      <c r="K48" s="584"/>
      <c r="L48" s="606" t="s">
        <v>882</v>
      </c>
      <c r="M48" s="584"/>
      <c r="N48" s="606" t="s">
        <v>882</v>
      </c>
      <c r="O48" s="584"/>
      <c r="P48" s="606" t="s">
        <v>882</v>
      </c>
      <c r="Q48" s="584"/>
      <c r="R48" s="606" t="s">
        <v>882</v>
      </c>
      <c r="S48" s="584"/>
      <c r="T48" s="606" t="s">
        <v>882</v>
      </c>
      <c r="U48" s="584">
        <v>2590</v>
      </c>
      <c r="V48" s="606" t="s">
        <v>882</v>
      </c>
      <c r="W48" s="584">
        <v>2600</v>
      </c>
      <c r="X48" s="404"/>
      <c r="Y48" s="584"/>
      <c r="Z48" s="584"/>
      <c r="AA48" s="584"/>
      <c r="AB48" s="585"/>
      <c r="AC48" s="586"/>
      <c r="AD48" s="587"/>
    </row>
    <row r="49" spans="1:30" x14ac:dyDescent="0.45">
      <c r="A49" s="582"/>
      <c r="B49" s="583"/>
      <c r="C49" s="582"/>
      <c r="D49" s="606" t="s">
        <v>882</v>
      </c>
      <c r="E49" s="584"/>
      <c r="F49" s="606" t="s">
        <v>882</v>
      </c>
      <c r="G49" s="584"/>
      <c r="H49" s="606" t="s">
        <v>882</v>
      </c>
      <c r="I49" s="584"/>
      <c r="J49" s="606" t="s">
        <v>882</v>
      </c>
      <c r="K49" s="584"/>
      <c r="L49" s="606" t="s">
        <v>882</v>
      </c>
      <c r="M49" s="584"/>
      <c r="N49" s="606" t="s">
        <v>882</v>
      </c>
      <c r="O49" s="584"/>
      <c r="P49" s="606" t="s">
        <v>882</v>
      </c>
      <c r="Q49" s="584"/>
      <c r="R49" s="606" t="s">
        <v>882</v>
      </c>
      <c r="S49" s="584"/>
      <c r="T49" s="606" t="s">
        <v>882</v>
      </c>
      <c r="U49" s="584">
        <v>2590</v>
      </c>
      <c r="V49" s="606" t="s">
        <v>882</v>
      </c>
      <c r="W49" s="584">
        <v>2590</v>
      </c>
      <c r="X49" s="404"/>
      <c r="Y49" s="584"/>
      <c r="Z49" s="584"/>
      <c r="AA49" s="584"/>
      <c r="AB49" s="585"/>
      <c r="AC49" s="586"/>
      <c r="AD49" s="587"/>
    </row>
    <row r="50" spans="1:30" x14ac:dyDescent="0.45">
      <c r="A50" s="582"/>
      <c r="B50" s="583"/>
      <c r="C50" s="582"/>
      <c r="D50" s="606" t="s">
        <v>882</v>
      </c>
      <c r="E50" s="584"/>
      <c r="F50" s="606" t="s">
        <v>882</v>
      </c>
      <c r="G50" s="584"/>
      <c r="H50" s="606" t="s">
        <v>882</v>
      </c>
      <c r="I50" s="584"/>
      <c r="J50" s="606" t="s">
        <v>882</v>
      </c>
      <c r="K50" s="584"/>
      <c r="L50" s="606" t="s">
        <v>882</v>
      </c>
      <c r="M50" s="584"/>
      <c r="N50" s="606" t="s">
        <v>882</v>
      </c>
      <c r="O50" s="584"/>
      <c r="P50" s="606" t="s">
        <v>882</v>
      </c>
      <c r="Q50" s="584"/>
      <c r="R50" s="606" t="s">
        <v>882</v>
      </c>
      <c r="S50" s="584"/>
      <c r="T50" s="606" t="s">
        <v>882</v>
      </c>
      <c r="U50" s="584">
        <v>2590</v>
      </c>
      <c r="V50" s="606" t="s">
        <v>882</v>
      </c>
      <c r="W50" s="584"/>
      <c r="X50" s="404"/>
      <c r="Y50" s="584"/>
      <c r="Z50" s="584"/>
      <c r="AA50" s="584"/>
      <c r="AB50" s="585"/>
      <c r="AC50" s="586"/>
      <c r="AD50" s="587"/>
    </row>
    <row r="51" spans="1:30" x14ac:dyDescent="0.45">
      <c r="A51" s="582"/>
      <c r="B51" s="583"/>
      <c r="C51" s="582">
        <v>605</v>
      </c>
      <c r="D51" s="606" t="s">
        <v>882</v>
      </c>
      <c r="E51" s="584"/>
      <c r="F51" s="606" t="s">
        <v>882</v>
      </c>
      <c r="G51" s="584"/>
      <c r="H51" s="606" t="s">
        <v>882</v>
      </c>
      <c r="I51" s="584">
        <v>3130</v>
      </c>
      <c r="J51" s="606" t="s">
        <v>882</v>
      </c>
      <c r="K51" s="584"/>
      <c r="L51" s="606" t="s">
        <v>882</v>
      </c>
      <c r="M51" s="584"/>
      <c r="N51" s="606" t="s">
        <v>882</v>
      </c>
      <c r="O51" s="584"/>
      <c r="P51" s="606" t="s">
        <v>882</v>
      </c>
      <c r="Q51" s="584">
        <v>2540</v>
      </c>
      <c r="R51" s="606" t="s">
        <v>882</v>
      </c>
      <c r="S51" s="584"/>
      <c r="T51" s="606" t="s">
        <v>882</v>
      </c>
      <c r="U51" s="584">
        <v>2600</v>
      </c>
      <c r="V51" s="606" t="s">
        <v>882</v>
      </c>
      <c r="W51" s="584">
        <v>2225</v>
      </c>
      <c r="X51" s="404"/>
      <c r="Y51" s="584"/>
      <c r="Z51" s="584"/>
      <c r="AA51" s="584"/>
      <c r="AB51" s="585"/>
      <c r="AC51" s="586"/>
      <c r="AD51" s="587"/>
    </row>
    <row r="52" spans="1:30" x14ac:dyDescent="0.45">
      <c r="A52" s="582"/>
      <c r="B52" s="583"/>
      <c r="C52" s="582"/>
      <c r="D52" s="606" t="s">
        <v>882</v>
      </c>
      <c r="E52" s="584"/>
      <c r="F52" s="606" t="s">
        <v>882</v>
      </c>
      <c r="G52" s="584"/>
      <c r="H52" s="606" t="s">
        <v>882</v>
      </c>
      <c r="I52" s="584">
        <v>3110</v>
      </c>
      <c r="J52" s="606" t="s">
        <v>882</v>
      </c>
      <c r="K52" s="584"/>
      <c r="L52" s="606" t="s">
        <v>882</v>
      </c>
      <c r="M52" s="584"/>
      <c r="N52" s="606" t="s">
        <v>882</v>
      </c>
      <c r="O52" s="584"/>
      <c r="P52" s="606" t="s">
        <v>882</v>
      </c>
      <c r="Q52" s="584">
        <v>2500</v>
      </c>
      <c r="R52" s="606" t="s">
        <v>882</v>
      </c>
      <c r="S52" s="584"/>
      <c r="T52" s="606" t="s">
        <v>882</v>
      </c>
      <c r="U52" s="584">
        <v>2695</v>
      </c>
      <c r="V52" s="606" t="s">
        <v>882</v>
      </c>
      <c r="W52" s="584">
        <v>2775</v>
      </c>
      <c r="X52" s="404"/>
      <c r="Y52" s="584"/>
      <c r="Z52" s="584"/>
      <c r="AA52" s="584"/>
      <c r="AB52" s="585"/>
      <c r="AC52" s="586"/>
      <c r="AD52" s="587"/>
    </row>
    <row r="53" spans="1:30" x14ac:dyDescent="0.45">
      <c r="A53" s="582"/>
      <c r="B53" s="583"/>
      <c r="C53" s="582"/>
      <c r="D53" s="606" t="s">
        <v>882</v>
      </c>
      <c r="E53" s="584"/>
      <c r="F53" s="606" t="s">
        <v>882</v>
      </c>
      <c r="G53" s="584"/>
      <c r="H53" s="606" t="s">
        <v>882</v>
      </c>
      <c r="I53" s="584">
        <v>3135</v>
      </c>
      <c r="J53" s="606" t="s">
        <v>882</v>
      </c>
      <c r="K53" s="584"/>
      <c r="L53" s="606" t="s">
        <v>882</v>
      </c>
      <c r="M53" s="584"/>
      <c r="N53" s="606" t="s">
        <v>882</v>
      </c>
      <c r="O53" s="584"/>
      <c r="P53" s="606" t="s">
        <v>882</v>
      </c>
      <c r="Q53" s="584">
        <v>2515</v>
      </c>
      <c r="R53" s="606" t="s">
        <v>882</v>
      </c>
      <c r="S53" s="584"/>
      <c r="T53" s="606" t="s">
        <v>882</v>
      </c>
      <c r="U53" s="584">
        <v>3370</v>
      </c>
      <c r="V53" s="606" t="s">
        <v>882</v>
      </c>
      <c r="W53" s="584">
        <v>2570</v>
      </c>
      <c r="X53" s="404"/>
      <c r="Y53" s="584"/>
      <c r="Z53" s="584"/>
      <c r="AA53" s="584"/>
      <c r="AB53" s="585"/>
      <c r="AC53" s="586"/>
      <c r="AD53" s="587"/>
    </row>
    <row r="54" spans="1:30" x14ac:dyDescent="0.45">
      <c r="A54" s="582"/>
      <c r="B54" s="583"/>
      <c r="C54" s="582"/>
      <c r="D54" s="606" t="s">
        <v>882</v>
      </c>
      <c r="E54" s="584"/>
      <c r="F54" s="606" t="s">
        <v>882</v>
      </c>
      <c r="G54" s="584"/>
      <c r="H54" s="606" t="s">
        <v>882</v>
      </c>
      <c r="I54" s="584">
        <v>3135</v>
      </c>
      <c r="J54" s="606" t="s">
        <v>882</v>
      </c>
      <c r="K54" s="584"/>
      <c r="L54" s="606" t="s">
        <v>882</v>
      </c>
      <c r="M54" s="584"/>
      <c r="N54" s="606" t="s">
        <v>882</v>
      </c>
      <c r="O54" s="584"/>
      <c r="P54" s="606" t="s">
        <v>882</v>
      </c>
      <c r="Q54" s="584"/>
      <c r="R54" s="606" t="s">
        <v>882</v>
      </c>
      <c r="S54" s="584"/>
      <c r="T54" s="606" t="s">
        <v>882</v>
      </c>
      <c r="U54" s="584"/>
      <c r="V54" s="606" t="s">
        <v>882</v>
      </c>
      <c r="W54" s="584">
        <v>2510</v>
      </c>
      <c r="X54" s="404"/>
      <c r="Y54" s="584"/>
      <c r="Z54" s="584"/>
      <c r="AA54" s="584"/>
      <c r="AB54" s="585"/>
      <c r="AC54" s="586"/>
      <c r="AD54" s="587"/>
    </row>
    <row r="55" spans="1:30" x14ac:dyDescent="0.45">
      <c r="A55" s="582"/>
      <c r="B55" s="583"/>
      <c r="C55" s="582"/>
      <c r="D55" s="606" t="s">
        <v>882</v>
      </c>
      <c r="E55" s="584"/>
      <c r="F55" s="606" t="s">
        <v>882</v>
      </c>
      <c r="G55" s="584"/>
      <c r="H55" s="606" t="s">
        <v>882</v>
      </c>
      <c r="I55" s="584"/>
      <c r="J55" s="606" t="s">
        <v>882</v>
      </c>
      <c r="K55" s="584"/>
      <c r="L55" s="606" t="s">
        <v>882</v>
      </c>
      <c r="M55" s="584"/>
      <c r="N55" s="606" t="s">
        <v>882</v>
      </c>
      <c r="O55" s="584"/>
      <c r="P55" s="606" t="s">
        <v>882</v>
      </c>
      <c r="Q55" s="584"/>
      <c r="R55" s="606" t="s">
        <v>882</v>
      </c>
      <c r="S55" s="584"/>
      <c r="T55" s="606" t="s">
        <v>882</v>
      </c>
      <c r="U55" s="584"/>
      <c r="V55" s="606" t="s">
        <v>882</v>
      </c>
      <c r="W55" s="584">
        <f>SUM(I43:I54,O37:O44,Q37:Q53,U37:U53,W37:W54)</f>
        <v>127755</v>
      </c>
      <c r="X55" s="404"/>
      <c r="Y55" s="584"/>
      <c r="Z55" s="584"/>
      <c r="AA55" s="584"/>
      <c r="AB55" s="585">
        <f>(W55/1000)*640*AC55</f>
        <v>0</v>
      </c>
      <c r="AC55" s="586"/>
      <c r="AD55" s="587"/>
    </row>
    <row r="56" spans="1:30" x14ac:dyDescent="0.45">
      <c r="A56" s="582">
        <v>5</v>
      </c>
      <c r="B56" s="583">
        <v>46054</v>
      </c>
      <c r="C56" s="582" t="s">
        <v>148</v>
      </c>
      <c r="D56" s="606" t="s">
        <v>882</v>
      </c>
      <c r="E56" s="584">
        <v>2105</v>
      </c>
      <c r="F56" s="606" t="s">
        <v>882</v>
      </c>
      <c r="G56" s="584"/>
      <c r="H56" s="606" t="s">
        <v>882</v>
      </c>
      <c r="I56" s="584">
        <v>1985</v>
      </c>
      <c r="J56" s="606" t="s">
        <v>882</v>
      </c>
      <c r="K56" s="584">
        <v>2535</v>
      </c>
      <c r="L56" s="606" t="s">
        <v>882</v>
      </c>
      <c r="M56" s="584"/>
      <c r="N56" s="606" t="s">
        <v>882</v>
      </c>
      <c r="O56" s="584"/>
      <c r="P56" s="606" t="s">
        <v>882</v>
      </c>
      <c r="Q56" s="584">
        <v>2465</v>
      </c>
      <c r="R56" s="606" t="s">
        <v>882</v>
      </c>
      <c r="S56" s="584">
        <v>2540</v>
      </c>
      <c r="T56" s="606" t="s">
        <v>882</v>
      </c>
      <c r="U56" s="584"/>
      <c r="V56" s="606" t="s">
        <v>882</v>
      </c>
      <c r="W56" s="584"/>
      <c r="X56" s="404"/>
      <c r="Y56" s="584"/>
      <c r="Z56" s="584"/>
      <c r="AA56" s="584"/>
      <c r="AB56" s="585"/>
      <c r="AC56" s="586"/>
      <c r="AD56" s="587"/>
    </row>
    <row r="57" spans="1:30" x14ac:dyDescent="0.45">
      <c r="A57" s="582" t="s">
        <v>145</v>
      </c>
      <c r="B57" s="583">
        <v>46054</v>
      </c>
      <c r="C57" s="582"/>
      <c r="D57" s="606" t="s">
        <v>882</v>
      </c>
      <c r="E57" s="584"/>
      <c r="F57" s="606" t="s">
        <v>882</v>
      </c>
      <c r="G57" s="584"/>
      <c r="H57" s="606" t="s">
        <v>882</v>
      </c>
      <c r="I57" s="584">
        <v>1975</v>
      </c>
      <c r="J57" s="606" t="s">
        <v>882</v>
      </c>
      <c r="K57" s="584">
        <v>2340</v>
      </c>
      <c r="L57" s="606" t="s">
        <v>882</v>
      </c>
      <c r="M57" s="584"/>
      <c r="N57" s="606" t="s">
        <v>882</v>
      </c>
      <c r="O57" s="584"/>
      <c r="P57" s="606" t="s">
        <v>882</v>
      </c>
      <c r="Q57" s="584">
        <v>2515</v>
      </c>
      <c r="R57" s="606" t="s">
        <v>882</v>
      </c>
      <c r="S57" s="584">
        <f>5040-S56</f>
        <v>2500</v>
      </c>
      <c r="T57" s="606" t="s">
        <v>882</v>
      </c>
      <c r="U57" s="584"/>
      <c r="V57" s="606" t="s">
        <v>882</v>
      </c>
      <c r="W57" s="584"/>
      <c r="X57" s="404"/>
      <c r="Y57" s="584"/>
      <c r="Z57" s="584"/>
      <c r="AA57" s="584"/>
      <c r="AB57" s="585"/>
      <c r="AC57" s="586"/>
      <c r="AD57" s="587"/>
    </row>
    <row r="58" spans="1:30" x14ac:dyDescent="0.45">
      <c r="A58" s="582"/>
      <c r="B58" s="583">
        <v>46054</v>
      </c>
      <c r="C58" s="582"/>
      <c r="D58" s="606" t="s">
        <v>882</v>
      </c>
      <c r="E58" s="584"/>
      <c r="F58" s="606" t="s">
        <v>882</v>
      </c>
      <c r="G58" s="584"/>
      <c r="H58" s="606" t="s">
        <v>882</v>
      </c>
      <c r="I58" s="584"/>
      <c r="J58" s="606" t="s">
        <v>882</v>
      </c>
      <c r="K58" s="584">
        <v>2375</v>
      </c>
      <c r="L58" s="606" t="s">
        <v>882</v>
      </c>
      <c r="M58" s="584"/>
      <c r="N58" s="606" t="s">
        <v>882</v>
      </c>
      <c r="O58" s="584"/>
      <c r="P58" s="606" t="s">
        <v>882</v>
      </c>
      <c r="Q58" s="584"/>
      <c r="R58" s="606" t="s">
        <v>882</v>
      </c>
      <c r="S58" s="584"/>
      <c r="T58" s="606" t="s">
        <v>882</v>
      </c>
      <c r="U58" s="584"/>
      <c r="V58" s="606" t="s">
        <v>882</v>
      </c>
      <c r="W58" s="584"/>
      <c r="X58" s="404"/>
      <c r="Y58" s="584"/>
      <c r="Z58" s="584"/>
      <c r="AA58" s="584"/>
      <c r="AB58" s="585"/>
      <c r="AC58" s="586"/>
      <c r="AD58" s="587"/>
    </row>
    <row r="59" spans="1:30" x14ac:dyDescent="0.45">
      <c r="A59" s="582"/>
      <c r="B59" s="583">
        <v>46054</v>
      </c>
      <c r="C59" s="582" t="s">
        <v>149</v>
      </c>
      <c r="D59" s="606" t="s">
        <v>882</v>
      </c>
      <c r="E59" s="584"/>
      <c r="F59" s="606" t="s">
        <v>882</v>
      </c>
      <c r="G59" s="584"/>
      <c r="H59" s="606" t="s">
        <v>882</v>
      </c>
      <c r="I59" s="584"/>
      <c r="J59" s="606" t="s">
        <v>882</v>
      </c>
      <c r="K59" s="584"/>
      <c r="L59" s="606" t="s">
        <v>882</v>
      </c>
      <c r="M59" s="584"/>
      <c r="N59" s="606" t="s">
        <v>882</v>
      </c>
      <c r="O59" s="584"/>
      <c r="P59" s="606" t="s">
        <v>882</v>
      </c>
      <c r="Q59" s="584"/>
      <c r="R59" s="606" t="s">
        <v>882</v>
      </c>
      <c r="S59" s="584"/>
      <c r="T59" s="606" t="s">
        <v>882</v>
      </c>
      <c r="U59" s="584">
        <v>2200</v>
      </c>
      <c r="V59" s="606" t="s">
        <v>882</v>
      </c>
      <c r="W59" s="584"/>
      <c r="X59" s="404"/>
      <c r="Y59" s="584"/>
      <c r="Z59" s="584"/>
      <c r="AA59" s="584"/>
      <c r="AB59" s="585"/>
      <c r="AC59" s="586"/>
      <c r="AD59" s="587"/>
    </row>
    <row r="60" spans="1:30" x14ac:dyDescent="0.45">
      <c r="A60" s="582"/>
      <c r="B60" s="583">
        <v>46054</v>
      </c>
      <c r="C60" s="582"/>
      <c r="D60" s="606" t="s">
        <v>882</v>
      </c>
      <c r="E60" s="584"/>
      <c r="F60" s="606" t="s">
        <v>882</v>
      </c>
      <c r="G60" s="584"/>
      <c r="H60" s="606" t="s">
        <v>882</v>
      </c>
      <c r="I60" s="584"/>
      <c r="J60" s="606" t="s">
        <v>882</v>
      </c>
      <c r="K60" s="584"/>
      <c r="L60" s="606" t="s">
        <v>882</v>
      </c>
      <c r="M60" s="584"/>
      <c r="N60" s="606" t="s">
        <v>882</v>
      </c>
      <c r="O60" s="584"/>
      <c r="P60" s="606" t="s">
        <v>882</v>
      </c>
      <c r="Q60" s="584"/>
      <c r="R60" s="606" t="s">
        <v>882</v>
      </c>
      <c r="S60" s="584"/>
      <c r="T60" s="606" t="s">
        <v>882</v>
      </c>
      <c r="U60" s="584">
        <v>2490</v>
      </c>
      <c r="V60" s="606" t="s">
        <v>882</v>
      </c>
      <c r="W60" s="584"/>
      <c r="X60" s="404"/>
      <c r="Y60" s="584"/>
      <c r="Z60" s="584"/>
      <c r="AA60" s="584"/>
      <c r="AB60" s="585"/>
      <c r="AC60" s="586"/>
      <c r="AD60" s="587"/>
    </row>
    <row r="61" spans="1:30" x14ac:dyDescent="0.45">
      <c r="A61" s="582"/>
      <c r="B61" s="583">
        <v>46054</v>
      </c>
      <c r="C61" s="582"/>
      <c r="D61" s="606" t="s">
        <v>882</v>
      </c>
      <c r="E61" s="584"/>
      <c r="F61" s="606" t="s">
        <v>882</v>
      </c>
      <c r="G61" s="584"/>
      <c r="H61" s="606" t="s">
        <v>882</v>
      </c>
      <c r="I61" s="584"/>
      <c r="J61" s="606" t="s">
        <v>882</v>
      </c>
      <c r="K61" s="584"/>
      <c r="L61" s="606" t="s">
        <v>882</v>
      </c>
      <c r="M61" s="584"/>
      <c r="N61" s="606" t="s">
        <v>882</v>
      </c>
      <c r="O61" s="584"/>
      <c r="P61" s="606" t="s">
        <v>882</v>
      </c>
      <c r="Q61" s="584"/>
      <c r="R61" s="606" t="s">
        <v>882</v>
      </c>
      <c r="S61" s="584"/>
      <c r="T61" s="606" t="s">
        <v>882</v>
      </c>
      <c r="U61" s="584">
        <v>2500</v>
      </c>
      <c r="V61" s="606" t="s">
        <v>882</v>
      </c>
      <c r="W61" s="584"/>
      <c r="X61" s="404"/>
      <c r="Y61" s="584"/>
      <c r="Z61" s="584"/>
      <c r="AA61" s="584"/>
      <c r="AB61" s="585"/>
      <c r="AC61" s="586"/>
      <c r="AD61" s="587"/>
    </row>
    <row r="62" spans="1:30" x14ac:dyDescent="0.45">
      <c r="A62" s="582"/>
      <c r="B62" s="583">
        <v>46054</v>
      </c>
      <c r="C62" s="582"/>
      <c r="D62" s="606" t="s">
        <v>882</v>
      </c>
      <c r="E62" s="584"/>
      <c r="F62" s="606" t="s">
        <v>882</v>
      </c>
      <c r="G62" s="584"/>
      <c r="H62" s="606" t="s">
        <v>882</v>
      </c>
      <c r="I62" s="584"/>
      <c r="J62" s="606" t="s">
        <v>882</v>
      </c>
      <c r="K62" s="584"/>
      <c r="L62" s="606" t="s">
        <v>882</v>
      </c>
      <c r="M62" s="584"/>
      <c r="N62" s="606" t="s">
        <v>882</v>
      </c>
      <c r="O62" s="584"/>
      <c r="P62" s="606" t="s">
        <v>882</v>
      </c>
      <c r="Q62" s="584"/>
      <c r="R62" s="606" t="s">
        <v>882</v>
      </c>
      <c r="S62" s="584"/>
      <c r="T62" s="606" t="s">
        <v>882</v>
      </c>
      <c r="U62" s="584">
        <v>2500</v>
      </c>
      <c r="V62" s="606" t="s">
        <v>882</v>
      </c>
      <c r="W62" s="584"/>
      <c r="X62" s="404"/>
      <c r="Y62" s="584"/>
      <c r="Z62" s="584"/>
      <c r="AA62" s="584"/>
      <c r="AB62" s="585"/>
      <c r="AC62" s="586"/>
      <c r="AD62" s="587"/>
    </row>
    <row r="63" spans="1:30" x14ac:dyDescent="0.45">
      <c r="A63" s="582"/>
      <c r="B63" s="583">
        <v>46054</v>
      </c>
      <c r="C63" s="582"/>
      <c r="D63" s="606" t="s">
        <v>882</v>
      </c>
      <c r="E63" s="584"/>
      <c r="F63" s="606" t="s">
        <v>882</v>
      </c>
      <c r="G63" s="584"/>
      <c r="H63" s="606" t="s">
        <v>882</v>
      </c>
      <c r="I63" s="584"/>
      <c r="J63" s="606" t="s">
        <v>882</v>
      </c>
      <c r="K63" s="584"/>
      <c r="L63" s="606" t="s">
        <v>882</v>
      </c>
      <c r="M63" s="584"/>
      <c r="N63" s="606" t="s">
        <v>882</v>
      </c>
      <c r="O63" s="584"/>
      <c r="P63" s="606" t="s">
        <v>882</v>
      </c>
      <c r="Q63" s="584"/>
      <c r="R63" s="606" t="s">
        <v>882</v>
      </c>
      <c r="S63" s="584"/>
      <c r="T63" s="606" t="s">
        <v>882</v>
      </c>
      <c r="U63" s="584">
        <v>2500</v>
      </c>
      <c r="V63" s="606" t="s">
        <v>882</v>
      </c>
      <c r="W63" s="584"/>
      <c r="X63" s="404"/>
      <c r="Y63" s="584"/>
      <c r="Z63" s="584"/>
      <c r="AA63" s="584"/>
      <c r="AB63" s="585"/>
      <c r="AC63" s="586"/>
      <c r="AD63" s="587"/>
    </row>
    <row r="64" spans="1:30" x14ac:dyDescent="0.45">
      <c r="A64" s="582"/>
      <c r="B64" s="583">
        <v>46054</v>
      </c>
      <c r="C64" s="582"/>
      <c r="D64" s="606" t="s">
        <v>882</v>
      </c>
      <c r="E64" s="584"/>
      <c r="F64" s="606" t="s">
        <v>882</v>
      </c>
      <c r="G64" s="584"/>
      <c r="H64" s="606" t="s">
        <v>882</v>
      </c>
      <c r="I64" s="584"/>
      <c r="J64" s="606" t="s">
        <v>882</v>
      </c>
      <c r="K64" s="584"/>
      <c r="L64" s="606" t="s">
        <v>882</v>
      </c>
      <c r="M64" s="584"/>
      <c r="N64" s="606" t="s">
        <v>882</v>
      </c>
      <c r="O64" s="584"/>
      <c r="P64" s="606" t="s">
        <v>882</v>
      </c>
      <c r="Q64" s="584"/>
      <c r="R64" s="606" t="s">
        <v>882</v>
      </c>
      <c r="S64" s="584"/>
      <c r="T64" s="606" t="s">
        <v>882</v>
      </c>
      <c r="U64" s="584">
        <v>2535</v>
      </c>
      <c r="V64" s="606" t="s">
        <v>882</v>
      </c>
      <c r="W64" s="584"/>
      <c r="X64" s="404"/>
      <c r="Y64" s="584"/>
      <c r="Z64" s="584"/>
      <c r="AA64" s="584"/>
      <c r="AB64" s="585"/>
      <c r="AC64" s="586"/>
      <c r="AD64" s="587"/>
    </row>
    <row r="65" spans="1:30" x14ac:dyDescent="0.45">
      <c r="A65" s="582"/>
      <c r="B65" s="583">
        <v>46054</v>
      </c>
      <c r="C65" s="582"/>
      <c r="D65" s="606" t="s">
        <v>882</v>
      </c>
      <c r="E65" s="584"/>
      <c r="F65" s="606" t="s">
        <v>882</v>
      </c>
      <c r="G65" s="584"/>
      <c r="H65" s="606" t="s">
        <v>882</v>
      </c>
      <c r="I65" s="584"/>
      <c r="J65" s="606" t="s">
        <v>882</v>
      </c>
      <c r="K65" s="584"/>
      <c r="L65" s="606" t="s">
        <v>882</v>
      </c>
      <c r="M65" s="584"/>
      <c r="N65" s="606" t="s">
        <v>882</v>
      </c>
      <c r="O65" s="584"/>
      <c r="P65" s="606" t="s">
        <v>882</v>
      </c>
      <c r="Q65" s="584"/>
      <c r="R65" s="606" t="s">
        <v>882</v>
      </c>
      <c r="S65" s="584"/>
      <c r="T65" s="606" t="s">
        <v>882</v>
      </c>
      <c r="U65" s="584">
        <v>2500</v>
      </c>
      <c r="V65" s="606" t="s">
        <v>882</v>
      </c>
      <c r="W65" s="584"/>
      <c r="X65" s="404"/>
      <c r="Y65" s="584"/>
      <c r="Z65" s="584"/>
      <c r="AA65" s="584"/>
      <c r="AB65" s="585"/>
      <c r="AC65" s="586"/>
      <c r="AD65" s="587"/>
    </row>
    <row r="66" spans="1:30" x14ac:dyDescent="0.45">
      <c r="A66" s="582"/>
      <c r="B66" s="583">
        <v>46054</v>
      </c>
      <c r="C66" s="582"/>
      <c r="D66" s="606" t="s">
        <v>882</v>
      </c>
      <c r="E66" s="584"/>
      <c r="F66" s="606" t="s">
        <v>882</v>
      </c>
      <c r="G66" s="584"/>
      <c r="H66" s="606" t="s">
        <v>882</v>
      </c>
      <c r="I66" s="584"/>
      <c r="J66" s="606" t="s">
        <v>882</v>
      </c>
      <c r="K66" s="584"/>
      <c r="L66" s="606" t="s">
        <v>882</v>
      </c>
      <c r="M66" s="584"/>
      <c r="N66" s="606" t="s">
        <v>882</v>
      </c>
      <c r="O66" s="584"/>
      <c r="P66" s="606" t="s">
        <v>882</v>
      </c>
      <c r="Q66" s="584"/>
      <c r="R66" s="606" t="s">
        <v>882</v>
      </c>
      <c r="S66" s="584"/>
      <c r="T66" s="606" t="s">
        <v>882</v>
      </c>
      <c r="U66" s="584">
        <v>2485</v>
      </c>
      <c r="V66" s="606" t="s">
        <v>882</v>
      </c>
      <c r="W66" s="584"/>
      <c r="X66" s="404"/>
      <c r="Y66" s="584"/>
      <c r="Z66" s="584"/>
      <c r="AA66" s="584"/>
      <c r="AB66" s="585"/>
      <c r="AC66" s="586"/>
      <c r="AD66" s="587"/>
    </row>
    <row r="67" spans="1:30" x14ac:dyDescent="0.45">
      <c r="A67" s="582"/>
      <c r="B67" s="583">
        <v>46054</v>
      </c>
      <c r="C67" s="582"/>
      <c r="D67" s="606" t="s">
        <v>882</v>
      </c>
      <c r="E67" s="584"/>
      <c r="F67" s="606" t="s">
        <v>882</v>
      </c>
      <c r="G67" s="584"/>
      <c r="H67" s="606" t="s">
        <v>882</v>
      </c>
      <c r="I67" s="584"/>
      <c r="J67" s="606" t="s">
        <v>882</v>
      </c>
      <c r="K67" s="584"/>
      <c r="L67" s="606" t="s">
        <v>882</v>
      </c>
      <c r="M67" s="584"/>
      <c r="N67" s="606" t="s">
        <v>882</v>
      </c>
      <c r="O67" s="584"/>
      <c r="P67" s="606" t="s">
        <v>882</v>
      </c>
      <c r="Q67" s="584"/>
      <c r="R67" s="606" t="s">
        <v>882</v>
      </c>
      <c r="S67" s="584"/>
      <c r="T67" s="606" t="s">
        <v>882</v>
      </c>
      <c r="U67" s="584">
        <v>2490</v>
      </c>
      <c r="V67" s="606" t="s">
        <v>882</v>
      </c>
      <c r="W67" s="584"/>
      <c r="X67" s="404"/>
      <c r="Y67" s="584"/>
      <c r="Z67" s="584"/>
      <c r="AA67" s="584"/>
      <c r="AB67" s="585"/>
      <c r="AC67" s="586"/>
      <c r="AD67" s="587"/>
    </row>
    <row r="68" spans="1:30" x14ac:dyDescent="0.45">
      <c r="A68" s="582"/>
      <c r="B68" s="583">
        <v>46054</v>
      </c>
      <c r="C68" s="582"/>
      <c r="D68" s="606" t="s">
        <v>882</v>
      </c>
      <c r="E68" s="584"/>
      <c r="F68" s="606" t="s">
        <v>882</v>
      </c>
      <c r="G68" s="584"/>
      <c r="H68" s="606" t="s">
        <v>882</v>
      </c>
      <c r="I68" s="584"/>
      <c r="J68" s="606" t="s">
        <v>882</v>
      </c>
      <c r="K68" s="584"/>
      <c r="L68" s="606" t="s">
        <v>882</v>
      </c>
      <c r="M68" s="584"/>
      <c r="N68" s="606" t="s">
        <v>882</v>
      </c>
      <c r="O68" s="584"/>
      <c r="P68" s="606" t="s">
        <v>882</v>
      </c>
      <c r="Q68" s="584"/>
      <c r="R68" s="606" t="s">
        <v>882</v>
      </c>
      <c r="S68" s="584"/>
      <c r="T68" s="606" t="s">
        <v>882</v>
      </c>
      <c r="U68" s="584">
        <v>2495</v>
      </c>
      <c r="V68" s="606" t="s">
        <v>882</v>
      </c>
      <c r="W68" s="584"/>
      <c r="X68" s="404"/>
      <c r="Y68" s="584"/>
      <c r="Z68" s="584"/>
      <c r="AA68" s="584"/>
      <c r="AB68" s="585"/>
      <c r="AC68" s="586"/>
      <c r="AD68" s="587"/>
    </row>
    <row r="69" spans="1:30" x14ac:dyDescent="0.45">
      <c r="A69" s="582"/>
      <c r="B69" s="583">
        <v>46054</v>
      </c>
      <c r="C69" s="582" t="s">
        <v>150</v>
      </c>
      <c r="D69" s="606" t="s">
        <v>882</v>
      </c>
      <c r="E69" s="584"/>
      <c r="F69" s="606" t="s">
        <v>882</v>
      </c>
      <c r="G69" s="584"/>
      <c r="H69" s="606" t="s">
        <v>882</v>
      </c>
      <c r="I69" s="584"/>
      <c r="J69" s="606" t="s">
        <v>882</v>
      </c>
      <c r="K69" s="584"/>
      <c r="L69" s="606" t="s">
        <v>882</v>
      </c>
      <c r="M69" s="584">
        <v>2480</v>
      </c>
      <c r="N69" s="606" t="s">
        <v>882</v>
      </c>
      <c r="O69" s="584"/>
      <c r="P69" s="606" t="s">
        <v>882</v>
      </c>
      <c r="Q69" s="584"/>
      <c r="R69" s="606" t="s">
        <v>882</v>
      </c>
      <c r="S69" s="584"/>
      <c r="T69" s="606" t="s">
        <v>882</v>
      </c>
      <c r="U69" s="584"/>
      <c r="V69" s="606" t="s">
        <v>882</v>
      </c>
      <c r="W69" s="584">
        <v>2490</v>
      </c>
      <c r="X69" s="404"/>
      <c r="Y69" s="584"/>
      <c r="Z69" s="584"/>
      <c r="AA69" s="584"/>
      <c r="AB69" s="585"/>
      <c r="AC69" s="586"/>
      <c r="AD69" s="587"/>
    </row>
    <row r="70" spans="1:30" x14ac:dyDescent="0.45">
      <c r="A70" s="582"/>
      <c r="B70" s="583">
        <v>46054</v>
      </c>
      <c r="C70" s="582"/>
      <c r="D70" s="606" t="s">
        <v>882</v>
      </c>
      <c r="E70" s="584"/>
      <c r="F70" s="606" t="s">
        <v>882</v>
      </c>
      <c r="G70" s="584"/>
      <c r="H70" s="606" t="s">
        <v>882</v>
      </c>
      <c r="I70" s="584"/>
      <c r="J70" s="606" t="s">
        <v>882</v>
      </c>
      <c r="K70" s="584"/>
      <c r="L70" s="606" t="s">
        <v>882</v>
      </c>
      <c r="M70" s="584"/>
      <c r="N70" s="606" t="s">
        <v>882</v>
      </c>
      <c r="O70" s="584"/>
      <c r="P70" s="606" t="s">
        <v>882</v>
      </c>
      <c r="Q70" s="584"/>
      <c r="R70" s="606" t="s">
        <v>882</v>
      </c>
      <c r="S70" s="584"/>
      <c r="T70" s="606" t="s">
        <v>882</v>
      </c>
      <c r="U70" s="584"/>
      <c r="V70" s="606" t="s">
        <v>882</v>
      </c>
      <c r="W70" s="584">
        <v>2490</v>
      </c>
      <c r="X70" s="404"/>
      <c r="Y70" s="584"/>
      <c r="Z70" s="584"/>
      <c r="AA70" s="584"/>
      <c r="AB70" s="585"/>
      <c r="AC70" s="586"/>
      <c r="AD70" s="587"/>
    </row>
    <row r="71" spans="1:30" x14ac:dyDescent="0.45">
      <c r="A71" s="582"/>
      <c r="B71" s="583">
        <v>46054</v>
      </c>
      <c r="C71" s="582"/>
      <c r="D71" s="606" t="s">
        <v>882</v>
      </c>
      <c r="E71" s="584"/>
      <c r="F71" s="606" t="s">
        <v>882</v>
      </c>
      <c r="G71" s="584"/>
      <c r="H71" s="606" t="s">
        <v>882</v>
      </c>
      <c r="I71" s="584"/>
      <c r="J71" s="606" t="s">
        <v>882</v>
      </c>
      <c r="K71" s="584"/>
      <c r="L71" s="606" t="s">
        <v>882</v>
      </c>
      <c r="M71" s="584"/>
      <c r="N71" s="606" t="s">
        <v>882</v>
      </c>
      <c r="O71" s="584"/>
      <c r="P71" s="606" t="s">
        <v>882</v>
      </c>
      <c r="Q71" s="584"/>
      <c r="R71" s="606" t="s">
        <v>882</v>
      </c>
      <c r="S71" s="584"/>
      <c r="T71" s="606" t="s">
        <v>882</v>
      </c>
      <c r="U71" s="584"/>
      <c r="V71" s="606" t="s">
        <v>882</v>
      </c>
      <c r="W71" s="584">
        <v>2505</v>
      </c>
      <c r="X71" s="404"/>
      <c r="Y71" s="584"/>
      <c r="Z71" s="584"/>
      <c r="AA71" s="584"/>
      <c r="AB71" s="585"/>
      <c r="AC71" s="586"/>
      <c r="AD71" s="587"/>
    </row>
    <row r="72" spans="1:30" x14ac:dyDescent="0.45">
      <c r="A72" s="582"/>
      <c r="B72" s="583">
        <v>46054</v>
      </c>
      <c r="C72" s="582"/>
      <c r="D72" s="606" t="s">
        <v>882</v>
      </c>
      <c r="E72" s="584"/>
      <c r="F72" s="606" t="s">
        <v>882</v>
      </c>
      <c r="G72" s="584"/>
      <c r="H72" s="606" t="s">
        <v>882</v>
      </c>
      <c r="I72" s="584"/>
      <c r="J72" s="606" t="s">
        <v>882</v>
      </c>
      <c r="K72" s="584"/>
      <c r="L72" s="606" t="s">
        <v>882</v>
      </c>
      <c r="M72" s="584"/>
      <c r="N72" s="606" t="s">
        <v>882</v>
      </c>
      <c r="O72" s="584"/>
      <c r="P72" s="606" t="s">
        <v>882</v>
      </c>
      <c r="Q72" s="584"/>
      <c r="R72" s="606" t="s">
        <v>882</v>
      </c>
      <c r="S72" s="584"/>
      <c r="T72" s="606" t="s">
        <v>882</v>
      </c>
      <c r="U72" s="584"/>
      <c r="V72" s="606" t="s">
        <v>882</v>
      </c>
      <c r="W72" s="584">
        <v>2495</v>
      </c>
      <c r="X72" s="404"/>
      <c r="Y72" s="584"/>
      <c r="Z72" s="584"/>
      <c r="AA72" s="584"/>
      <c r="AB72" s="585"/>
      <c r="AC72" s="586"/>
      <c r="AD72" s="587"/>
    </row>
    <row r="73" spans="1:30" x14ac:dyDescent="0.45">
      <c r="A73" s="582"/>
      <c r="B73" s="583">
        <v>46054</v>
      </c>
      <c r="C73" s="582"/>
      <c r="D73" s="606" t="s">
        <v>882</v>
      </c>
      <c r="E73" s="584"/>
      <c r="F73" s="606" t="s">
        <v>882</v>
      </c>
      <c r="G73" s="584"/>
      <c r="H73" s="606" t="s">
        <v>882</v>
      </c>
      <c r="I73" s="584"/>
      <c r="J73" s="606" t="s">
        <v>882</v>
      </c>
      <c r="K73" s="584"/>
      <c r="L73" s="606" t="s">
        <v>882</v>
      </c>
      <c r="M73" s="584"/>
      <c r="N73" s="606" t="s">
        <v>882</v>
      </c>
      <c r="O73" s="584"/>
      <c r="P73" s="606" t="s">
        <v>882</v>
      </c>
      <c r="Q73" s="584"/>
      <c r="R73" s="606" t="s">
        <v>882</v>
      </c>
      <c r="S73" s="584"/>
      <c r="T73" s="606" t="s">
        <v>882</v>
      </c>
      <c r="U73" s="584"/>
      <c r="V73" s="606" t="s">
        <v>882</v>
      </c>
      <c r="W73" s="584">
        <v>2495</v>
      </c>
      <c r="X73" s="404"/>
      <c r="Y73" s="584"/>
      <c r="Z73" s="584"/>
      <c r="AA73" s="584"/>
      <c r="AB73" s="585"/>
      <c r="AC73" s="586"/>
      <c r="AD73" s="587"/>
    </row>
    <row r="74" spans="1:30" x14ac:dyDescent="0.45">
      <c r="A74" s="582"/>
      <c r="B74" s="583">
        <v>46054</v>
      </c>
      <c r="C74" s="582"/>
      <c r="D74" s="606" t="s">
        <v>882</v>
      </c>
      <c r="E74" s="584"/>
      <c r="F74" s="606" t="s">
        <v>882</v>
      </c>
      <c r="G74" s="584"/>
      <c r="H74" s="606" t="s">
        <v>882</v>
      </c>
      <c r="I74" s="584"/>
      <c r="J74" s="606" t="s">
        <v>882</v>
      </c>
      <c r="K74" s="584"/>
      <c r="L74" s="606" t="s">
        <v>882</v>
      </c>
      <c r="M74" s="584"/>
      <c r="N74" s="606" t="s">
        <v>882</v>
      </c>
      <c r="O74" s="584"/>
      <c r="P74" s="606" t="s">
        <v>882</v>
      </c>
      <c r="Q74" s="584"/>
      <c r="R74" s="606" t="s">
        <v>882</v>
      </c>
      <c r="S74" s="584"/>
      <c r="T74" s="606" t="s">
        <v>882</v>
      </c>
      <c r="U74" s="584"/>
      <c r="V74" s="606" t="s">
        <v>882</v>
      </c>
      <c r="W74" s="584">
        <v>2495</v>
      </c>
      <c r="X74" s="404"/>
      <c r="Y74" s="584"/>
      <c r="Z74" s="584"/>
      <c r="AA74" s="584"/>
      <c r="AB74" s="585"/>
      <c r="AC74" s="586"/>
      <c r="AD74" s="587"/>
    </row>
    <row r="75" spans="1:30" x14ac:dyDescent="0.45">
      <c r="A75" s="582"/>
      <c r="B75" s="583">
        <v>46054</v>
      </c>
      <c r="C75" s="582"/>
      <c r="D75" s="606" t="s">
        <v>882</v>
      </c>
      <c r="E75" s="584"/>
      <c r="F75" s="606" t="s">
        <v>882</v>
      </c>
      <c r="G75" s="584"/>
      <c r="H75" s="606" t="s">
        <v>882</v>
      </c>
      <c r="I75" s="584"/>
      <c r="J75" s="606" t="s">
        <v>882</v>
      </c>
      <c r="K75" s="584"/>
      <c r="L75" s="606" t="s">
        <v>882</v>
      </c>
      <c r="M75" s="584"/>
      <c r="N75" s="606" t="s">
        <v>882</v>
      </c>
      <c r="O75" s="584"/>
      <c r="P75" s="606" t="s">
        <v>882</v>
      </c>
      <c r="Q75" s="584"/>
      <c r="R75" s="606" t="s">
        <v>882</v>
      </c>
      <c r="S75" s="584"/>
      <c r="T75" s="606" t="s">
        <v>882</v>
      </c>
      <c r="U75" s="584"/>
      <c r="V75" s="606" t="s">
        <v>882</v>
      </c>
      <c r="W75" s="584">
        <v>2495</v>
      </c>
      <c r="X75" s="404"/>
      <c r="Y75" s="584"/>
      <c r="Z75" s="584"/>
      <c r="AA75" s="584"/>
      <c r="AB75" s="585"/>
      <c r="AC75" s="586"/>
      <c r="AD75" s="587"/>
    </row>
    <row r="76" spans="1:30" x14ac:dyDescent="0.45">
      <c r="A76" s="582"/>
      <c r="B76" s="583">
        <v>46054</v>
      </c>
      <c r="C76" s="582"/>
      <c r="D76" s="606" t="s">
        <v>882</v>
      </c>
      <c r="E76" s="584"/>
      <c r="F76" s="606" t="s">
        <v>882</v>
      </c>
      <c r="G76" s="584"/>
      <c r="H76" s="606" t="s">
        <v>882</v>
      </c>
      <c r="I76" s="584"/>
      <c r="J76" s="606" t="s">
        <v>882</v>
      </c>
      <c r="K76" s="584"/>
      <c r="L76" s="606" t="s">
        <v>882</v>
      </c>
      <c r="M76" s="584"/>
      <c r="N76" s="606" t="s">
        <v>882</v>
      </c>
      <c r="O76" s="584"/>
      <c r="P76" s="606" t="s">
        <v>882</v>
      </c>
      <c r="Q76" s="584"/>
      <c r="R76" s="606" t="s">
        <v>882</v>
      </c>
      <c r="S76" s="584"/>
      <c r="T76" s="606" t="s">
        <v>882</v>
      </c>
      <c r="U76" s="584"/>
      <c r="V76" s="606" t="s">
        <v>882</v>
      </c>
      <c r="W76" s="584">
        <v>2505</v>
      </c>
      <c r="X76" s="404"/>
      <c r="Y76" s="584"/>
      <c r="Z76" s="584"/>
      <c r="AA76" s="584"/>
      <c r="AB76" s="585"/>
      <c r="AC76" s="586"/>
      <c r="AD76" s="587"/>
    </row>
    <row r="77" spans="1:30" x14ac:dyDescent="0.45">
      <c r="A77" s="582"/>
      <c r="B77" s="583">
        <v>46054</v>
      </c>
      <c r="C77" s="582"/>
      <c r="D77" s="606" t="s">
        <v>882</v>
      </c>
      <c r="E77" s="584"/>
      <c r="F77" s="606" t="s">
        <v>882</v>
      </c>
      <c r="G77" s="584"/>
      <c r="H77" s="606" t="s">
        <v>882</v>
      </c>
      <c r="I77" s="584"/>
      <c r="J77" s="606" t="s">
        <v>882</v>
      </c>
      <c r="K77" s="584"/>
      <c r="L77" s="606" t="s">
        <v>882</v>
      </c>
      <c r="M77" s="584"/>
      <c r="N77" s="606" t="s">
        <v>882</v>
      </c>
      <c r="O77" s="584"/>
      <c r="P77" s="606" t="s">
        <v>882</v>
      </c>
      <c r="Q77" s="584"/>
      <c r="R77" s="606" t="s">
        <v>882</v>
      </c>
      <c r="S77" s="584"/>
      <c r="T77" s="606" t="s">
        <v>882</v>
      </c>
      <c r="U77" s="584"/>
      <c r="V77" s="606" t="s">
        <v>882</v>
      </c>
      <c r="W77" s="584">
        <v>2490</v>
      </c>
      <c r="X77" s="404">
        <f>SUM(E56,K56:K58,I56:I57,M69,Q56:Q57,S56:S57,U59:U68,W69:W77)</f>
        <v>72970</v>
      </c>
      <c r="Y77" s="584"/>
      <c r="Z77" s="584"/>
      <c r="AA77" s="584"/>
      <c r="AB77" s="585">
        <f>(X77/1000)*640*AC77</f>
        <v>568115232</v>
      </c>
      <c r="AC77" s="586">
        <v>12165</v>
      </c>
      <c r="AD77" s="587">
        <f>(X77/1000)*640</f>
        <v>46700.800000000003</v>
      </c>
    </row>
    <row r="78" spans="1:30" x14ac:dyDescent="0.45">
      <c r="A78" s="582">
        <v>6</v>
      </c>
      <c r="B78" s="583">
        <v>46070</v>
      </c>
      <c r="C78" s="582" t="s">
        <v>151</v>
      </c>
      <c r="D78" s="606" t="s">
        <v>882</v>
      </c>
      <c r="E78" s="584">
        <v>1565</v>
      </c>
      <c r="F78" s="606" t="s">
        <v>882</v>
      </c>
      <c r="G78" s="584"/>
      <c r="H78" s="606" t="s">
        <v>882</v>
      </c>
      <c r="I78" s="584"/>
      <c r="J78" s="606" t="s">
        <v>882</v>
      </c>
      <c r="K78" s="584"/>
      <c r="L78" s="606" t="s">
        <v>882</v>
      </c>
      <c r="M78" s="584">
        <v>5110</v>
      </c>
      <c r="N78" s="606" t="s">
        <v>882</v>
      </c>
      <c r="O78" s="584"/>
      <c r="P78" s="606" t="s">
        <v>882</v>
      </c>
      <c r="Q78" s="584"/>
      <c r="R78" s="606" t="s">
        <v>882</v>
      </c>
      <c r="S78" s="584"/>
      <c r="T78" s="606" t="s">
        <v>882</v>
      </c>
      <c r="U78" s="584"/>
      <c r="V78" s="606" t="s">
        <v>882</v>
      </c>
      <c r="W78" s="584"/>
      <c r="X78" s="404"/>
      <c r="Y78" s="584"/>
      <c r="Z78" s="584"/>
      <c r="AA78" s="584"/>
      <c r="AB78" s="585"/>
      <c r="AC78" s="586"/>
      <c r="AD78" s="587"/>
    </row>
    <row r="79" spans="1:30" x14ac:dyDescent="0.45">
      <c r="A79" s="582" t="s">
        <v>145</v>
      </c>
      <c r="B79" s="583">
        <v>46070</v>
      </c>
      <c r="C79" s="582"/>
      <c r="D79" s="606" t="s">
        <v>882</v>
      </c>
      <c r="E79" s="584">
        <v>1580</v>
      </c>
      <c r="F79" s="606" t="s">
        <v>882</v>
      </c>
      <c r="G79" s="584"/>
      <c r="H79" s="606" t="s">
        <v>882</v>
      </c>
      <c r="I79" s="584"/>
      <c r="J79" s="606" t="s">
        <v>882</v>
      </c>
      <c r="K79" s="584"/>
      <c r="L79" s="606" t="s">
        <v>882</v>
      </c>
      <c r="M79" s="584">
        <v>4975</v>
      </c>
      <c r="N79" s="606" t="s">
        <v>882</v>
      </c>
      <c r="O79" s="584"/>
      <c r="P79" s="606" t="s">
        <v>882</v>
      </c>
      <c r="Q79" s="584"/>
      <c r="R79" s="606" t="s">
        <v>882</v>
      </c>
      <c r="S79" s="584"/>
      <c r="T79" s="606" t="s">
        <v>882</v>
      </c>
      <c r="U79" s="584"/>
      <c r="V79" s="606" t="s">
        <v>882</v>
      </c>
      <c r="W79" s="584"/>
      <c r="X79" s="404"/>
      <c r="Y79" s="584"/>
      <c r="Z79" s="584"/>
      <c r="AA79" s="584"/>
      <c r="AB79" s="585"/>
      <c r="AC79" s="586"/>
      <c r="AD79" s="587"/>
    </row>
    <row r="80" spans="1:30" x14ac:dyDescent="0.45">
      <c r="A80" s="582"/>
      <c r="B80" s="583">
        <v>46070</v>
      </c>
      <c r="C80" s="582"/>
      <c r="D80" s="606" t="s">
        <v>882</v>
      </c>
      <c r="E80" s="584">
        <v>1560</v>
      </c>
      <c r="F80" s="606" t="s">
        <v>882</v>
      </c>
      <c r="G80" s="584"/>
      <c r="H80" s="606" t="s">
        <v>882</v>
      </c>
      <c r="I80" s="584"/>
      <c r="J80" s="606" t="s">
        <v>882</v>
      </c>
      <c r="K80" s="584"/>
      <c r="L80" s="606" t="s">
        <v>882</v>
      </c>
      <c r="M80" s="584">
        <v>2445</v>
      </c>
      <c r="N80" s="606" t="s">
        <v>882</v>
      </c>
      <c r="O80" s="584"/>
      <c r="P80" s="606" t="s">
        <v>882</v>
      </c>
      <c r="Q80" s="584"/>
      <c r="R80" s="606" t="s">
        <v>882</v>
      </c>
      <c r="S80" s="584"/>
      <c r="T80" s="606" t="s">
        <v>882</v>
      </c>
      <c r="U80" s="584"/>
      <c r="V80" s="606" t="s">
        <v>882</v>
      </c>
      <c r="W80" s="584"/>
      <c r="X80" s="404"/>
      <c r="Y80" s="584"/>
      <c r="Z80" s="584"/>
      <c r="AA80" s="584"/>
      <c r="AB80" s="585"/>
      <c r="AC80" s="586"/>
      <c r="AD80" s="587"/>
    </row>
    <row r="81" spans="1:30" x14ac:dyDescent="0.45">
      <c r="A81" s="582"/>
      <c r="B81" s="583">
        <v>46070</v>
      </c>
      <c r="C81" s="582"/>
      <c r="D81" s="606" t="s">
        <v>882</v>
      </c>
      <c r="E81" s="584">
        <v>1560</v>
      </c>
      <c r="F81" s="606" t="s">
        <v>882</v>
      </c>
      <c r="G81" s="584"/>
      <c r="H81" s="606" t="s">
        <v>882</v>
      </c>
      <c r="I81" s="584"/>
      <c r="J81" s="606" t="s">
        <v>882</v>
      </c>
      <c r="K81" s="584"/>
      <c r="L81" s="606" t="s">
        <v>882</v>
      </c>
      <c r="M81" s="584"/>
      <c r="N81" s="606" t="s">
        <v>882</v>
      </c>
      <c r="O81" s="584"/>
      <c r="P81" s="606" t="s">
        <v>882</v>
      </c>
      <c r="Q81" s="584"/>
      <c r="R81" s="606" t="s">
        <v>882</v>
      </c>
      <c r="S81" s="584"/>
      <c r="T81" s="606" t="s">
        <v>882</v>
      </c>
      <c r="U81" s="584"/>
      <c r="V81" s="606" t="s">
        <v>882</v>
      </c>
      <c r="W81" s="584"/>
      <c r="X81" s="404"/>
      <c r="Y81" s="584"/>
      <c r="Z81" s="584"/>
      <c r="AA81" s="584"/>
      <c r="AB81" s="585"/>
      <c r="AC81" s="586"/>
      <c r="AD81" s="587"/>
    </row>
    <row r="82" spans="1:30" x14ac:dyDescent="0.45">
      <c r="A82" s="582"/>
      <c r="B82" s="583">
        <v>46070</v>
      </c>
      <c r="C82" s="582"/>
      <c r="D82" s="606" t="s">
        <v>882</v>
      </c>
      <c r="E82" s="584">
        <v>1550</v>
      </c>
      <c r="F82" s="606" t="s">
        <v>882</v>
      </c>
      <c r="G82" s="584"/>
      <c r="H82" s="606" t="s">
        <v>882</v>
      </c>
      <c r="I82" s="584"/>
      <c r="J82" s="606" t="s">
        <v>882</v>
      </c>
      <c r="K82" s="584"/>
      <c r="L82" s="606" t="s">
        <v>882</v>
      </c>
      <c r="M82" s="584"/>
      <c r="N82" s="606" t="s">
        <v>882</v>
      </c>
      <c r="O82" s="584"/>
      <c r="P82" s="606" t="s">
        <v>882</v>
      </c>
      <c r="Q82" s="584"/>
      <c r="R82" s="606" t="s">
        <v>882</v>
      </c>
      <c r="S82" s="584"/>
      <c r="T82" s="606" t="s">
        <v>882</v>
      </c>
      <c r="U82" s="584"/>
      <c r="V82" s="606" t="s">
        <v>882</v>
      </c>
      <c r="W82" s="584"/>
      <c r="X82" s="404"/>
      <c r="Y82" s="584"/>
      <c r="Z82" s="584"/>
      <c r="AA82" s="584"/>
      <c r="AB82" s="585"/>
      <c r="AC82" s="586"/>
      <c r="AD82" s="587"/>
    </row>
    <row r="83" spans="1:30" x14ac:dyDescent="0.45">
      <c r="A83" s="582"/>
      <c r="B83" s="583">
        <v>46070</v>
      </c>
      <c r="C83" s="582"/>
      <c r="D83" s="606" t="s">
        <v>882</v>
      </c>
      <c r="E83" s="584">
        <v>1565</v>
      </c>
      <c r="F83" s="606" t="s">
        <v>882</v>
      </c>
      <c r="G83" s="584"/>
      <c r="H83" s="606" t="s">
        <v>882</v>
      </c>
      <c r="I83" s="584"/>
      <c r="J83" s="606" t="s">
        <v>882</v>
      </c>
      <c r="K83" s="584"/>
      <c r="L83" s="606" t="s">
        <v>882</v>
      </c>
      <c r="M83" s="584"/>
      <c r="N83" s="606" t="s">
        <v>882</v>
      </c>
      <c r="O83" s="584"/>
      <c r="P83" s="606" t="s">
        <v>882</v>
      </c>
      <c r="Q83" s="584"/>
      <c r="R83" s="606" t="s">
        <v>882</v>
      </c>
      <c r="S83" s="584"/>
      <c r="T83" s="606" t="s">
        <v>882</v>
      </c>
      <c r="U83" s="584"/>
      <c r="V83" s="606" t="s">
        <v>882</v>
      </c>
      <c r="W83" s="584"/>
      <c r="X83" s="404"/>
      <c r="Y83" s="584"/>
      <c r="Z83" s="584"/>
      <c r="AA83" s="584"/>
      <c r="AB83" s="585"/>
      <c r="AC83" s="586"/>
      <c r="AD83" s="587"/>
    </row>
    <row r="84" spans="1:30" x14ac:dyDescent="0.45">
      <c r="A84" s="582"/>
      <c r="B84" s="583">
        <v>46070</v>
      </c>
      <c r="C84" s="582"/>
      <c r="D84" s="606" t="s">
        <v>882</v>
      </c>
      <c r="E84" s="584">
        <v>1555</v>
      </c>
      <c r="F84" s="606" t="s">
        <v>882</v>
      </c>
      <c r="G84" s="584"/>
      <c r="H84" s="606" t="s">
        <v>882</v>
      </c>
      <c r="I84" s="584"/>
      <c r="J84" s="606" t="s">
        <v>882</v>
      </c>
      <c r="K84" s="584"/>
      <c r="L84" s="606" t="s">
        <v>882</v>
      </c>
      <c r="M84" s="584"/>
      <c r="N84" s="606" t="s">
        <v>882</v>
      </c>
      <c r="O84" s="584"/>
      <c r="P84" s="606" t="s">
        <v>882</v>
      </c>
      <c r="Q84" s="584"/>
      <c r="R84" s="606" t="s">
        <v>882</v>
      </c>
      <c r="S84" s="584"/>
      <c r="T84" s="606" t="s">
        <v>882</v>
      </c>
      <c r="U84" s="584"/>
      <c r="V84" s="606" t="s">
        <v>882</v>
      </c>
      <c r="W84" s="584"/>
      <c r="X84" s="404"/>
      <c r="Y84" s="584"/>
      <c r="Z84" s="584"/>
      <c r="AA84" s="584"/>
      <c r="AB84" s="585"/>
      <c r="AC84" s="586"/>
      <c r="AD84" s="587"/>
    </row>
    <row r="85" spans="1:30" x14ac:dyDescent="0.45">
      <c r="A85" s="582"/>
      <c r="B85" s="583">
        <v>46070</v>
      </c>
      <c r="C85" s="582" t="s">
        <v>152</v>
      </c>
      <c r="D85" s="606" t="s">
        <v>882</v>
      </c>
      <c r="E85" s="584"/>
      <c r="F85" s="606" t="s">
        <v>882</v>
      </c>
      <c r="G85" s="584"/>
      <c r="H85" s="606" t="s">
        <v>882</v>
      </c>
      <c r="I85" s="584"/>
      <c r="J85" s="606" t="s">
        <v>882</v>
      </c>
      <c r="K85" s="584"/>
      <c r="L85" s="606" t="s">
        <v>882</v>
      </c>
      <c r="M85" s="584">
        <v>2455</v>
      </c>
      <c r="N85" s="606" t="s">
        <v>882</v>
      </c>
      <c r="O85" s="584"/>
      <c r="P85" s="606" t="s">
        <v>882</v>
      </c>
      <c r="Q85" s="584"/>
      <c r="R85" s="606" t="s">
        <v>882</v>
      </c>
      <c r="S85" s="584"/>
      <c r="T85" s="606" t="s">
        <v>882</v>
      </c>
      <c r="U85" s="584"/>
      <c r="V85" s="606" t="s">
        <v>882</v>
      </c>
      <c r="W85" s="584"/>
      <c r="X85" s="404"/>
      <c r="Y85" s="584"/>
      <c r="Z85" s="584"/>
      <c r="AA85" s="584"/>
      <c r="AB85" s="585"/>
      <c r="AC85" s="586"/>
      <c r="AD85" s="587"/>
    </row>
    <row r="86" spans="1:30" x14ac:dyDescent="0.45">
      <c r="A86" s="582"/>
      <c r="B86" s="583">
        <v>46070</v>
      </c>
      <c r="C86" s="582"/>
      <c r="D86" s="606" t="s">
        <v>882</v>
      </c>
      <c r="E86" s="584"/>
      <c r="F86" s="606" t="s">
        <v>882</v>
      </c>
      <c r="G86" s="584"/>
      <c r="H86" s="606" t="s">
        <v>882</v>
      </c>
      <c r="I86" s="584"/>
      <c r="J86" s="606" t="s">
        <v>882</v>
      </c>
      <c r="K86" s="584"/>
      <c r="L86" s="606" t="s">
        <v>882</v>
      </c>
      <c r="M86" s="584">
        <v>2450</v>
      </c>
      <c r="N86" s="606" t="s">
        <v>882</v>
      </c>
      <c r="O86" s="584"/>
      <c r="P86" s="606" t="s">
        <v>882</v>
      </c>
      <c r="Q86" s="584"/>
      <c r="R86" s="606" t="s">
        <v>882</v>
      </c>
      <c r="S86" s="584"/>
      <c r="T86" s="606" t="s">
        <v>882</v>
      </c>
      <c r="U86" s="584"/>
      <c r="V86" s="606" t="s">
        <v>882</v>
      </c>
      <c r="W86" s="584"/>
      <c r="X86" s="404"/>
      <c r="Y86" s="584"/>
      <c r="Z86" s="584"/>
      <c r="AA86" s="584"/>
      <c r="AB86" s="585"/>
      <c r="AC86" s="586"/>
      <c r="AD86" s="587"/>
    </row>
    <row r="87" spans="1:30" x14ac:dyDescent="0.45">
      <c r="A87" s="582"/>
      <c r="B87" s="583">
        <v>46070</v>
      </c>
      <c r="C87" s="582"/>
      <c r="D87" s="606" t="s">
        <v>882</v>
      </c>
      <c r="E87" s="584"/>
      <c r="F87" s="606" t="s">
        <v>882</v>
      </c>
      <c r="G87" s="584"/>
      <c r="H87" s="606" t="s">
        <v>882</v>
      </c>
      <c r="I87" s="584"/>
      <c r="J87" s="606" t="s">
        <v>882</v>
      </c>
      <c r="K87" s="584"/>
      <c r="L87" s="606" t="s">
        <v>882</v>
      </c>
      <c r="M87" s="584">
        <v>2505</v>
      </c>
      <c r="N87" s="606" t="s">
        <v>882</v>
      </c>
      <c r="O87" s="584"/>
      <c r="P87" s="606" t="s">
        <v>882</v>
      </c>
      <c r="Q87" s="584"/>
      <c r="R87" s="606" t="s">
        <v>882</v>
      </c>
      <c r="S87" s="584"/>
      <c r="T87" s="606" t="s">
        <v>882</v>
      </c>
      <c r="U87" s="584"/>
      <c r="V87" s="606" t="s">
        <v>882</v>
      </c>
      <c r="W87" s="584"/>
      <c r="X87" s="404"/>
      <c r="Y87" s="584"/>
      <c r="Z87" s="584"/>
      <c r="AA87" s="584"/>
      <c r="AB87" s="585"/>
      <c r="AC87" s="586"/>
      <c r="AD87" s="587"/>
    </row>
    <row r="88" spans="1:30" x14ac:dyDescent="0.45">
      <c r="A88" s="582"/>
      <c r="B88" s="583">
        <v>46070</v>
      </c>
      <c r="C88" s="582"/>
      <c r="D88" s="606" t="s">
        <v>882</v>
      </c>
      <c r="E88" s="584"/>
      <c r="F88" s="606" t="s">
        <v>882</v>
      </c>
      <c r="G88" s="584"/>
      <c r="H88" s="606" t="s">
        <v>882</v>
      </c>
      <c r="I88" s="584"/>
      <c r="J88" s="606" t="s">
        <v>882</v>
      </c>
      <c r="K88" s="584"/>
      <c r="L88" s="606" t="s">
        <v>882</v>
      </c>
      <c r="M88" s="584">
        <v>2475</v>
      </c>
      <c r="N88" s="606" t="s">
        <v>882</v>
      </c>
      <c r="O88" s="584"/>
      <c r="P88" s="606" t="s">
        <v>882</v>
      </c>
      <c r="Q88" s="584"/>
      <c r="R88" s="606" t="s">
        <v>882</v>
      </c>
      <c r="S88" s="584"/>
      <c r="T88" s="606" t="s">
        <v>882</v>
      </c>
      <c r="U88" s="584"/>
      <c r="V88" s="606" t="s">
        <v>882</v>
      </c>
      <c r="W88" s="584"/>
      <c r="X88" s="404"/>
      <c r="Y88" s="584"/>
      <c r="Z88" s="584"/>
      <c r="AA88" s="584"/>
      <c r="AB88" s="585"/>
      <c r="AC88" s="586"/>
      <c r="AD88" s="587"/>
    </row>
    <row r="89" spans="1:30" x14ac:dyDescent="0.45">
      <c r="A89" s="582"/>
      <c r="B89" s="583">
        <v>46070</v>
      </c>
      <c r="C89" s="582"/>
      <c r="D89" s="606" t="s">
        <v>882</v>
      </c>
      <c r="E89" s="584"/>
      <c r="F89" s="606" t="s">
        <v>882</v>
      </c>
      <c r="G89" s="584"/>
      <c r="H89" s="606" t="s">
        <v>882</v>
      </c>
      <c r="I89" s="584"/>
      <c r="J89" s="606" t="s">
        <v>882</v>
      </c>
      <c r="K89" s="584"/>
      <c r="L89" s="606" t="s">
        <v>882</v>
      </c>
      <c r="M89" s="584">
        <v>2460</v>
      </c>
      <c r="N89" s="606" t="s">
        <v>882</v>
      </c>
      <c r="O89" s="584"/>
      <c r="P89" s="606" t="s">
        <v>882</v>
      </c>
      <c r="Q89" s="584"/>
      <c r="R89" s="606" t="s">
        <v>882</v>
      </c>
      <c r="S89" s="584"/>
      <c r="T89" s="606" t="s">
        <v>882</v>
      </c>
      <c r="U89" s="584"/>
      <c r="V89" s="606" t="s">
        <v>882</v>
      </c>
      <c r="W89" s="584"/>
      <c r="X89" s="404"/>
      <c r="Y89" s="584"/>
      <c r="Z89" s="584"/>
      <c r="AA89" s="584"/>
      <c r="AB89" s="585"/>
      <c r="AC89" s="586"/>
      <c r="AD89" s="587"/>
    </row>
    <row r="90" spans="1:30" x14ac:dyDescent="0.45">
      <c r="A90" s="582"/>
      <c r="B90" s="583">
        <v>46070</v>
      </c>
      <c r="C90" s="582"/>
      <c r="D90" s="606" t="s">
        <v>882</v>
      </c>
      <c r="E90" s="584"/>
      <c r="F90" s="606" t="s">
        <v>882</v>
      </c>
      <c r="G90" s="584"/>
      <c r="H90" s="606" t="s">
        <v>882</v>
      </c>
      <c r="I90" s="584"/>
      <c r="J90" s="606" t="s">
        <v>882</v>
      </c>
      <c r="K90" s="584"/>
      <c r="L90" s="606" t="s">
        <v>882</v>
      </c>
      <c r="M90" s="584">
        <v>2455</v>
      </c>
      <c r="N90" s="606" t="s">
        <v>882</v>
      </c>
      <c r="O90" s="584"/>
      <c r="P90" s="606" t="s">
        <v>882</v>
      </c>
      <c r="Q90" s="584"/>
      <c r="R90" s="606" t="s">
        <v>882</v>
      </c>
      <c r="S90" s="584"/>
      <c r="T90" s="606" t="s">
        <v>882</v>
      </c>
      <c r="U90" s="584"/>
      <c r="V90" s="606" t="s">
        <v>882</v>
      </c>
      <c r="W90" s="584"/>
      <c r="X90" s="404"/>
      <c r="Y90" s="584"/>
      <c r="Z90" s="584"/>
      <c r="AA90" s="584"/>
      <c r="AB90" s="585"/>
      <c r="AC90" s="586"/>
      <c r="AD90" s="587"/>
    </row>
    <row r="91" spans="1:30" x14ac:dyDescent="0.45">
      <c r="A91" s="582"/>
      <c r="B91" s="583">
        <v>46070</v>
      </c>
      <c r="C91" s="582"/>
      <c r="D91" s="606" t="s">
        <v>882</v>
      </c>
      <c r="E91" s="584"/>
      <c r="F91" s="606" t="s">
        <v>882</v>
      </c>
      <c r="G91" s="584"/>
      <c r="H91" s="606" t="s">
        <v>882</v>
      </c>
      <c r="I91" s="584"/>
      <c r="J91" s="606" t="s">
        <v>882</v>
      </c>
      <c r="K91" s="584"/>
      <c r="L91" s="606" t="s">
        <v>882</v>
      </c>
      <c r="M91" s="584">
        <v>2465</v>
      </c>
      <c r="N91" s="606" t="s">
        <v>882</v>
      </c>
      <c r="O91" s="584"/>
      <c r="P91" s="606" t="s">
        <v>882</v>
      </c>
      <c r="Q91" s="584"/>
      <c r="R91" s="606" t="s">
        <v>882</v>
      </c>
      <c r="S91" s="584"/>
      <c r="T91" s="606" t="s">
        <v>882</v>
      </c>
      <c r="U91" s="584"/>
      <c r="V91" s="606" t="s">
        <v>882</v>
      </c>
      <c r="W91" s="584"/>
      <c r="X91" s="404"/>
      <c r="Y91" s="584"/>
      <c r="Z91" s="584"/>
      <c r="AA91" s="584"/>
      <c r="AB91" s="585"/>
      <c r="AC91" s="586"/>
      <c r="AD91" s="587"/>
    </row>
    <row r="92" spans="1:30" x14ac:dyDescent="0.45">
      <c r="A92" s="582"/>
      <c r="B92" s="583">
        <v>46070</v>
      </c>
      <c r="C92" s="582"/>
      <c r="D92" s="606" t="s">
        <v>882</v>
      </c>
      <c r="E92" s="584"/>
      <c r="F92" s="606" t="s">
        <v>882</v>
      </c>
      <c r="G92" s="584"/>
      <c r="H92" s="606" t="s">
        <v>882</v>
      </c>
      <c r="I92" s="584"/>
      <c r="J92" s="606" t="s">
        <v>882</v>
      </c>
      <c r="K92" s="584"/>
      <c r="L92" s="606" t="s">
        <v>882</v>
      </c>
      <c r="M92" s="584">
        <v>2405</v>
      </c>
      <c r="N92" s="606" t="s">
        <v>882</v>
      </c>
      <c r="O92" s="584"/>
      <c r="P92" s="606" t="s">
        <v>882</v>
      </c>
      <c r="Q92" s="584"/>
      <c r="R92" s="606" t="s">
        <v>882</v>
      </c>
      <c r="S92" s="584"/>
      <c r="T92" s="606" t="s">
        <v>882</v>
      </c>
      <c r="U92" s="584"/>
      <c r="V92" s="606" t="s">
        <v>882</v>
      </c>
      <c r="W92" s="584"/>
      <c r="X92" s="404"/>
      <c r="Y92" s="584"/>
      <c r="Z92" s="584"/>
      <c r="AA92" s="584"/>
      <c r="AB92" s="585"/>
      <c r="AC92" s="586"/>
      <c r="AD92" s="587"/>
    </row>
    <row r="93" spans="1:30" x14ac:dyDescent="0.45">
      <c r="A93" s="582"/>
      <c r="B93" s="583">
        <v>46070</v>
      </c>
      <c r="C93" s="582"/>
      <c r="D93" s="606" t="s">
        <v>882</v>
      </c>
      <c r="E93" s="584"/>
      <c r="F93" s="606" t="s">
        <v>882</v>
      </c>
      <c r="G93" s="584"/>
      <c r="H93" s="606" t="s">
        <v>882</v>
      </c>
      <c r="I93" s="584"/>
      <c r="J93" s="606" t="s">
        <v>882</v>
      </c>
      <c r="K93" s="584"/>
      <c r="L93" s="606" t="s">
        <v>882</v>
      </c>
      <c r="M93" s="584">
        <v>2435</v>
      </c>
      <c r="N93" s="606" t="s">
        <v>882</v>
      </c>
      <c r="O93" s="584"/>
      <c r="P93" s="606" t="s">
        <v>882</v>
      </c>
      <c r="Q93" s="584"/>
      <c r="R93" s="606" t="s">
        <v>882</v>
      </c>
      <c r="S93" s="584"/>
      <c r="T93" s="606" t="s">
        <v>882</v>
      </c>
      <c r="U93" s="584"/>
      <c r="V93" s="606" t="s">
        <v>882</v>
      </c>
      <c r="W93" s="584"/>
      <c r="X93" s="404"/>
      <c r="Y93" s="584"/>
      <c r="Z93" s="584"/>
      <c r="AA93" s="584"/>
      <c r="AB93" s="585"/>
      <c r="AC93" s="586"/>
      <c r="AD93" s="587"/>
    </row>
    <row r="94" spans="1:30" x14ac:dyDescent="0.45">
      <c r="A94" s="582"/>
      <c r="B94" s="583">
        <v>46070</v>
      </c>
      <c r="C94" s="582"/>
      <c r="D94" s="606" t="s">
        <v>882</v>
      </c>
      <c r="E94" s="584"/>
      <c r="F94" s="606" t="s">
        <v>882</v>
      </c>
      <c r="G94" s="584"/>
      <c r="H94" s="606" t="s">
        <v>882</v>
      </c>
      <c r="I94" s="584"/>
      <c r="J94" s="606" t="s">
        <v>882</v>
      </c>
      <c r="K94" s="584"/>
      <c r="L94" s="606" t="s">
        <v>882</v>
      </c>
      <c r="M94" s="584">
        <v>2475</v>
      </c>
      <c r="N94" s="606" t="s">
        <v>882</v>
      </c>
      <c r="O94" s="584"/>
      <c r="P94" s="606" t="s">
        <v>882</v>
      </c>
      <c r="Q94" s="584"/>
      <c r="R94" s="606" t="s">
        <v>882</v>
      </c>
      <c r="S94" s="584"/>
      <c r="T94" s="606" t="s">
        <v>882</v>
      </c>
      <c r="U94" s="584"/>
      <c r="V94" s="606" t="s">
        <v>882</v>
      </c>
      <c r="W94" s="584"/>
      <c r="X94" s="404"/>
      <c r="Y94" s="584"/>
      <c r="Z94" s="584"/>
      <c r="AA94" s="584"/>
      <c r="AB94" s="585"/>
      <c r="AC94" s="586"/>
      <c r="AD94" s="587"/>
    </row>
    <row r="95" spans="1:30" x14ac:dyDescent="0.45">
      <c r="A95" s="582"/>
      <c r="B95" s="583">
        <v>46070</v>
      </c>
      <c r="C95" s="582"/>
      <c r="D95" s="606" t="s">
        <v>882</v>
      </c>
      <c r="E95" s="584"/>
      <c r="F95" s="606" t="s">
        <v>882</v>
      </c>
      <c r="G95" s="584"/>
      <c r="H95" s="606" t="s">
        <v>882</v>
      </c>
      <c r="I95" s="584"/>
      <c r="J95" s="606" t="s">
        <v>882</v>
      </c>
      <c r="K95" s="584"/>
      <c r="L95" s="606" t="s">
        <v>882</v>
      </c>
      <c r="M95" s="584">
        <v>2445</v>
      </c>
      <c r="N95" s="606" t="s">
        <v>882</v>
      </c>
      <c r="O95" s="584"/>
      <c r="P95" s="606" t="s">
        <v>882</v>
      </c>
      <c r="Q95" s="584"/>
      <c r="R95" s="606" t="s">
        <v>882</v>
      </c>
      <c r="S95" s="584"/>
      <c r="T95" s="606" t="s">
        <v>882</v>
      </c>
      <c r="U95" s="584"/>
      <c r="V95" s="606" t="s">
        <v>882</v>
      </c>
      <c r="W95" s="584"/>
      <c r="X95" s="404"/>
      <c r="Y95" s="584"/>
      <c r="Z95" s="584"/>
      <c r="AA95" s="584"/>
      <c r="AB95" s="585"/>
      <c r="AC95" s="586"/>
      <c r="AD95" s="587"/>
    </row>
    <row r="96" spans="1:30" x14ac:dyDescent="0.45">
      <c r="A96" s="582"/>
      <c r="B96" s="583">
        <v>46070</v>
      </c>
      <c r="C96" s="582" t="s">
        <v>153</v>
      </c>
      <c r="D96" s="606" t="s">
        <v>882</v>
      </c>
      <c r="E96" s="584">
        <v>1590</v>
      </c>
      <c r="F96" s="606" t="s">
        <v>882</v>
      </c>
      <c r="G96" s="584"/>
      <c r="H96" s="606" t="s">
        <v>882</v>
      </c>
      <c r="I96" s="584"/>
      <c r="J96" s="606" t="s">
        <v>882</v>
      </c>
      <c r="K96" s="584">
        <v>2450</v>
      </c>
      <c r="L96" s="606" t="s">
        <v>882</v>
      </c>
      <c r="M96" s="584"/>
      <c r="N96" s="606" t="s">
        <v>882</v>
      </c>
      <c r="O96" s="584"/>
      <c r="P96" s="606" t="s">
        <v>882</v>
      </c>
      <c r="Q96" s="584"/>
      <c r="R96" s="606" t="s">
        <v>882</v>
      </c>
      <c r="S96" s="584"/>
      <c r="T96" s="606" t="s">
        <v>882</v>
      </c>
      <c r="U96" s="584"/>
      <c r="V96" s="606" t="s">
        <v>882</v>
      </c>
      <c r="W96" s="584"/>
      <c r="X96" s="404"/>
      <c r="Y96" s="584"/>
      <c r="Z96" s="584"/>
      <c r="AA96" s="584"/>
      <c r="AB96" s="585"/>
      <c r="AC96" s="586"/>
      <c r="AD96" s="587"/>
    </row>
    <row r="97" spans="1:30" x14ac:dyDescent="0.45">
      <c r="A97" s="582"/>
      <c r="B97" s="583">
        <v>46070</v>
      </c>
      <c r="C97" s="582"/>
      <c r="D97" s="606" t="s">
        <v>882</v>
      </c>
      <c r="E97" s="584">
        <v>1560</v>
      </c>
      <c r="F97" s="606" t="s">
        <v>882</v>
      </c>
      <c r="G97" s="584"/>
      <c r="H97" s="606" t="s">
        <v>882</v>
      </c>
      <c r="I97" s="584"/>
      <c r="J97" s="606" t="s">
        <v>882</v>
      </c>
      <c r="K97" s="584">
        <v>2570</v>
      </c>
      <c r="L97" s="606" t="s">
        <v>882</v>
      </c>
      <c r="M97" s="584"/>
      <c r="N97" s="606" t="s">
        <v>882</v>
      </c>
      <c r="O97" s="584"/>
      <c r="P97" s="606" t="s">
        <v>882</v>
      </c>
      <c r="Q97" s="584"/>
      <c r="R97" s="606" t="s">
        <v>882</v>
      </c>
      <c r="S97" s="584"/>
      <c r="T97" s="606" t="s">
        <v>882</v>
      </c>
      <c r="U97" s="584"/>
      <c r="V97" s="606" t="s">
        <v>882</v>
      </c>
      <c r="W97" s="584"/>
      <c r="X97" s="404"/>
      <c r="Y97" s="584"/>
      <c r="Z97" s="584"/>
      <c r="AA97" s="584"/>
      <c r="AB97" s="585"/>
      <c r="AC97" s="586"/>
      <c r="AD97" s="587"/>
    </row>
    <row r="98" spans="1:30" x14ac:dyDescent="0.45">
      <c r="A98" s="582"/>
      <c r="B98" s="583">
        <v>46070</v>
      </c>
      <c r="C98" s="582"/>
      <c r="D98" s="606" t="s">
        <v>882</v>
      </c>
      <c r="E98" s="584">
        <v>1585</v>
      </c>
      <c r="F98" s="606" t="s">
        <v>882</v>
      </c>
      <c r="G98" s="584"/>
      <c r="H98" s="606" t="s">
        <v>882</v>
      </c>
      <c r="I98" s="584"/>
      <c r="J98" s="606" t="s">
        <v>882</v>
      </c>
      <c r="K98" s="584">
        <v>2570</v>
      </c>
      <c r="L98" s="606" t="s">
        <v>882</v>
      </c>
      <c r="M98" s="584"/>
      <c r="N98" s="606" t="s">
        <v>882</v>
      </c>
      <c r="O98" s="584"/>
      <c r="P98" s="606" t="s">
        <v>882</v>
      </c>
      <c r="Q98" s="584"/>
      <c r="R98" s="606" t="s">
        <v>882</v>
      </c>
      <c r="S98" s="584"/>
      <c r="T98" s="606" t="s">
        <v>882</v>
      </c>
      <c r="U98" s="584"/>
      <c r="V98" s="606" t="s">
        <v>882</v>
      </c>
      <c r="W98" s="584"/>
      <c r="X98" s="404"/>
      <c r="Y98" s="584"/>
      <c r="Z98" s="584"/>
      <c r="AA98" s="584"/>
      <c r="AB98" s="585"/>
      <c r="AC98" s="586"/>
      <c r="AD98" s="587"/>
    </row>
    <row r="99" spans="1:30" x14ac:dyDescent="0.45">
      <c r="A99" s="582"/>
      <c r="B99" s="583">
        <v>46070</v>
      </c>
      <c r="C99" s="582"/>
      <c r="D99" s="606" t="s">
        <v>882</v>
      </c>
      <c r="E99" s="584"/>
      <c r="F99" s="606" t="s">
        <v>882</v>
      </c>
      <c r="G99" s="584"/>
      <c r="H99" s="606" t="s">
        <v>882</v>
      </c>
      <c r="I99" s="584"/>
      <c r="J99" s="606" t="s">
        <v>882</v>
      </c>
      <c r="K99" s="584">
        <v>2490</v>
      </c>
      <c r="L99" s="606" t="s">
        <v>882</v>
      </c>
      <c r="M99" s="584"/>
      <c r="N99" s="606" t="s">
        <v>882</v>
      </c>
      <c r="O99" s="584"/>
      <c r="P99" s="606" t="s">
        <v>882</v>
      </c>
      <c r="Q99" s="584"/>
      <c r="R99" s="606" t="s">
        <v>882</v>
      </c>
      <c r="S99" s="584"/>
      <c r="T99" s="606" t="s">
        <v>882</v>
      </c>
      <c r="U99" s="584"/>
      <c r="V99" s="606" t="s">
        <v>882</v>
      </c>
      <c r="W99" s="584"/>
      <c r="X99" s="404"/>
      <c r="Y99" s="584"/>
      <c r="Z99" s="584"/>
      <c r="AA99" s="584"/>
      <c r="AB99" s="585"/>
      <c r="AC99" s="586"/>
      <c r="AD99" s="587"/>
    </row>
    <row r="100" spans="1:30" x14ac:dyDescent="0.45">
      <c r="A100" s="582"/>
      <c r="B100" s="583">
        <v>46070</v>
      </c>
      <c r="C100" s="582"/>
      <c r="D100" s="606" t="s">
        <v>882</v>
      </c>
      <c r="E100" s="584"/>
      <c r="F100" s="606" t="s">
        <v>882</v>
      </c>
      <c r="G100" s="584"/>
      <c r="H100" s="606" t="s">
        <v>882</v>
      </c>
      <c r="I100" s="584"/>
      <c r="J100" s="606" t="s">
        <v>882</v>
      </c>
      <c r="K100" s="584">
        <v>2485</v>
      </c>
      <c r="L100" s="606" t="s">
        <v>882</v>
      </c>
      <c r="M100" s="584"/>
      <c r="N100" s="606" t="s">
        <v>882</v>
      </c>
      <c r="O100" s="584"/>
      <c r="P100" s="606" t="s">
        <v>882</v>
      </c>
      <c r="Q100" s="584"/>
      <c r="R100" s="606" t="s">
        <v>882</v>
      </c>
      <c r="S100" s="584"/>
      <c r="T100" s="606" t="s">
        <v>882</v>
      </c>
      <c r="U100" s="584"/>
      <c r="V100" s="606" t="s">
        <v>882</v>
      </c>
      <c r="W100" s="584"/>
      <c r="X100" s="404"/>
      <c r="Y100" s="584"/>
      <c r="Z100" s="584"/>
      <c r="AA100" s="584"/>
      <c r="AB100" s="585"/>
      <c r="AC100" s="586"/>
      <c r="AD100" s="587"/>
    </row>
    <row r="101" spans="1:30" x14ac:dyDescent="0.45">
      <c r="A101" s="582"/>
      <c r="B101" s="583">
        <v>46070</v>
      </c>
      <c r="C101" s="582"/>
      <c r="D101" s="606" t="s">
        <v>882</v>
      </c>
      <c r="E101" s="584"/>
      <c r="F101" s="606" t="s">
        <v>882</v>
      </c>
      <c r="G101" s="584"/>
      <c r="H101" s="606" t="s">
        <v>882</v>
      </c>
      <c r="I101" s="584"/>
      <c r="J101" s="606" t="s">
        <v>882</v>
      </c>
      <c r="K101" s="584">
        <v>2455</v>
      </c>
      <c r="L101" s="606" t="s">
        <v>882</v>
      </c>
      <c r="M101" s="584"/>
      <c r="N101" s="606" t="s">
        <v>882</v>
      </c>
      <c r="O101" s="584"/>
      <c r="P101" s="606" t="s">
        <v>882</v>
      </c>
      <c r="Q101" s="584"/>
      <c r="R101" s="606" t="s">
        <v>882</v>
      </c>
      <c r="S101" s="584"/>
      <c r="T101" s="606" t="s">
        <v>882</v>
      </c>
      <c r="U101" s="584"/>
      <c r="V101" s="606" t="s">
        <v>882</v>
      </c>
      <c r="W101" s="584"/>
      <c r="X101" s="404"/>
      <c r="Y101" s="584"/>
      <c r="Z101" s="584"/>
      <c r="AA101" s="584"/>
      <c r="AB101" s="585"/>
      <c r="AC101" s="586"/>
      <c r="AD101" s="587"/>
    </row>
    <row r="102" spans="1:30" x14ac:dyDescent="0.45">
      <c r="A102" s="582"/>
      <c r="B102" s="583">
        <v>46070</v>
      </c>
      <c r="C102" s="582"/>
      <c r="D102" s="606" t="s">
        <v>882</v>
      </c>
      <c r="E102" s="584"/>
      <c r="F102" s="606" t="s">
        <v>882</v>
      </c>
      <c r="G102" s="584"/>
      <c r="H102" s="606" t="s">
        <v>882</v>
      </c>
      <c r="I102" s="584"/>
      <c r="J102" s="606" t="s">
        <v>882</v>
      </c>
      <c r="K102" s="584">
        <v>2510</v>
      </c>
      <c r="L102" s="606" t="s">
        <v>882</v>
      </c>
      <c r="M102" s="584"/>
      <c r="N102" s="606" t="s">
        <v>882</v>
      </c>
      <c r="O102" s="584"/>
      <c r="P102" s="606" t="s">
        <v>882</v>
      </c>
      <c r="Q102" s="584"/>
      <c r="R102" s="606" t="s">
        <v>882</v>
      </c>
      <c r="S102" s="584"/>
      <c r="T102" s="606" t="s">
        <v>882</v>
      </c>
      <c r="U102" s="584"/>
      <c r="V102" s="606" t="s">
        <v>882</v>
      </c>
      <c r="W102" s="584"/>
      <c r="X102" s="404"/>
      <c r="Y102" s="584"/>
      <c r="Z102" s="584"/>
      <c r="AA102" s="584"/>
      <c r="AB102" s="585"/>
      <c r="AC102" s="586"/>
      <c r="AD102" s="587"/>
    </row>
    <row r="103" spans="1:30" x14ac:dyDescent="0.45">
      <c r="A103" s="582"/>
      <c r="B103" s="583">
        <v>46070</v>
      </c>
      <c r="C103" s="582"/>
      <c r="D103" s="606" t="s">
        <v>882</v>
      </c>
      <c r="E103" s="584"/>
      <c r="F103" s="606" t="s">
        <v>882</v>
      </c>
      <c r="G103" s="584"/>
      <c r="H103" s="606" t="s">
        <v>882</v>
      </c>
      <c r="I103" s="584"/>
      <c r="J103" s="606" t="s">
        <v>882</v>
      </c>
      <c r="K103" s="584">
        <v>2480</v>
      </c>
      <c r="L103" s="606" t="s">
        <v>882</v>
      </c>
      <c r="M103" s="584"/>
      <c r="N103" s="606" t="s">
        <v>882</v>
      </c>
      <c r="O103" s="584"/>
      <c r="P103" s="606" t="s">
        <v>882</v>
      </c>
      <c r="Q103" s="584"/>
      <c r="R103" s="606" t="s">
        <v>882</v>
      </c>
      <c r="S103" s="584"/>
      <c r="T103" s="606" t="s">
        <v>882</v>
      </c>
      <c r="U103" s="584"/>
      <c r="V103" s="606" t="s">
        <v>882</v>
      </c>
      <c r="W103" s="584"/>
      <c r="X103" s="404"/>
      <c r="Y103" s="584"/>
      <c r="Z103" s="584"/>
      <c r="AA103" s="584"/>
      <c r="AB103" s="585"/>
      <c r="AC103" s="586"/>
      <c r="AD103" s="587"/>
    </row>
    <row r="104" spans="1:30" x14ac:dyDescent="0.45">
      <c r="A104" s="582"/>
      <c r="B104" s="583">
        <v>46070</v>
      </c>
      <c r="C104" s="582" t="s">
        <v>154</v>
      </c>
      <c r="D104" s="606" t="s">
        <v>882</v>
      </c>
      <c r="E104" s="584"/>
      <c r="F104" s="606" t="s">
        <v>882</v>
      </c>
      <c r="G104" s="584"/>
      <c r="H104" s="606" t="s">
        <v>882</v>
      </c>
      <c r="I104" s="584"/>
      <c r="J104" s="606" t="s">
        <v>882</v>
      </c>
      <c r="K104" s="584"/>
      <c r="L104" s="606" t="s">
        <v>882</v>
      </c>
      <c r="M104" s="584">
        <v>2455</v>
      </c>
      <c r="N104" s="606" t="s">
        <v>882</v>
      </c>
      <c r="O104" s="584"/>
      <c r="P104" s="606" t="s">
        <v>882</v>
      </c>
      <c r="Q104" s="584"/>
      <c r="R104" s="606" t="s">
        <v>882</v>
      </c>
      <c r="S104" s="584"/>
      <c r="T104" s="606" t="s">
        <v>882</v>
      </c>
      <c r="U104" s="584">
        <v>2525</v>
      </c>
      <c r="V104" s="606" t="s">
        <v>882</v>
      </c>
      <c r="W104" s="584"/>
      <c r="X104" s="404"/>
      <c r="Y104" s="584"/>
      <c r="Z104" s="584"/>
      <c r="AA104" s="584"/>
      <c r="AB104" s="585"/>
      <c r="AC104" s="586"/>
      <c r="AD104" s="587"/>
    </row>
    <row r="105" spans="1:30" x14ac:dyDescent="0.45">
      <c r="A105" s="582"/>
      <c r="B105" s="583">
        <v>46070</v>
      </c>
      <c r="C105" s="582"/>
      <c r="D105" s="606" t="s">
        <v>882</v>
      </c>
      <c r="E105" s="584"/>
      <c r="F105" s="606" t="s">
        <v>882</v>
      </c>
      <c r="G105" s="584"/>
      <c r="H105" s="606" t="s">
        <v>882</v>
      </c>
      <c r="I105" s="584"/>
      <c r="J105" s="606" t="s">
        <v>882</v>
      </c>
      <c r="K105" s="584"/>
      <c r="L105" s="606" t="s">
        <v>882</v>
      </c>
      <c r="M105" s="584">
        <v>2515</v>
      </c>
      <c r="N105" s="606" t="s">
        <v>882</v>
      </c>
      <c r="O105" s="584"/>
      <c r="P105" s="606" t="s">
        <v>882</v>
      </c>
      <c r="Q105" s="584"/>
      <c r="R105" s="606" t="s">
        <v>882</v>
      </c>
      <c r="S105" s="584"/>
      <c r="T105" s="606" t="s">
        <v>882</v>
      </c>
      <c r="U105" s="584">
        <v>2525</v>
      </c>
      <c r="V105" s="606" t="s">
        <v>882</v>
      </c>
      <c r="W105" s="584"/>
      <c r="X105" s="404"/>
      <c r="Y105" s="584"/>
      <c r="Z105" s="584"/>
      <c r="AA105" s="584"/>
      <c r="AB105" s="585"/>
      <c r="AC105" s="586"/>
      <c r="AD105" s="587"/>
    </row>
    <row r="106" spans="1:30" x14ac:dyDescent="0.45">
      <c r="A106" s="582"/>
      <c r="B106" s="583">
        <v>46070</v>
      </c>
      <c r="C106" s="582"/>
      <c r="D106" s="606" t="s">
        <v>882</v>
      </c>
      <c r="E106" s="584"/>
      <c r="F106" s="606" t="s">
        <v>882</v>
      </c>
      <c r="G106" s="584"/>
      <c r="H106" s="606" t="s">
        <v>882</v>
      </c>
      <c r="I106" s="584"/>
      <c r="J106" s="606" t="s">
        <v>882</v>
      </c>
      <c r="K106" s="584"/>
      <c r="L106" s="606" t="s">
        <v>882</v>
      </c>
      <c r="M106" s="584">
        <v>4990</v>
      </c>
      <c r="N106" s="606" t="s">
        <v>882</v>
      </c>
      <c r="O106" s="584"/>
      <c r="P106" s="606" t="s">
        <v>882</v>
      </c>
      <c r="Q106" s="584"/>
      <c r="R106" s="606" t="s">
        <v>882</v>
      </c>
      <c r="S106" s="584"/>
      <c r="T106" s="606" t="s">
        <v>882</v>
      </c>
      <c r="U106" s="584">
        <v>2540</v>
      </c>
      <c r="V106" s="606" t="s">
        <v>882</v>
      </c>
      <c r="W106" s="584"/>
      <c r="X106" s="404"/>
      <c r="Y106" s="584"/>
      <c r="Z106" s="584"/>
      <c r="AA106" s="584"/>
      <c r="AB106" s="585"/>
      <c r="AC106" s="586"/>
      <c r="AD106" s="587"/>
    </row>
    <row r="107" spans="1:30" x14ac:dyDescent="0.45">
      <c r="A107" s="582"/>
      <c r="B107" s="583">
        <v>46070</v>
      </c>
      <c r="C107" s="582"/>
      <c r="D107" s="606" t="s">
        <v>882</v>
      </c>
      <c r="E107" s="584"/>
      <c r="F107" s="606" t="s">
        <v>882</v>
      </c>
      <c r="G107" s="584"/>
      <c r="H107" s="606" t="s">
        <v>882</v>
      </c>
      <c r="I107" s="584"/>
      <c r="J107" s="606" t="s">
        <v>882</v>
      </c>
      <c r="K107" s="584"/>
      <c r="L107" s="606" t="s">
        <v>882</v>
      </c>
      <c r="M107" s="584"/>
      <c r="N107" s="606" t="s">
        <v>882</v>
      </c>
      <c r="O107" s="584"/>
      <c r="P107" s="606" t="s">
        <v>882</v>
      </c>
      <c r="Q107" s="584"/>
      <c r="R107" s="606" t="s">
        <v>882</v>
      </c>
      <c r="S107" s="584"/>
      <c r="T107" s="606" t="s">
        <v>882</v>
      </c>
      <c r="U107" s="584">
        <v>2530</v>
      </c>
      <c r="V107" s="606" t="s">
        <v>882</v>
      </c>
      <c r="W107" s="584"/>
      <c r="X107" s="404"/>
      <c r="Y107" s="584"/>
      <c r="Z107" s="584"/>
      <c r="AA107" s="584"/>
      <c r="AB107" s="585"/>
      <c r="AC107" s="586"/>
      <c r="AD107" s="587"/>
    </row>
    <row r="108" spans="1:30" x14ac:dyDescent="0.45">
      <c r="A108" s="582"/>
      <c r="B108" s="583">
        <v>46070</v>
      </c>
      <c r="C108" s="582"/>
      <c r="D108" s="606" t="s">
        <v>882</v>
      </c>
      <c r="E108" s="584"/>
      <c r="F108" s="606" t="s">
        <v>882</v>
      </c>
      <c r="G108" s="584"/>
      <c r="H108" s="606" t="s">
        <v>882</v>
      </c>
      <c r="I108" s="584"/>
      <c r="J108" s="606" t="s">
        <v>882</v>
      </c>
      <c r="K108" s="584"/>
      <c r="L108" s="606" t="s">
        <v>882</v>
      </c>
      <c r="M108" s="584"/>
      <c r="N108" s="606" t="s">
        <v>882</v>
      </c>
      <c r="O108" s="584"/>
      <c r="P108" s="606" t="s">
        <v>882</v>
      </c>
      <c r="Q108" s="584"/>
      <c r="R108" s="606" t="s">
        <v>882</v>
      </c>
      <c r="S108" s="584"/>
      <c r="T108" s="606" t="s">
        <v>882</v>
      </c>
      <c r="U108" s="584">
        <v>2575</v>
      </c>
      <c r="V108" s="606" t="s">
        <v>882</v>
      </c>
      <c r="W108" s="584"/>
      <c r="X108" s="404"/>
      <c r="Y108" s="584"/>
      <c r="Z108" s="584"/>
      <c r="AA108" s="584"/>
      <c r="AB108" s="585"/>
      <c r="AC108" s="586"/>
      <c r="AD108" s="587"/>
    </row>
    <row r="109" spans="1:30" x14ac:dyDescent="0.45">
      <c r="A109" s="582"/>
      <c r="B109" s="583">
        <v>46070</v>
      </c>
      <c r="C109" s="582"/>
      <c r="D109" s="606" t="s">
        <v>882</v>
      </c>
      <c r="E109" s="584"/>
      <c r="F109" s="606" t="s">
        <v>882</v>
      </c>
      <c r="G109" s="584"/>
      <c r="H109" s="606" t="s">
        <v>882</v>
      </c>
      <c r="I109" s="584"/>
      <c r="J109" s="606" t="s">
        <v>882</v>
      </c>
      <c r="K109" s="584"/>
      <c r="L109" s="606" t="s">
        <v>882</v>
      </c>
      <c r="M109" s="584"/>
      <c r="N109" s="606" t="s">
        <v>882</v>
      </c>
      <c r="O109" s="584"/>
      <c r="P109" s="606" t="s">
        <v>882</v>
      </c>
      <c r="Q109" s="584"/>
      <c r="R109" s="606" t="s">
        <v>882</v>
      </c>
      <c r="S109" s="584"/>
      <c r="T109" s="606" t="s">
        <v>882</v>
      </c>
      <c r="U109" s="584">
        <v>2565</v>
      </c>
      <c r="V109" s="606" t="s">
        <v>882</v>
      </c>
      <c r="W109" s="584"/>
      <c r="X109" s="404">
        <f>SUM(E78:E84,E96:E98,K96:K103,M78:M80,M85:M95,M104:M106,U104:U109)</f>
        <v>100455</v>
      </c>
      <c r="Y109" s="584"/>
      <c r="Z109" s="584"/>
      <c r="AA109" s="584"/>
      <c r="AB109" s="585">
        <f>(X109/1000)*640*AC109</f>
        <v>776637696</v>
      </c>
      <c r="AC109" s="586">
        <v>12080</v>
      </c>
      <c r="AD109" s="587">
        <f>(X109/1000)*640</f>
        <v>64291.199999999997</v>
      </c>
    </row>
    <row r="110" spans="1:30" x14ac:dyDescent="0.45">
      <c r="A110" s="582">
        <v>7</v>
      </c>
      <c r="B110" s="583">
        <v>46094</v>
      </c>
      <c r="C110" s="582"/>
      <c r="D110" s="606" t="s">
        <v>882</v>
      </c>
      <c r="E110" s="584"/>
      <c r="F110" s="606" t="s">
        <v>882</v>
      </c>
      <c r="G110" s="584"/>
      <c r="H110" s="606" t="s">
        <v>882</v>
      </c>
      <c r="I110" s="584"/>
      <c r="J110" s="606" t="s">
        <v>882</v>
      </c>
      <c r="K110" s="584">
        <v>2395</v>
      </c>
      <c r="L110" s="606" t="s">
        <v>882</v>
      </c>
      <c r="M110" s="584">
        <v>2470</v>
      </c>
      <c r="N110" s="606" t="s">
        <v>882</v>
      </c>
      <c r="O110" s="584">
        <v>2485</v>
      </c>
      <c r="P110" s="606" t="s">
        <v>882</v>
      </c>
      <c r="Q110" s="584"/>
      <c r="R110" s="606" t="s">
        <v>882</v>
      </c>
      <c r="S110" s="584">
        <v>2475</v>
      </c>
      <c r="T110" s="606" t="s">
        <v>882</v>
      </c>
      <c r="U110" s="584"/>
      <c r="V110" s="606" t="s">
        <v>882</v>
      </c>
      <c r="W110" s="584">
        <v>2525</v>
      </c>
      <c r="X110" s="404"/>
      <c r="Y110" s="584"/>
      <c r="Z110" s="584"/>
      <c r="AA110" s="584"/>
      <c r="AB110" s="585"/>
      <c r="AC110" s="586"/>
      <c r="AD110" s="587"/>
    </row>
    <row r="111" spans="1:30" x14ac:dyDescent="0.45">
      <c r="A111" s="582" t="s">
        <v>145</v>
      </c>
      <c r="B111" s="583">
        <v>46094</v>
      </c>
      <c r="C111" s="582"/>
      <c r="D111" s="606" t="s">
        <v>882</v>
      </c>
      <c r="E111" s="584"/>
      <c r="F111" s="606" t="s">
        <v>882</v>
      </c>
      <c r="G111" s="584"/>
      <c r="H111" s="606" t="s">
        <v>882</v>
      </c>
      <c r="I111" s="584"/>
      <c r="J111" s="606" t="s">
        <v>882</v>
      </c>
      <c r="K111" s="584">
        <v>2390</v>
      </c>
      <c r="L111" s="606" t="s">
        <v>882</v>
      </c>
      <c r="M111" s="584"/>
      <c r="N111" s="606" t="s">
        <v>882</v>
      </c>
      <c r="O111" s="584"/>
      <c r="P111" s="606" t="s">
        <v>882</v>
      </c>
      <c r="Q111" s="584"/>
      <c r="R111" s="606" t="s">
        <v>882</v>
      </c>
      <c r="S111" s="584"/>
      <c r="T111" s="606" t="s">
        <v>882</v>
      </c>
      <c r="U111" s="584"/>
      <c r="V111" s="606" t="s">
        <v>882</v>
      </c>
      <c r="W111" s="584"/>
      <c r="X111" s="404"/>
      <c r="Y111" s="584"/>
      <c r="Z111" s="584"/>
      <c r="AA111" s="584"/>
      <c r="AB111" s="585"/>
      <c r="AC111" s="586"/>
      <c r="AD111" s="587"/>
    </row>
    <row r="112" spans="1:30" x14ac:dyDescent="0.45">
      <c r="A112" s="582"/>
      <c r="B112" s="583">
        <v>46094</v>
      </c>
      <c r="C112" s="582"/>
      <c r="D112" s="606" t="s">
        <v>882</v>
      </c>
      <c r="E112" s="584"/>
      <c r="F112" s="606" t="s">
        <v>882</v>
      </c>
      <c r="G112" s="584"/>
      <c r="H112" s="606" t="s">
        <v>882</v>
      </c>
      <c r="I112" s="584"/>
      <c r="J112" s="606" t="s">
        <v>882</v>
      </c>
      <c r="K112" s="584">
        <v>2410</v>
      </c>
      <c r="L112" s="606" t="s">
        <v>882</v>
      </c>
      <c r="M112" s="584"/>
      <c r="N112" s="606" t="s">
        <v>882</v>
      </c>
      <c r="O112" s="584"/>
      <c r="P112" s="606" t="s">
        <v>882</v>
      </c>
      <c r="Q112" s="584"/>
      <c r="R112" s="606" t="s">
        <v>882</v>
      </c>
      <c r="S112" s="584"/>
      <c r="T112" s="606" t="s">
        <v>882</v>
      </c>
      <c r="U112" s="584"/>
      <c r="V112" s="606" t="s">
        <v>882</v>
      </c>
      <c r="W112" s="584"/>
      <c r="X112" s="404"/>
      <c r="Y112" s="584"/>
      <c r="Z112" s="584"/>
      <c r="AA112" s="584"/>
      <c r="AB112" s="585"/>
      <c r="AC112" s="586"/>
      <c r="AD112" s="587"/>
    </row>
    <row r="113" spans="1:30" x14ac:dyDescent="0.45">
      <c r="A113" s="582"/>
      <c r="B113" s="583">
        <v>46094</v>
      </c>
      <c r="C113" s="582"/>
      <c r="D113" s="606" t="s">
        <v>882</v>
      </c>
      <c r="E113" s="584"/>
      <c r="F113" s="606" t="s">
        <v>882</v>
      </c>
      <c r="G113" s="584"/>
      <c r="H113" s="606" t="s">
        <v>882</v>
      </c>
      <c r="I113" s="584"/>
      <c r="J113" s="606" t="s">
        <v>882</v>
      </c>
      <c r="K113" s="584">
        <v>2410</v>
      </c>
      <c r="L113" s="606" t="s">
        <v>882</v>
      </c>
      <c r="M113" s="584"/>
      <c r="N113" s="606" t="s">
        <v>882</v>
      </c>
      <c r="O113" s="584"/>
      <c r="P113" s="606" t="s">
        <v>882</v>
      </c>
      <c r="Q113" s="584"/>
      <c r="R113" s="606" t="s">
        <v>882</v>
      </c>
      <c r="S113" s="584"/>
      <c r="T113" s="606" t="s">
        <v>882</v>
      </c>
      <c r="U113" s="584"/>
      <c r="V113" s="606" t="s">
        <v>882</v>
      </c>
      <c r="W113" s="584"/>
      <c r="X113" s="404"/>
      <c r="Y113" s="584"/>
      <c r="Z113" s="584"/>
      <c r="AA113" s="584"/>
      <c r="AB113" s="585"/>
      <c r="AC113" s="586"/>
      <c r="AD113" s="587"/>
    </row>
    <row r="114" spans="1:30" x14ac:dyDescent="0.45">
      <c r="A114" s="582"/>
      <c r="B114" s="583">
        <v>46094</v>
      </c>
      <c r="C114" s="582"/>
      <c r="D114" s="606" t="s">
        <v>882</v>
      </c>
      <c r="E114" s="584"/>
      <c r="F114" s="606" t="s">
        <v>882</v>
      </c>
      <c r="G114" s="584"/>
      <c r="H114" s="606" t="s">
        <v>882</v>
      </c>
      <c r="I114" s="584"/>
      <c r="J114" s="606" t="s">
        <v>882</v>
      </c>
      <c r="K114" s="584">
        <v>2415</v>
      </c>
      <c r="L114" s="606" t="s">
        <v>882</v>
      </c>
      <c r="M114" s="584"/>
      <c r="N114" s="606" t="s">
        <v>882</v>
      </c>
      <c r="O114" s="584"/>
      <c r="P114" s="606" t="s">
        <v>882</v>
      </c>
      <c r="Q114" s="584"/>
      <c r="R114" s="606" t="s">
        <v>882</v>
      </c>
      <c r="S114" s="584"/>
      <c r="T114" s="606" t="s">
        <v>882</v>
      </c>
      <c r="U114" s="584"/>
      <c r="V114" s="606" t="s">
        <v>882</v>
      </c>
      <c r="W114" s="584"/>
      <c r="X114" s="404"/>
      <c r="Y114" s="584"/>
      <c r="Z114" s="584"/>
      <c r="AA114" s="584"/>
      <c r="AB114" s="585"/>
      <c r="AC114" s="586"/>
      <c r="AD114" s="587"/>
    </row>
    <row r="115" spans="1:30" x14ac:dyDescent="0.45">
      <c r="A115" s="582"/>
      <c r="B115" s="583">
        <v>46094</v>
      </c>
      <c r="C115" s="582"/>
      <c r="D115" s="606" t="s">
        <v>882</v>
      </c>
      <c r="E115" s="584"/>
      <c r="F115" s="606" t="s">
        <v>882</v>
      </c>
      <c r="G115" s="584"/>
      <c r="H115" s="606" t="s">
        <v>882</v>
      </c>
      <c r="I115" s="584"/>
      <c r="J115" s="606" t="s">
        <v>882</v>
      </c>
      <c r="K115" s="584">
        <v>2345</v>
      </c>
      <c r="L115" s="606" t="s">
        <v>882</v>
      </c>
      <c r="M115" s="584"/>
      <c r="N115" s="606" t="s">
        <v>882</v>
      </c>
      <c r="O115" s="584"/>
      <c r="P115" s="606" t="s">
        <v>882</v>
      </c>
      <c r="Q115" s="584"/>
      <c r="R115" s="606" t="s">
        <v>882</v>
      </c>
      <c r="S115" s="584"/>
      <c r="T115" s="606" t="s">
        <v>882</v>
      </c>
      <c r="U115" s="584"/>
      <c r="V115" s="606" t="s">
        <v>882</v>
      </c>
      <c r="W115" s="584"/>
      <c r="X115" s="404">
        <f>SUM(K110:K115,M110,O110,S110,W110)</f>
        <v>24320</v>
      </c>
      <c r="Y115" s="584"/>
      <c r="Z115" s="584"/>
      <c r="AA115" s="584"/>
      <c r="AB115" s="585">
        <f>(X115/1000)*640*AC115</f>
        <v>188178432</v>
      </c>
      <c r="AC115" s="586">
        <v>12090</v>
      </c>
      <c r="AD115" s="587">
        <f>(X115/1000)*640</f>
        <v>15564.8</v>
      </c>
    </row>
    <row r="116" spans="1:30" x14ac:dyDescent="0.45">
      <c r="A116" s="582">
        <v>8</v>
      </c>
      <c r="B116" s="583">
        <v>46097</v>
      </c>
      <c r="C116" s="582"/>
      <c r="D116" s="606" t="s">
        <v>882</v>
      </c>
      <c r="E116" s="584"/>
      <c r="F116" s="606" t="s">
        <v>882</v>
      </c>
      <c r="G116" s="584"/>
      <c r="H116" s="606" t="s">
        <v>882</v>
      </c>
      <c r="I116" s="584"/>
      <c r="J116" s="606" t="s">
        <v>882</v>
      </c>
      <c r="K116" s="584">
        <v>2415</v>
      </c>
      <c r="L116" s="606" t="s">
        <v>882</v>
      </c>
      <c r="M116" s="584"/>
      <c r="N116" s="606" t="s">
        <v>882</v>
      </c>
      <c r="O116" s="584"/>
      <c r="P116" s="606" t="s">
        <v>882</v>
      </c>
      <c r="Q116" s="584"/>
      <c r="R116" s="606" t="s">
        <v>882</v>
      </c>
      <c r="S116" s="584"/>
      <c r="T116" s="606" t="s">
        <v>882</v>
      </c>
      <c r="U116" s="584"/>
      <c r="V116" s="606" t="s">
        <v>882</v>
      </c>
      <c r="W116" s="584"/>
      <c r="X116" s="404"/>
      <c r="Y116" s="584"/>
      <c r="Z116" s="584"/>
      <c r="AA116" s="584"/>
      <c r="AB116" s="585"/>
      <c r="AC116" s="586"/>
      <c r="AD116" s="587"/>
    </row>
    <row r="117" spans="1:30" x14ac:dyDescent="0.45">
      <c r="A117" s="582" t="s">
        <v>145</v>
      </c>
      <c r="B117" s="583">
        <v>46097</v>
      </c>
      <c r="C117" s="582"/>
      <c r="D117" s="606" t="s">
        <v>882</v>
      </c>
      <c r="E117" s="584"/>
      <c r="F117" s="606" t="s">
        <v>882</v>
      </c>
      <c r="G117" s="584"/>
      <c r="H117" s="606" t="s">
        <v>882</v>
      </c>
      <c r="I117" s="584"/>
      <c r="J117" s="606" t="s">
        <v>882</v>
      </c>
      <c r="K117" s="584">
        <v>2510</v>
      </c>
      <c r="L117" s="606" t="s">
        <v>882</v>
      </c>
      <c r="M117" s="584"/>
      <c r="N117" s="606" t="s">
        <v>882</v>
      </c>
      <c r="O117" s="584"/>
      <c r="P117" s="606" t="s">
        <v>882</v>
      </c>
      <c r="Q117" s="584"/>
      <c r="R117" s="606" t="s">
        <v>882</v>
      </c>
      <c r="S117" s="584"/>
      <c r="T117" s="606" t="s">
        <v>882</v>
      </c>
      <c r="U117" s="584"/>
      <c r="V117" s="606" t="s">
        <v>882</v>
      </c>
      <c r="W117" s="584"/>
      <c r="X117" s="404"/>
      <c r="Y117" s="584"/>
      <c r="Z117" s="584"/>
      <c r="AA117" s="584"/>
      <c r="AB117" s="585"/>
      <c r="AC117" s="586"/>
      <c r="AD117" s="587"/>
    </row>
    <row r="118" spans="1:30" x14ac:dyDescent="0.45">
      <c r="A118" s="582"/>
      <c r="B118" s="583">
        <v>46097</v>
      </c>
      <c r="C118" s="582"/>
      <c r="D118" s="606" t="s">
        <v>882</v>
      </c>
      <c r="E118" s="584"/>
      <c r="F118" s="606" t="s">
        <v>882</v>
      </c>
      <c r="G118" s="584"/>
      <c r="H118" s="606" t="s">
        <v>882</v>
      </c>
      <c r="I118" s="584"/>
      <c r="J118" s="606" t="s">
        <v>882</v>
      </c>
      <c r="K118" s="584">
        <v>2445</v>
      </c>
      <c r="L118" s="606" t="s">
        <v>882</v>
      </c>
      <c r="M118" s="584"/>
      <c r="N118" s="606" t="s">
        <v>882</v>
      </c>
      <c r="O118" s="584"/>
      <c r="P118" s="606" t="s">
        <v>882</v>
      </c>
      <c r="Q118" s="584"/>
      <c r="R118" s="606" t="s">
        <v>882</v>
      </c>
      <c r="S118" s="584"/>
      <c r="T118" s="606" t="s">
        <v>882</v>
      </c>
      <c r="U118" s="584"/>
      <c r="V118" s="606" t="s">
        <v>882</v>
      </c>
      <c r="W118" s="584"/>
      <c r="X118" s="404"/>
      <c r="Y118" s="584"/>
      <c r="Z118" s="584"/>
      <c r="AA118" s="584"/>
      <c r="AB118" s="585"/>
      <c r="AC118" s="586"/>
      <c r="AD118" s="587"/>
    </row>
    <row r="119" spans="1:30" x14ac:dyDescent="0.45">
      <c r="A119" s="582"/>
      <c r="B119" s="583">
        <v>46097</v>
      </c>
      <c r="C119" s="582"/>
      <c r="D119" s="606" t="s">
        <v>882</v>
      </c>
      <c r="E119" s="584"/>
      <c r="F119" s="606" t="s">
        <v>882</v>
      </c>
      <c r="G119" s="584"/>
      <c r="H119" s="606" t="s">
        <v>882</v>
      </c>
      <c r="I119" s="584"/>
      <c r="J119" s="606" t="s">
        <v>882</v>
      </c>
      <c r="K119" s="584">
        <v>2450</v>
      </c>
      <c r="L119" s="606" t="s">
        <v>882</v>
      </c>
      <c r="M119" s="584"/>
      <c r="N119" s="606" t="s">
        <v>882</v>
      </c>
      <c r="O119" s="584"/>
      <c r="P119" s="606" t="s">
        <v>882</v>
      </c>
      <c r="Q119" s="584"/>
      <c r="R119" s="606" t="s">
        <v>882</v>
      </c>
      <c r="S119" s="584"/>
      <c r="T119" s="606" t="s">
        <v>882</v>
      </c>
      <c r="U119" s="584"/>
      <c r="V119" s="606" t="s">
        <v>882</v>
      </c>
      <c r="W119" s="584"/>
      <c r="X119" s="404"/>
      <c r="Y119" s="584"/>
      <c r="Z119" s="584"/>
      <c r="AA119" s="584"/>
      <c r="AB119" s="585"/>
      <c r="AC119" s="586"/>
      <c r="AD119" s="587"/>
    </row>
    <row r="120" spans="1:30" x14ac:dyDescent="0.45">
      <c r="A120" s="582"/>
      <c r="B120" s="583">
        <v>46097</v>
      </c>
      <c r="C120" s="582"/>
      <c r="D120" s="606" t="s">
        <v>882</v>
      </c>
      <c r="E120" s="584"/>
      <c r="F120" s="606" t="s">
        <v>882</v>
      </c>
      <c r="G120" s="584"/>
      <c r="H120" s="606" t="s">
        <v>882</v>
      </c>
      <c r="I120" s="584"/>
      <c r="J120" s="606" t="s">
        <v>882</v>
      </c>
      <c r="K120" s="584">
        <v>2485</v>
      </c>
      <c r="L120" s="606" t="s">
        <v>882</v>
      </c>
      <c r="M120" s="584"/>
      <c r="N120" s="606" t="s">
        <v>882</v>
      </c>
      <c r="O120" s="584"/>
      <c r="P120" s="606" t="s">
        <v>882</v>
      </c>
      <c r="Q120" s="584"/>
      <c r="R120" s="606" t="s">
        <v>882</v>
      </c>
      <c r="S120" s="584"/>
      <c r="T120" s="606" t="s">
        <v>882</v>
      </c>
      <c r="U120" s="584"/>
      <c r="V120" s="606" t="s">
        <v>882</v>
      </c>
      <c r="W120" s="584"/>
      <c r="X120" s="404"/>
      <c r="Y120" s="584"/>
      <c r="Z120" s="584"/>
      <c r="AA120" s="584"/>
      <c r="AB120" s="585"/>
      <c r="AC120" s="586"/>
      <c r="AD120" s="587"/>
    </row>
    <row r="121" spans="1:30" x14ac:dyDescent="0.45">
      <c r="A121" s="582"/>
      <c r="B121" s="583">
        <v>46097</v>
      </c>
      <c r="C121" s="582"/>
      <c r="D121" s="606" t="s">
        <v>882</v>
      </c>
      <c r="E121" s="584"/>
      <c r="F121" s="606" t="s">
        <v>882</v>
      </c>
      <c r="G121" s="584"/>
      <c r="H121" s="606" t="s">
        <v>882</v>
      </c>
      <c r="I121" s="584"/>
      <c r="J121" s="606" t="s">
        <v>882</v>
      </c>
      <c r="K121" s="584">
        <v>2495</v>
      </c>
      <c r="L121" s="606" t="s">
        <v>882</v>
      </c>
      <c r="M121" s="584"/>
      <c r="N121" s="606" t="s">
        <v>882</v>
      </c>
      <c r="O121" s="584"/>
      <c r="P121" s="606" t="s">
        <v>882</v>
      </c>
      <c r="Q121" s="584"/>
      <c r="R121" s="606" t="s">
        <v>882</v>
      </c>
      <c r="S121" s="584"/>
      <c r="T121" s="606" t="s">
        <v>882</v>
      </c>
      <c r="U121" s="584"/>
      <c r="V121" s="606" t="s">
        <v>882</v>
      </c>
      <c r="W121" s="584"/>
      <c r="X121" s="404"/>
      <c r="Y121" s="584"/>
      <c r="Z121" s="584"/>
      <c r="AA121" s="584"/>
      <c r="AB121" s="585"/>
      <c r="AC121" s="586"/>
      <c r="AD121" s="587"/>
    </row>
    <row r="122" spans="1:30" x14ac:dyDescent="0.45">
      <c r="A122" s="582"/>
      <c r="B122" s="583">
        <v>46097</v>
      </c>
      <c r="C122" s="582"/>
      <c r="D122" s="606" t="s">
        <v>882</v>
      </c>
      <c r="E122" s="584"/>
      <c r="F122" s="606" t="s">
        <v>882</v>
      </c>
      <c r="G122" s="584"/>
      <c r="H122" s="606" t="s">
        <v>882</v>
      </c>
      <c r="I122" s="584"/>
      <c r="J122" s="606" t="s">
        <v>882</v>
      </c>
      <c r="K122" s="584">
        <v>2540</v>
      </c>
      <c r="L122" s="606" t="s">
        <v>882</v>
      </c>
      <c r="M122" s="584"/>
      <c r="N122" s="606" t="s">
        <v>882</v>
      </c>
      <c r="O122" s="584"/>
      <c r="P122" s="606" t="s">
        <v>882</v>
      </c>
      <c r="Q122" s="584"/>
      <c r="R122" s="606" t="s">
        <v>882</v>
      </c>
      <c r="S122" s="584"/>
      <c r="T122" s="606" t="s">
        <v>882</v>
      </c>
      <c r="U122" s="584"/>
      <c r="V122" s="606" t="s">
        <v>882</v>
      </c>
      <c r="W122" s="584"/>
      <c r="X122" s="404"/>
      <c r="Y122" s="584"/>
      <c r="Z122" s="584"/>
      <c r="AA122" s="584"/>
      <c r="AB122" s="585"/>
      <c r="AC122" s="586"/>
      <c r="AD122" s="587"/>
    </row>
    <row r="123" spans="1:30" x14ac:dyDescent="0.45">
      <c r="A123" s="582"/>
      <c r="B123" s="583">
        <v>46097</v>
      </c>
      <c r="C123" s="582"/>
      <c r="D123" s="606" t="s">
        <v>882</v>
      </c>
      <c r="E123" s="584"/>
      <c r="F123" s="606" t="s">
        <v>882</v>
      </c>
      <c r="G123" s="584"/>
      <c r="H123" s="606" t="s">
        <v>882</v>
      </c>
      <c r="I123" s="584"/>
      <c r="J123" s="606" t="s">
        <v>882</v>
      </c>
      <c r="K123" s="584">
        <v>2490</v>
      </c>
      <c r="L123" s="606" t="s">
        <v>882</v>
      </c>
      <c r="M123" s="584"/>
      <c r="N123" s="606" t="s">
        <v>882</v>
      </c>
      <c r="O123" s="584"/>
      <c r="P123" s="606" t="s">
        <v>882</v>
      </c>
      <c r="Q123" s="584"/>
      <c r="R123" s="606" t="s">
        <v>882</v>
      </c>
      <c r="S123" s="584"/>
      <c r="T123" s="606" t="s">
        <v>882</v>
      </c>
      <c r="U123" s="584"/>
      <c r="V123" s="606" t="s">
        <v>882</v>
      </c>
      <c r="W123" s="584"/>
      <c r="X123" s="404"/>
      <c r="Y123" s="584"/>
      <c r="Z123" s="584"/>
      <c r="AA123" s="584"/>
      <c r="AB123" s="585"/>
      <c r="AC123" s="586"/>
      <c r="AD123" s="587"/>
    </row>
    <row r="124" spans="1:30" x14ac:dyDescent="0.45">
      <c r="A124" s="582"/>
      <c r="B124" s="583">
        <v>46097</v>
      </c>
      <c r="C124" s="582"/>
      <c r="D124" s="606" t="s">
        <v>882</v>
      </c>
      <c r="E124" s="584"/>
      <c r="F124" s="606" t="s">
        <v>882</v>
      </c>
      <c r="G124" s="584"/>
      <c r="H124" s="606" t="s">
        <v>882</v>
      </c>
      <c r="I124" s="584"/>
      <c r="J124" s="606" t="s">
        <v>882</v>
      </c>
      <c r="K124" s="584">
        <v>2485</v>
      </c>
      <c r="L124" s="606" t="s">
        <v>882</v>
      </c>
      <c r="M124" s="584"/>
      <c r="N124" s="606" t="s">
        <v>882</v>
      </c>
      <c r="O124" s="584"/>
      <c r="P124" s="606" t="s">
        <v>882</v>
      </c>
      <c r="Q124" s="584"/>
      <c r="R124" s="606" t="s">
        <v>882</v>
      </c>
      <c r="S124" s="584"/>
      <c r="T124" s="606" t="s">
        <v>882</v>
      </c>
      <c r="U124" s="584"/>
      <c r="V124" s="606" t="s">
        <v>882</v>
      </c>
      <c r="W124" s="584"/>
      <c r="X124" s="404"/>
      <c r="Y124" s="584"/>
      <c r="Z124" s="584"/>
      <c r="AA124" s="584"/>
      <c r="AB124" s="585"/>
      <c r="AC124" s="586"/>
      <c r="AD124" s="587"/>
    </row>
    <row r="125" spans="1:30" x14ac:dyDescent="0.45">
      <c r="A125" s="582"/>
      <c r="B125" s="583">
        <v>46097</v>
      </c>
      <c r="C125" s="582"/>
      <c r="D125" s="606" t="s">
        <v>882</v>
      </c>
      <c r="E125" s="584"/>
      <c r="F125" s="606" t="s">
        <v>882</v>
      </c>
      <c r="G125" s="584"/>
      <c r="H125" s="606" t="s">
        <v>882</v>
      </c>
      <c r="I125" s="584"/>
      <c r="J125" s="606" t="s">
        <v>882</v>
      </c>
      <c r="K125" s="584">
        <v>2380</v>
      </c>
      <c r="L125" s="606" t="s">
        <v>882</v>
      </c>
      <c r="M125" s="584"/>
      <c r="N125" s="606" t="s">
        <v>882</v>
      </c>
      <c r="O125" s="584"/>
      <c r="P125" s="606" t="s">
        <v>882</v>
      </c>
      <c r="Q125" s="584"/>
      <c r="R125" s="606" t="s">
        <v>882</v>
      </c>
      <c r="S125" s="584"/>
      <c r="T125" s="606" t="s">
        <v>882</v>
      </c>
      <c r="U125" s="584"/>
      <c r="V125" s="606" t="s">
        <v>882</v>
      </c>
      <c r="W125" s="584"/>
      <c r="X125" s="404">
        <f>SUM(K116:K125)</f>
        <v>24695</v>
      </c>
      <c r="Y125" s="584"/>
      <c r="Z125" s="584"/>
      <c r="AA125" s="584"/>
      <c r="AB125" s="585">
        <f>(X125/1000)*640*AC125</f>
        <v>190289792</v>
      </c>
      <c r="AC125" s="586">
        <v>12040</v>
      </c>
      <c r="AD125" s="587">
        <f>(X125/1000)*640</f>
        <v>15804.8</v>
      </c>
    </row>
    <row r="126" spans="1:30" x14ac:dyDescent="0.45">
      <c r="A126" s="582">
        <v>9</v>
      </c>
      <c r="B126" s="583">
        <v>46103</v>
      </c>
      <c r="C126" s="582"/>
      <c r="D126" s="606" t="s">
        <v>882</v>
      </c>
      <c r="E126" s="584">
        <v>1595</v>
      </c>
      <c r="F126" s="606" t="s">
        <v>882</v>
      </c>
      <c r="G126" s="584">
        <v>1575</v>
      </c>
      <c r="H126" s="606" t="s">
        <v>882</v>
      </c>
      <c r="I126" s="584">
        <v>1095</v>
      </c>
      <c r="J126" s="606" t="s">
        <v>882</v>
      </c>
      <c r="K126" s="584"/>
      <c r="L126" s="606" t="s">
        <v>882</v>
      </c>
      <c r="M126" s="584"/>
      <c r="N126" s="606" t="s">
        <v>882</v>
      </c>
      <c r="O126" s="584"/>
      <c r="P126" s="606" t="s">
        <v>882</v>
      </c>
      <c r="Q126" s="584"/>
      <c r="R126" s="606" t="s">
        <v>882</v>
      </c>
      <c r="S126" s="584"/>
      <c r="T126" s="606" t="s">
        <v>882</v>
      </c>
      <c r="U126" s="584">
        <v>2500</v>
      </c>
      <c r="V126" s="606" t="s">
        <v>882</v>
      </c>
      <c r="W126" s="584"/>
      <c r="X126" s="404"/>
      <c r="Y126" s="584"/>
      <c r="Z126" s="584"/>
      <c r="AA126" s="584"/>
      <c r="AB126" s="585"/>
      <c r="AC126" s="586"/>
      <c r="AD126" s="587"/>
    </row>
    <row r="127" spans="1:30" x14ac:dyDescent="0.45">
      <c r="A127" s="582" t="s">
        <v>145</v>
      </c>
      <c r="B127" s="583">
        <v>46103</v>
      </c>
      <c r="C127" s="582"/>
      <c r="D127" s="606" t="s">
        <v>882</v>
      </c>
      <c r="E127" s="584">
        <v>1560</v>
      </c>
      <c r="F127" s="606" t="s">
        <v>882</v>
      </c>
      <c r="G127" s="584"/>
      <c r="H127" s="606" t="s">
        <v>882</v>
      </c>
      <c r="I127" s="584">
        <v>1540</v>
      </c>
      <c r="J127" s="606" t="s">
        <v>882</v>
      </c>
      <c r="K127" s="584"/>
      <c r="L127" s="606" t="s">
        <v>882</v>
      </c>
      <c r="M127" s="584"/>
      <c r="N127" s="606" t="s">
        <v>882</v>
      </c>
      <c r="O127" s="584"/>
      <c r="P127" s="606" t="s">
        <v>882</v>
      </c>
      <c r="Q127" s="584"/>
      <c r="R127" s="606" t="s">
        <v>882</v>
      </c>
      <c r="S127" s="584"/>
      <c r="T127" s="606" t="s">
        <v>882</v>
      </c>
      <c r="U127" s="584">
        <v>2490</v>
      </c>
      <c r="V127" s="606" t="s">
        <v>882</v>
      </c>
      <c r="W127" s="584"/>
      <c r="X127" s="404"/>
      <c r="Y127" s="584"/>
      <c r="Z127" s="584"/>
      <c r="AA127" s="584"/>
      <c r="AB127" s="585"/>
      <c r="AC127" s="586"/>
      <c r="AD127" s="587"/>
    </row>
    <row r="128" spans="1:30" x14ac:dyDescent="0.45">
      <c r="A128" s="582"/>
      <c r="B128" s="583">
        <v>46103</v>
      </c>
      <c r="C128" s="582"/>
      <c r="D128" s="606" t="s">
        <v>882</v>
      </c>
      <c r="E128" s="584">
        <v>1555</v>
      </c>
      <c r="F128" s="606" t="s">
        <v>882</v>
      </c>
      <c r="G128" s="584"/>
      <c r="H128" s="606" t="s">
        <v>882</v>
      </c>
      <c r="I128" s="584">
        <v>3120</v>
      </c>
      <c r="J128" s="606" t="s">
        <v>882</v>
      </c>
      <c r="K128" s="584"/>
      <c r="L128" s="606" t="s">
        <v>882</v>
      </c>
      <c r="M128" s="584"/>
      <c r="N128" s="606" t="s">
        <v>882</v>
      </c>
      <c r="O128" s="584"/>
      <c r="P128" s="606" t="s">
        <v>882</v>
      </c>
      <c r="Q128" s="584"/>
      <c r="R128" s="606" t="s">
        <v>882</v>
      </c>
      <c r="S128" s="584"/>
      <c r="T128" s="606" t="s">
        <v>882</v>
      </c>
      <c r="U128" s="584"/>
      <c r="V128" s="606" t="s">
        <v>882</v>
      </c>
      <c r="W128" s="584"/>
      <c r="X128" s="404"/>
      <c r="Y128" s="584"/>
      <c r="Z128" s="584"/>
      <c r="AA128" s="584"/>
      <c r="AB128" s="585"/>
      <c r="AC128" s="586"/>
      <c r="AD128" s="587"/>
    </row>
    <row r="129" spans="1:30" x14ac:dyDescent="0.45">
      <c r="A129" s="582"/>
      <c r="B129" s="583">
        <v>46103</v>
      </c>
      <c r="C129" s="582"/>
      <c r="D129" s="606" t="s">
        <v>882</v>
      </c>
      <c r="E129" s="584">
        <v>1595</v>
      </c>
      <c r="F129" s="606" t="s">
        <v>882</v>
      </c>
      <c r="G129" s="584"/>
      <c r="H129" s="606" t="s">
        <v>882</v>
      </c>
      <c r="I129" s="584">
        <v>3085</v>
      </c>
      <c r="J129" s="606" t="s">
        <v>882</v>
      </c>
      <c r="K129" s="584"/>
      <c r="L129" s="606" t="s">
        <v>882</v>
      </c>
      <c r="M129" s="584"/>
      <c r="N129" s="606" t="s">
        <v>882</v>
      </c>
      <c r="O129" s="584"/>
      <c r="P129" s="606" t="s">
        <v>882</v>
      </c>
      <c r="Q129" s="584"/>
      <c r="R129" s="606" t="s">
        <v>882</v>
      </c>
      <c r="S129" s="584"/>
      <c r="T129" s="606" t="s">
        <v>882</v>
      </c>
      <c r="U129" s="584"/>
      <c r="V129" s="606" t="s">
        <v>882</v>
      </c>
      <c r="W129" s="584"/>
      <c r="X129" s="404"/>
      <c r="Y129" s="584"/>
      <c r="Z129" s="584"/>
      <c r="AA129" s="584"/>
      <c r="AB129" s="585"/>
      <c r="AC129" s="586"/>
      <c r="AD129" s="587"/>
    </row>
    <row r="130" spans="1:30" x14ac:dyDescent="0.45">
      <c r="A130" s="582"/>
      <c r="B130" s="583">
        <v>46103</v>
      </c>
      <c r="C130" s="582"/>
      <c r="D130" s="606" t="s">
        <v>882</v>
      </c>
      <c r="E130" s="584"/>
      <c r="F130" s="606" t="s">
        <v>882</v>
      </c>
      <c r="G130" s="584"/>
      <c r="H130" s="606" t="s">
        <v>882</v>
      </c>
      <c r="I130" s="584">
        <v>3100</v>
      </c>
      <c r="J130" s="606" t="s">
        <v>882</v>
      </c>
      <c r="K130" s="584"/>
      <c r="L130" s="606" t="s">
        <v>882</v>
      </c>
      <c r="M130" s="584"/>
      <c r="N130" s="606" t="s">
        <v>882</v>
      </c>
      <c r="O130" s="584"/>
      <c r="P130" s="606" t="s">
        <v>882</v>
      </c>
      <c r="Q130" s="584"/>
      <c r="R130" s="606" t="s">
        <v>882</v>
      </c>
      <c r="S130" s="584"/>
      <c r="T130" s="606" t="s">
        <v>882</v>
      </c>
      <c r="U130" s="584"/>
      <c r="V130" s="606" t="s">
        <v>882</v>
      </c>
      <c r="W130" s="584"/>
      <c r="X130" s="404">
        <f>SUM(U126:U127,I126:I130,G126,E126:E129)</f>
        <v>24810</v>
      </c>
      <c r="Y130" s="584"/>
      <c r="Z130" s="584"/>
      <c r="AA130" s="584"/>
      <c r="AB130" s="585">
        <f>(X130/1000)*640*AC130</f>
        <v>192684384</v>
      </c>
      <c r="AC130" s="586">
        <v>12135</v>
      </c>
      <c r="AD130" s="587">
        <f>(X130/1000)*640</f>
        <v>15878.4</v>
      </c>
    </row>
    <row r="131" spans="1:30" x14ac:dyDescent="0.45">
      <c r="A131" s="582">
        <v>10</v>
      </c>
      <c r="B131" s="583">
        <v>46118</v>
      </c>
      <c r="C131" s="582"/>
      <c r="D131" s="606" t="s">
        <v>882</v>
      </c>
      <c r="E131" s="584"/>
      <c r="F131" s="606" t="s">
        <v>882</v>
      </c>
      <c r="G131" s="584"/>
      <c r="H131" s="606" t="s">
        <v>882</v>
      </c>
      <c r="I131" s="584"/>
      <c r="J131" s="606" t="s">
        <v>882</v>
      </c>
      <c r="K131" s="584">
        <v>2550</v>
      </c>
      <c r="L131" s="606" t="s">
        <v>882</v>
      </c>
      <c r="M131" s="584"/>
      <c r="N131" s="606" t="s">
        <v>882</v>
      </c>
      <c r="O131" s="584"/>
      <c r="P131" s="606" t="s">
        <v>882</v>
      </c>
      <c r="Q131" s="584"/>
      <c r="R131" s="606" t="s">
        <v>882</v>
      </c>
      <c r="S131" s="584"/>
      <c r="T131" s="606" t="s">
        <v>882</v>
      </c>
      <c r="U131" s="584">
        <v>4950</v>
      </c>
      <c r="V131" s="606" t="s">
        <v>882</v>
      </c>
      <c r="W131" s="584"/>
      <c r="X131" s="404"/>
      <c r="Y131" s="584"/>
      <c r="Z131" s="584"/>
      <c r="AA131" s="584"/>
      <c r="AB131" s="585"/>
      <c r="AC131" s="586"/>
      <c r="AD131" s="587"/>
    </row>
    <row r="132" spans="1:30" x14ac:dyDescent="0.45">
      <c r="A132" s="582" t="s">
        <v>145</v>
      </c>
      <c r="B132" s="583">
        <v>46118</v>
      </c>
      <c r="C132" s="582"/>
      <c r="D132" s="606" t="s">
        <v>882</v>
      </c>
      <c r="E132" s="584"/>
      <c r="F132" s="606" t="s">
        <v>882</v>
      </c>
      <c r="G132" s="584"/>
      <c r="H132" s="606" t="s">
        <v>882</v>
      </c>
      <c r="I132" s="584"/>
      <c r="J132" s="606" t="s">
        <v>882</v>
      </c>
      <c r="K132" s="584">
        <v>2575</v>
      </c>
      <c r="L132" s="606" t="s">
        <v>882</v>
      </c>
      <c r="M132" s="584"/>
      <c r="N132" s="606" t="s">
        <v>882</v>
      </c>
      <c r="O132" s="584"/>
      <c r="P132" s="606" t="s">
        <v>882</v>
      </c>
      <c r="Q132" s="584"/>
      <c r="R132" s="606" t="s">
        <v>882</v>
      </c>
      <c r="S132" s="584"/>
      <c r="T132" s="606" t="s">
        <v>882</v>
      </c>
      <c r="U132" s="584">
        <v>4950</v>
      </c>
      <c r="V132" s="606" t="s">
        <v>882</v>
      </c>
      <c r="W132" s="584"/>
      <c r="X132" s="404"/>
      <c r="Y132" s="584"/>
      <c r="Z132" s="584"/>
      <c r="AA132" s="584"/>
      <c r="AB132" s="585"/>
      <c r="AC132" s="586"/>
      <c r="AD132" s="587"/>
    </row>
    <row r="133" spans="1:30" x14ac:dyDescent="0.45">
      <c r="A133" s="582"/>
      <c r="B133" s="583">
        <v>46118</v>
      </c>
      <c r="C133" s="582"/>
      <c r="D133" s="606" t="s">
        <v>882</v>
      </c>
      <c r="E133" s="584"/>
      <c r="F133" s="606" t="s">
        <v>882</v>
      </c>
      <c r="G133" s="584"/>
      <c r="H133" s="606" t="s">
        <v>882</v>
      </c>
      <c r="I133" s="584"/>
      <c r="J133" s="606" t="s">
        <v>882</v>
      </c>
      <c r="K133" s="584">
        <v>2450</v>
      </c>
      <c r="L133" s="606" t="s">
        <v>882</v>
      </c>
      <c r="M133" s="584"/>
      <c r="N133" s="606" t="s">
        <v>882</v>
      </c>
      <c r="O133" s="584"/>
      <c r="P133" s="606" t="s">
        <v>882</v>
      </c>
      <c r="Q133" s="584"/>
      <c r="R133" s="606" t="s">
        <v>882</v>
      </c>
      <c r="S133" s="584"/>
      <c r="T133" s="606" t="s">
        <v>882</v>
      </c>
      <c r="U133" s="584">
        <v>4935</v>
      </c>
      <c r="V133" s="606" t="s">
        <v>882</v>
      </c>
      <c r="W133" s="584"/>
      <c r="X133" s="404"/>
      <c r="Y133" s="584"/>
      <c r="Z133" s="584"/>
      <c r="AA133" s="584"/>
      <c r="AB133" s="585"/>
      <c r="AC133" s="586"/>
      <c r="AD133" s="587"/>
    </row>
    <row r="134" spans="1:30" x14ac:dyDescent="0.45">
      <c r="A134" s="582"/>
      <c r="B134" s="583">
        <v>46118</v>
      </c>
      <c r="C134" s="582"/>
      <c r="D134" s="606" t="s">
        <v>882</v>
      </c>
      <c r="E134" s="584"/>
      <c r="F134" s="606" t="s">
        <v>882</v>
      </c>
      <c r="G134" s="584"/>
      <c r="H134" s="606" t="s">
        <v>882</v>
      </c>
      <c r="I134" s="584"/>
      <c r="J134" s="606" t="s">
        <v>882</v>
      </c>
      <c r="K134" s="584">
        <v>2560</v>
      </c>
      <c r="L134" s="606" t="s">
        <v>882</v>
      </c>
      <c r="M134" s="584"/>
      <c r="N134" s="606" t="s">
        <v>882</v>
      </c>
      <c r="O134" s="584"/>
      <c r="P134" s="606" t="s">
        <v>882</v>
      </c>
      <c r="Q134" s="584"/>
      <c r="R134" s="606" t="s">
        <v>882</v>
      </c>
      <c r="S134" s="584"/>
      <c r="T134" s="606" t="s">
        <v>882</v>
      </c>
      <c r="U134" s="584">
        <v>4900</v>
      </c>
      <c r="V134" s="606" t="s">
        <v>882</v>
      </c>
      <c r="W134" s="584"/>
      <c r="X134" s="404"/>
      <c r="Y134" s="584"/>
      <c r="Z134" s="584"/>
      <c r="AA134" s="584"/>
      <c r="AB134" s="585"/>
      <c r="AC134" s="586"/>
      <c r="AD134" s="587"/>
    </row>
    <row r="135" spans="1:30" x14ac:dyDescent="0.45">
      <c r="A135" s="582"/>
      <c r="B135" s="583">
        <v>46118</v>
      </c>
      <c r="C135" s="582"/>
      <c r="D135" s="606" t="s">
        <v>882</v>
      </c>
      <c r="E135" s="584"/>
      <c r="F135" s="606" t="s">
        <v>882</v>
      </c>
      <c r="G135" s="584"/>
      <c r="H135" s="606" t="s">
        <v>882</v>
      </c>
      <c r="I135" s="584"/>
      <c r="J135" s="606" t="s">
        <v>882</v>
      </c>
      <c r="K135" s="584"/>
      <c r="L135" s="606" t="s">
        <v>882</v>
      </c>
      <c r="M135" s="584"/>
      <c r="N135" s="606" t="s">
        <v>882</v>
      </c>
      <c r="O135" s="584"/>
      <c r="P135" s="606" t="s">
        <v>882</v>
      </c>
      <c r="Q135" s="584"/>
      <c r="R135" s="606" t="s">
        <v>882</v>
      </c>
      <c r="S135" s="584"/>
      <c r="T135" s="606" t="s">
        <v>882</v>
      </c>
      <c r="U135" s="584">
        <v>4955</v>
      </c>
      <c r="V135" s="606" t="s">
        <v>882</v>
      </c>
      <c r="W135" s="584"/>
      <c r="X135" s="404"/>
      <c r="Y135" s="584"/>
      <c r="Z135" s="584"/>
      <c r="AA135" s="584"/>
      <c r="AB135" s="585"/>
      <c r="AC135" s="586"/>
      <c r="AD135" s="587"/>
    </row>
    <row r="136" spans="1:30" x14ac:dyDescent="0.45">
      <c r="A136" s="582"/>
      <c r="B136" s="583">
        <v>46118</v>
      </c>
      <c r="C136" s="582"/>
      <c r="D136" s="606" t="s">
        <v>882</v>
      </c>
      <c r="E136" s="584"/>
      <c r="F136" s="606" t="s">
        <v>882</v>
      </c>
      <c r="G136" s="584"/>
      <c r="H136" s="606" t="s">
        <v>882</v>
      </c>
      <c r="I136" s="584"/>
      <c r="J136" s="606" t="s">
        <v>882</v>
      </c>
      <c r="K136" s="584"/>
      <c r="L136" s="606" t="s">
        <v>882</v>
      </c>
      <c r="M136" s="584"/>
      <c r="N136" s="606" t="s">
        <v>882</v>
      </c>
      <c r="O136" s="584"/>
      <c r="P136" s="606" t="s">
        <v>882</v>
      </c>
      <c r="Q136" s="584"/>
      <c r="R136" s="606" t="s">
        <v>882</v>
      </c>
      <c r="S136" s="584"/>
      <c r="T136" s="606" t="s">
        <v>882</v>
      </c>
      <c r="U136" s="584">
        <v>4910</v>
      </c>
      <c r="V136" s="606" t="s">
        <v>882</v>
      </c>
      <c r="W136" s="584"/>
      <c r="X136" s="404"/>
      <c r="Y136" s="584"/>
      <c r="Z136" s="584"/>
      <c r="AA136" s="584"/>
      <c r="AB136" s="585"/>
      <c r="AC136" s="586"/>
      <c r="AD136" s="587"/>
    </row>
    <row r="137" spans="1:30" x14ac:dyDescent="0.45">
      <c r="A137" s="582"/>
      <c r="B137" s="583">
        <v>46118</v>
      </c>
      <c r="C137" s="582"/>
      <c r="D137" s="606" t="s">
        <v>882</v>
      </c>
      <c r="E137" s="584"/>
      <c r="F137" s="606" t="s">
        <v>882</v>
      </c>
      <c r="G137" s="584"/>
      <c r="H137" s="606" t="s">
        <v>882</v>
      </c>
      <c r="I137" s="584"/>
      <c r="J137" s="606" t="s">
        <v>882</v>
      </c>
      <c r="K137" s="584"/>
      <c r="L137" s="606" t="s">
        <v>882</v>
      </c>
      <c r="M137" s="584"/>
      <c r="N137" s="606" t="s">
        <v>882</v>
      </c>
      <c r="O137" s="584"/>
      <c r="P137" s="606" t="s">
        <v>882</v>
      </c>
      <c r="Q137" s="584"/>
      <c r="R137" s="606" t="s">
        <v>882</v>
      </c>
      <c r="S137" s="584"/>
      <c r="T137" s="606" t="s">
        <v>882</v>
      </c>
      <c r="U137" s="584">
        <v>4920</v>
      </c>
      <c r="V137" s="606" t="s">
        <v>882</v>
      </c>
      <c r="W137" s="584"/>
      <c r="X137" s="404"/>
      <c r="Y137" s="584"/>
      <c r="Z137" s="584"/>
      <c r="AA137" s="584"/>
      <c r="AB137" s="585"/>
      <c r="AC137" s="586"/>
      <c r="AD137" s="587"/>
    </row>
    <row r="138" spans="1:30" x14ac:dyDescent="0.45">
      <c r="A138" s="582"/>
      <c r="B138" s="583">
        <v>46118</v>
      </c>
      <c r="C138" s="582"/>
      <c r="D138" s="606" t="s">
        <v>882</v>
      </c>
      <c r="E138" s="584"/>
      <c r="F138" s="606" t="s">
        <v>882</v>
      </c>
      <c r="G138" s="584"/>
      <c r="H138" s="606" t="s">
        <v>882</v>
      </c>
      <c r="I138" s="584"/>
      <c r="J138" s="606" t="s">
        <v>882</v>
      </c>
      <c r="K138" s="584"/>
      <c r="L138" s="606" t="s">
        <v>882</v>
      </c>
      <c r="M138" s="584"/>
      <c r="N138" s="606" t="s">
        <v>882</v>
      </c>
      <c r="O138" s="584"/>
      <c r="P138" s="606" t="s">
        <v>882</v>
      </c>
      <c r="Q138" s="584"/>
      <c r="R138" s="606" t="s">
        <v>882</v>
      </c>
      <c r="S138" s="584"/>
      <c r="T138" s="606" t="s">
        <v>882</v>
      </c>
      <c r="U138" s="584">
        <v>4990</v>
      </c>
      <c r="V138" s="606" t="s">
        <v>882</v>
      </c>
      <c r="W138" s="584"/>
      <c r="X138" s="404">
        <f>SUM(U131:U138,K131:K134)</f>
        <v>49645</v>
      </c>
      <c r="Y138" s="584"/>
      <c r="Z138" s="584"/>
      <c r="AA138" s="584"/>
      <c r="AB138" s="585">
        <f>(X138/1000)*640*AC138</f>
        <v>384133152.00000006</v>
      </c>
      <c r="AC138" s="586">
        <v>12090</v>
      </c>
      <c r="AD138" s="587">
        <f>(X138/1000)*640</f>
        <v>31772.800000000003</v>
      </c>
    </row>
    <row r="139" spans="1:30" x14ac:dyDescent="0.45">
      <c r="A139" s="582">
        <v>11</v>
      </c>
      <c r="B139" s="583">
        <v>46119</v>
      </c>
      <c r="C139" s="582" t="s">
        <v>155</v>
      </c>
      <c r="D139" s="606" t="s">
        <v>882</v>
      </c>
      <c r="E139" s="584">
        <v>2070</v>
      </c>
      <c r="F139" s="606" t="s">
        <v>882</v>
      </c>
      <c r="G139" s="584"/>
      <c r="H139" s="606" t="s">
        <v>882</v>
      </c>
      <c r="I139" s="584"/>
      <c r="J139" s="606" t="s">
        <v>882</v>
      </c>
      <c r="K139" s="584">
        <v>2525</v>
      </c>
      <c r="L139" s="606" t="s">
        <v>882</v>
      </c>
      <c r="M139" s="584"/>
      <c r="N139" s="606" t="s">
        <v>882</v>
      </c>
      <c r="O139" s="584">
        <v>2510</v>
      </c>
      <c r="P139" s="606" t="s">
        <v>882</v>
      </c>
      <c r="Q139" s="584">
        <v>2490</v>
      </c>
      <c r="R139" s="606" t="s">
        <v>882</v>
      </c>
      <c r="S139" s="584"/>
      <c r="T139" s="606" t="s">
        <v>882</v>
      </c>
      <c r="U139" s="584"/>
      <c r="V139" s="606" t="s">
        <v>882</v>
      </c>
      <c r="W139" s="584">
        <v>2490</v>
      </c>
      <c r="X139" s="404"/>
      <c r="Y139" s="584"/>
      <c r="Z139" s="584"/>
      <c r="AA139" s="584"/>
      <c r="AB139" s="585"/>
      <c r="AC139" s="586"/>
      <c r="AD139" s="587"/>
    </row>
    <row r="140" spans="1:30" x14ac:dyDescent="0.45">
      <c r="A140" s="582" t="s">
        <v>145</v>
      </c>
      <c r="B140" s="583">
        <v>46119</v>
      </c>
      <c r="C140" s="582" t="s">
        <v>156</v>
      </c>
      <c r="D140" s="606" t="s">
        <v>882</v>
      </c>
      <c r="E140" s="584">
        <v>2010</v>
      </c>
      <c r="F140" s="606" t="s">
        <v>882</v>
      </c>
      <c r="G140" s="584"/>
      <c r="H140" s="606" t="s">
        <v>882</v>
      </c>
      <c r="I140" s="584"/>
      <c r="J140" s="606" t="s">
        <v>882</v>
      </c>
      <c r="K140" s="584">
        <v>2545</v>
      </c>
      <c r="L140" s="606" t="s">
        <v>882</v>
      </c>
      <c r="M140" s="584"/>
      <c r="N140" s="606" t="s">
        <v>882</v>
      </c>
      <c r="O140" s="584"/>
      <c r="P140" s="606" t="s">
        <v>882</v>
      </c>
      <c r="Q140" s="584">
        <v>2480</v>
      </c>
      <c r="R140" s="606" t="s">
        <v>882</v>
      </c>
      <c r="S140" s="584"/>
      <c r="T140" s="606" t="s">
        <v>882</v>
      </c>
      <c r="U140" s="584"/>
      <c r="V140" s="606" t="s">
        <v>882</v>
      </c>
      <c r="W140" s="584">
        <v>2500</v>
      </c>
      <c r="X140" s="404"/>
      <c r="Y140" s="584"/>
      <c r="Z140" s="584"/>
      <c r="AA140" s="584"/>
      <c r="AB140" s="585"/>
      <c r="AC140" s="586"/>
      <c r="AD140" s="587"/>
    </row>
    <row r="141" spans="1:30" x14ac:dyDescent="0.45">
      <c r="A141" s="582"/>
      <c r="B141" s="583">
        <v>46119</v>
      </c>
      <c r="C141" s="582" t="s">
        <v>157</v>
      </c>
      <c r="D141" s="606" t="s">
        <v>882</v>
      </c>
      <c r="E141" s="584">
        <v>2055</v>
      </c>
      <c r="F141" s="606" t="s">
        <v>882</v>
      </c>
      <c r="G141" s="584"/>
      <c r="H141" s="606" t="s">
        <v>882</v>
      </c>
      <c r="I141" s="584"/>
      <c r="J141" s="606" t="s">
        <v>882</v>
      </c>
      <c r="K141" s="584">
        <v>2520</v>
      </c>
      <c r="L141" s="606" t="s">
        <v>882</v>
      </c>
      <c r="M141" s="584"/>
      <c r="N141" s="606" t="s">
        <v>882</v>
      </c>
      <c r="O141" s="584"/>
      <c r="P141" s="606" t="s">
        <v>882</v>
      </c>
      <c r="Q141" s="584"/>
      <c r="R141" s="606" t="s">
        <v>882</v>
      </c>
      <c r="S141" s="584"/>
      <c r="T141" s="606" t="s">
        <v>882</v>
      </c>
      <c r="U141" s="584"/>
      <c r="V141" s="606" t="s">
        <v>882</v>
      </c>
      <c r="W141" s="584">
        <v>2500</v>
      </c>
      <c r="X141" s="404"/>
      <c r="Y141" s="584"/>
      <c r="Z141" s="584"/>
      <c r="AA141" s="584"/>
      <c r="AB141" s="585"/>
      <c r="AC141" s="586"/>
      <c r="AD141" s="587"/>
    </row>
    <row r="142" spans="1:30" x14ac:dyDescent="0.45">
      <c r="A142" s="582"/>
      <c r="B142" s="583">
        <v>46119</v>
      </c>
      <c r="C142" s="582"/>
      <c r="D142" s="606" t="s">
        <v>882</v>
      </c>
      <c r="E142" s="584">
        <v>2055</v>
      </c>
      <c r="F142" s="606" t="s">
        <v>882</v>
      </c>
      <c r="G142" s="584"/>
      <c r="H142" s="606" t="s">
        <v>882</v>
      </c>
      <c r="I142" s="584"/>
      <c r="J142" s="606" t="s">
        <v>882</v>
      </c>
      <c r="K142" s="584">
        <v>2520</v>
      </c>
      <c r="L142" s="606" t="s">
        <v>882</v>
      </c>
      <c r="M142" s="584"/>
      <c r="N142" s="606" t="s">
        <v>882</v>
      </c>
      <c r="O142" s="584"/>
      <c r="P142" s="606" t="s">
        <v>882</v>
      </c>
      <c r="Q142" s="584"/>
      <c r="R142" s="606" t="s">
        <v>882</v>
      </c>
      <c r="S142" s="584"/>
      <c r="T142" s="606" t="s">
        <v>882</v>
      </c>
      <c r="U142" s="584"/>
      <c r="V142" s="606" t="s">
        <v>882</v>
      </c>
      <c r="W142" s="584">
        <v>2495</v>
      </c>
      <c r="X142" s="404"/>
      <c r="Y142" s="584"/>
      <c r="Z142" s="584"/>
      <c r="AA142" s="584"/>
      <c r="AB142" s="585"/>
      <c r="AC142" s="586"/>
      <c r="AD142" s="587"/>
    </row>
    <row r="143" spans="1:30" x14ac:dyDescent="0.45">
      <c r="A143" s="582"/>
      <c r="B143" s="583">
        <v>46119</v>
      </c>
      <c r="C143" s="582"/>
      <c r="D143" s="606" t="s">
        <v>882</v>
      </c>
      <c r="E143" s="584">
        <v>2065</v>
      </c>
      <c r="F143" s="606" t="s">
        <v>882</v>
      </c>
      <c r="G143" s="584"/>
      <c r="H143" s="606" t="s">
        <v>882</v>
      </c>
      <c r="I143" s="584"/>
      <c r="J143" s="606" t="s">
        <v>882</v>
      </c>
      <c r="K143" s="584">
        <v>2555</v>
      </c>
      <c r="L143" s="606" t="s">
        <v>882</v>
      </c>
      <c r="M143" s="584"/>
      <c r="N143" s="606" t="s">
        <v>882</v>
      </c>
      <c r="O143" s="584"/>
      <c r="P143" s="606" t="s">
        <v>882</v>
      </c>
      <c r="Q143" s="584"/>
      <c r="R143" s="606" t="s">
        <v>882</v>
      </c>
      <c r="S143" s="584"/>
      <c r="T143" s="606" t="s">
        <v>882</v>
      </c>
      <c r="U143" s="584"/>
      <c r="V143" s="606" t="s">
        <v>882</v>
      </c>
      <c r="W143" s="584"/>
      <c r="X143" s="404"/>
      <c r="Y143" s="584"/>
      <c r="Z143" s="584"/>
      <c r="AA143" s="584"/>
      <c r="AB143" s="585"/>
      <c r="AC143" s="586"/>
      <c r="AD143" s="587"/>
    </row>
    <row r="144" spans="1:30" x14ac:dyDescent="0.45">
      <c r="A144" s="582"/>
      <c r="B144" s="583">
        <v>46119</v>
      </c>
      <c r="C144" s="582"/>
      <c r="D144" s="606" t="s">
        <v>882</v>
      </c>
      <c r="E144" s="584">
        <v>2060</v>
      </c>
      <c r="F144" s="606" t="s">
        <v>882</v>
      </c>
      <c r="G144" s="584"/>
      <c r="H144" s="606" t="s">
        <v>882</v>
      </c>
      <c r="I144" s="584"/>
      <c r="J144" s="606" t="s">
        <v>882</v>
      </c>
      <c r="K144" s="584">
        <v>2370</v>
      </c>
      <c r="L144" s="606" t="s">
        <v>882</v>
      </c>
      <c r="M144" s="584"/>
      <c r="N144" s="606" t="s">
        <v>882</v>
      </c>
      <c r="O144" s="584"/>
      <c r="P144" s="606" t="s">
        <v>882</v>
      </c>
      <c r="Q144" s="584"/>
      <c r="R144" s="606" t="s">
        <v>882</v>
      </c>
      <c r="S144" s="584"/>
      <c r="T144" s="606" t="s">
        <v>882</v>
      </c>
      <c r="U144" s="584"/>
      <c r="V144" s="606" t="s">
        <v>882</v>
      </c>
      <c r="W144" s="584"/>
      <c r="X144" s="404"/>
      <c r="Y144" s="584"/>
      <c r="Z144" s="584"/>
      <c r="AA144" s="584"/>
      <c r="AB144" s="585"/>
      <c r="AC144" s="586"/>
      <c r="AD144" s="587"/>
    </row>
    <row r="145" spans="1:30" x14ac:dyDescent="0.45">
      <c r="A145" s="582"/>
      <c r="B145" s="583">
        <v>46119</v>
      </c>
      <c r="C145" s="582"/>
      <c r="D145" s="606" t="s">
        <v>882</v>
      </c>
      <c r="E145" s="584">
        <v>2055</v>
      </c>
      <c r="F145" s="606" t="s">
        <v>882</v>
      </c>
      <c r="G145" s="584"/>
      <c r="H145" s="606" t="s">
        <v>882</v>
      </c>
      <c r="I145" s="584"/>
      <c r="J145" s="606" t="s">
        <v>882</v>
      </c>
      <c r="K145" s="584">
        <v>2550</v>
      </c>
      <c r="L145" s="606" t="s">
        <v>882</v>
      </c>
      <c r="M145" s="584"/>
      <c r="N145" s="606" t="s">
        <v>882</v>
      </c>
      <c r="O145" s="584"/>
      <c r="P145" s="606" t="s">
        <v>882</v>
      </c>
      <c r="Q145" s="584"/>
      <c r="R145" s="606" t="s">
        <v>882</v>
      </c>
      <c r="S145" s="584"/>
      <c r="T145" s="606" t="s">
        <v>882</v>
      </c>
      <c r="U145" s="584"/>
      <c r="V145" s="606" t="s">
        <v>882</v>
      </c>
      <c r="W145" s="584"/>
      <c r="X145" s="404"/>
      <c r="Y145" s="584"/>
      <c r="Z145" s="584"/>
      <c r="AA145" s="584"/>
      <c r="AB145" s="585"/>
      <c r="AC145" s="586"/>
      <c r="AD145" s="587"/>
    </row>
    <row r="146" spans="1:30" x14ac:dyDescent="0.45">
      <c r="A146" s="582"/>
      <c r="B146" s="583">
        <v>46119</v>
      </c>
      <c r="C146" s="582"/>
      <c r="D146" s="606" t="s">
        <v>882</v>
      </c>
      <c r="E146" s="584">
        <v>2065</v>
      </c>
      <c r="F146" s="606" t="s">
        <v>882</v>
      </c>
      <c r="G146" s="584"/>
      <c r="H146" s="606" t="s">
        <v>882</v>
      </c>
      <c r="I146" s="584"/>
      <c r="J146" s="606" t="s">
        <v>882</v>
      </c>
      <c r="K146" s="584">
        <v>2475</v>
      </c>
      <c r="L146" s="606" t="s">
        <v>882</v>
      </c>
      <c r="M146" s="584"/>
      <c r="N146" s="606" t="s">
        <v>882</v>
      </c>
      <c r="O146" s="584"/>
      <c r="P146" s="606" t="s">
        <v>882</v>
      </c>
      <c r="Q146" s="584"/>
      <c r="R146" s="606" t="s">
        <v>882</v>
      </c>
      <c r="S146" s="584"/>
      <c r="T146" s="606" t="s">
        <v>882</v>
      </c>
      <c r="U146" s="584"/>
      <c r="V146" s="606" t="s">
        <v>882</v>
      </c>
      <c r="W146" s="584"/>
      <c r="X146" s="404"/>
      <c r="Y146" s="584"/>
      <c r="Z146" s="584"/>
      <c r="AA146" s="584"/>
      <c r="AB146" s="585"/>
      <c r="AC146" s="586"/>
      <c r="AD146" s="587"/>
    </row>
    <row r="147" spans="1:30" x14ac:dyDescent="0.45">
      <c r="A147" s="582"/>
      <c r="B147" s="583">
        <v>46119</v>
      </c>
      <c r="C147" s="582"/>
      <c r="D147" s="606" t="s">
        <v>882</v>
      </c>
      <c r="E147" s="584"/>
      <c r="F147" s="606" t="s">
        <v>882</v>
      </c>
      <c r="G147" s="584"/>
      <c r="H147" s="606" t="s">
        <v>882</v>
      </c>
      <c r="I147" s="584"/>
      <c r="J147" s="606" t="s">
        <v>882</v>
      </c>
      <c r="K147" s="584">
        <v>2615</v>
      </c>
      <c r="L147" s="606" t="s">
        <v>882</v>
      </c>
      <c r="M147" s="584"/>
      <c r="N147" s="606" t="s">
        <v>882</v>
      </c>
      <c r="O147" s="584"/>
      <c r="P147" s="606" t="s">
        <v>882</v>
      </c>
      <c r="Q147" s="584"/>
      <c r="R147" s="606" t="s">
        <v>882</v>
      </c>
      <c r="S147" s="584"/>
      <c r="T147" s="606" t="s">
        <v>882</v>
      </c>
      <c r="U147" s="584"/>
      <c r="V147" s="606" t="s">
        <v>882</v>
      </c>
      <c r="W147" s="584"/>
      <c r="X147" s="404"/>
      <c r="Y147" s="584"/>
      <c r="Z147" s="584"/>
      <c r="AA147" s="584"/>
      <c r="AB147" s="585"/>
      <c r="AC147" s="586"/>
      <c r="AD147" s="587"/>
    </row>
    <row r="148" spans="1:30" x14ac:dyDescent="0.45">
      <c r="A148" s="582"/>
      <c r="B148" s="583">
        <v>46119</v>
      </c>
      <c r="C148" s="582"/>
      <c r="D148" s="606" t="s">
        <v>882</v>
      </c>
      <c r="E148" s="584"/>
      <c r="F148" s="606" t="s">
        <v>882</v>
      </c>
      <c r="G148" s="584"/>
      <c r="H148" s="606" t="s">
        <v>882</v>
      </c>
      <c r="I148" s="584"/>
      <c r="J148" s="606" t="s">
        <v>882</v>
      </c>
      <c r="K148" s="584">
        <v>2545</v>
      </c>
      <c r="L148" s="606" t="s">
        <v>882</v>
      </c>
      <c r="M148" s="584"/>
      <c r="N148" s="606" t="s">
        <v>882</v>
      </c>
      <c r="O148" s="584"/>
      <c r="P148" s="606" t="s">
        <v>882</v>
      </c>
      <c r="Q148" s="584"/>
      <c r="R148" s="606" t="s">
        <v>882</v>
      </c>
      <c r="S148" s="584"/>
      <c r="T148" s="606" t="s">
        <v>882</v>
      </c>
      <c r="U148" s="584"/>
      <c r="V148" s="606" t="s">
        <v>882</v>
      </c>
      <c r="W148" s="584"/>
      <c r="X148" s="404"/>
      <c r="Y148" s="584"/>
      <c r="Z148" s="584"/>
      <c r="AA148" s="584"/>
      <c r="AB148" s="585"/>
      <c r="AC148" s="586"/>
      <c r="AD148" s="587"/>
    </row>
    <row r="149" spans="1:30" x14ac:dyDescent="0.45">
      <c r="A149" s="582"/>
      <c r="B149" s="583">
        <v>46119</v>
      </c>
      <c r="C149" s="582"/>
      <c r="D149" s="606" t="s">
        <v>882</v>
      </c>
      <c r="E149" s="584"/>
      <c r="F149" s="606" t="s">
        <v>882</v>
      </c>
      <c r="G149" s="584"/>
      <c r="H149" s="606" t="s">
        <v>882</v>
      </c>
      <c r="I149" s="584"/>
      <c r="J149" s="606" t="s">
        <v>882</v>
      </c>
      <c r="K149" s="584">
        <v>2560</v>
      </c>
      <c r="L149" s="606" t="s">
        <v>882</v>
      </c>
      <c r="M149" s="584"/>
      <c r="N149" s="606" t="s">
        <v>882</v>
      </c>
      <c r="O149" s="584"/>
      <c r="P149" s="606" t="s">
        <v>882</v>
      </c>
      <c r="Q149" s="584"/>
      <c r="R149" s="606" t="s">
        <v>882</v>
      </c>
      <c r="S149" s="584"/>
      <c r="T149" s="606" t="s">
        <v>882</v>
      </c>
      <c r="U149" s="584"/>
      <c r="V149" s="606" t="s">
        <v>882</v>
      </c>
      <c r="W149" s="584"/>
      <c r="X149" s="404"/>
      <c r="Y149" s="584"/>
      <c r="Z149" s="584"/>
      <c r="AA149" s="584"/>
      <c r="AB149" s="585"/>
      <c r="AC149" s="586"/>
      <c r="AD149" s="587"/>
    </row>
    <row r="150" spans="1:30" x14ac:dyDescent="0.45">
      <c r="A150" s="582"/>
      <c r="B150" s="583">
        <v>46119</v>
      </c>
      <c r="C150" s="582"/>
      <c r="D150" s="606" t="s">
        <v>882</v>
      </c>
      <c r="E150" s="584"/>
      <c r="F150" s="606" t="s">
        <v>882</v>
      </c>
      <c r="G150" s="584"/>
      <c r="H150" s="606" t="s">
        <v>882</v>
      </c>
      <c r="I150" s="584"/>
      <c r="J150" s="606" t="s">
        <v>882</v>
      </c>
      <c r="K150" s="584">
        <v>2515</v>
      </c>
      <c r="L150" s="606" t="s">
        <v>882</v>
      </c>
      <c r="M150" s="584"/>
      <c r="N150" s="606" t="s">
        <v>882</v>
      </c>
      <c r="O150" s="584"/>
      <c r="P150" s="606" t="s">
        <v>882</v>
      </c>
      <c r="Q150" s="584"/>
      <c r="R150" s="606" t="s">
        <v>882</v>
      </c>
      <c r="S150" s="584"/>
      <c r="T150" s="606" t="s">
        <v>882</v>
      </c>
      <c r="U150" s="584"/>
      <c r="V150" s="606" t="s">
        <v>882</v>
      </c>
      <c r="W150" s="584"/>
      <c r="X150" s="404"/>
      <c r="Y150" s="584"/>
      <c r="Z150" s="584"/>
      <c r="AA150" s="584"/>
      <c r="AB150" s="585"/>
      <c r="AC150" s="586"/>
      <c r="AD150" s="587"/>
    </row>
    <row r="151" spans="1:30" x14ac:dyDescent="0.45">
      <c r="A151" s="582"/>
      <c r="B151" s="583">
        <v>46119</v>
      </c>
      <c r="C151" s="582"/>
      <c r="D151" s="606" t="s">
        <v>882</v>
      </c>
      <c r="E151" s="584"/>
      <c r="F151" s="606" t="s">
        <v>882</v>
      </c>
      <c r="G151" s="584"/>
      <c r="H151" s="606" t="s">
        <v>882</v>
      </c>
      <c r="I151" s="584"/>
      <c r="J151" s="606" t="s">
        <v>882</v>
      </c>
      <c r="K151" s="584">
        <v>2475</v>
      </c>
      <c r="L151" s="606" t="s">
        <v>882</v>
      </c>
      <c r="M151" s="584"/>
      <c r="N151" s="606" t="s">
        <v>882</v>
      </c>
      <c r="O151" s="584"/>
      <c r="P151" s="606" t="s">
        <v>882</v>
      </c>
      <c r="Q151" s="584"/>
      <c r="R151" s="606" t="s">
        <v>882</v>
      </c>
      <c r="S151" s="584"/>
      <c r="T151" s="606" t="s">
        <v>882</v>
      </c>
      <c r="U151" s="584"/>
      <c r="V151" s="606" t="s">
        <v>882</v>
      </c>
      <c r="W151" s="584"/>
      <c r="X151" s="404"/>
      <c r="Y151" s="584"/>
      <c r="Z151" s="584"/>
      <c r="AA151" s="584"/>
      <c r="AB151" s="585"/>
      <c r="AC151" s="586"/>
      <c r="AD151" s="587"/>
    </row>
    <row r="152" spans="1:30" x14ac:dyDescent="0.45">
      <c r="A152" s="582"/>
      <c r="B152" s="583">
        <v>46119</v>
      </c>
      <c r="C152" s="582"/>
      <c r="D152" s="606" t="s">
        <v>882</v>
      </c>
      <c r="E152" s="584"/>
      <c r="F152" s="606" t="s">
        <v>882</v>
      </c>
      <c r="G152" s="584"/>
      <c r="H152" s="606" t="s">
        <v>882</v>
      </c>
      <c r="I152" s="584"/>
      <c r="J152" s="606" t="s">
        <v>882</v>
      </c>
      <c r="K152" s="584">
        <v>2580</v>
      </c>
      <c r="L152" s="606" t="s">
        <v>882</v>
      </c>
      <c r="M152" s="584"/>
      <c r="N152" s="606" t="s">
        <v>882</v>
      </c>
      <c r="O152" s="584"/>
      <c r="P152" s="606" t="s">
        <v>882</v>
      </c>
      <c r="Q152" s="584"/>
      <c r="R152" s="606" t="s">
        <v>882</v>
      </c>
      <c r="S152" s="584"/>
      <c r="T152" s="606" t="s">
        <v>882</v>
      </c>
      <c r="U152" s="584"/>
      <c r="V152" s="606" t="s">
        <v>882</v>
      </c>
      <c r="W152" s="584"/>
      <c r="X152" s="404"/>
      <c r="Y152" s="584"/>
      <c r="Z152" s="584"/>
      <c r="AA152" s="584"/>
      <c r="AB152" s="585"/>
      <c r="AC152" s="586"/>
      <c r="AD152" s="587"/>
    </row>
    <row r="153" spans="1:30" x14ac:dyDescent="0.45">
      <c r="A153" s="582"/>
      <c r="B153" s="583">
        <v>46119</v>
      </c>
      <c r="C153" s="582"/>
      <c r="D153" s="606" t="s">
        <v>882</v>
      </c>
      <c r="E153" s="584"/>
      <c r="F153" s="606" t="s">
        <v>882</v>
      </c>
      <c r="G153" s="584"/>
      <c r="H153" s="606" t="s">
        <v>882</v>
      </c>
      <c r="I153" s="584"/>
      <c r="J153" s="606" t="s">
        <v>882</v>
      </c>
      <c r="K153" s="584">
        <v>2550</v>
      </c>
      <c r="L153" s="606" t="s">
        <v>882</v>
      </c>
      <c r="M153" s="584"/>
      <c r="N153" s="606" t="s">
        <v>882</v>
      </c>
      <c r="O153" s="584"/>
      <c r="P153" s="606" t="s">
        <v>882</v>
      </c>
      <c r="Q153" s="584"/>
      <c r="R153" s="606" t="s">
        <v>882</v>
      </c>
      <c r="S153" s="584"/>
      <c r="T153" s="606" t="s">
        <v>882</v>
      </c>
      <c r="U153" s="584"/>
      <c r="V153" s="606" t="s">
        <v>882</v>
      </c>
      <c r="W153" s="584"/>
      <c r="X153" s="404"/>
      <c r="Y153" s="584"/>
      <c r="Z153" s="584"/>
      <c r="AA153" s="584"/>
      <c r="AB153" s="585"/>
      <c r="AC153" s="586"/>
      <c r="AD153" s="587"/>
    </row>
    <row r="154" spans="1:30" x14ac:dyDescent="0.45">
      <c r="A154" s="582"/>
      <c r="B154" s="583">
        <v>46119</v>
      </c>
      <c r="C154" s="582"/>
      <c r="D154" s="606" t="s">
        <v>882</v>
      </c>
      <c r="E154" s="584"/>
      <c r="F154" s="606" t="s">
        <v>882</v>
      </c>
      <c r="G154" s="584"/>
      <c r="H154" s="606" t="s">
        <v>882</v>
      </c>
      <c r="I154" s="584"/>
      <c r="J154" s="606" t="s">
        <v>882</v>
      </c>
      <c r="K154" s="584">
        <v>2565</v>
      </c>
      <c r="L154" s="606" t="s">
        <v>882</v>
      </c>
      <c r="M154" s="584"/>
      <c r="N154" s="606" t="s">
        <v>882</v>
      </c>
      <c r="O154" s="584"/>
      <c r="P154" s="606" t="s">
        <v>882</v>
      </c>
      <c r="Q154" s="584"/>
      <c r="R154" s="606" t="s">
        <v>882</v>
      </c>
      <c r="S154" s="584"/>
      <c r="T154" s="606" t="s">
        <v>882</v>
      </c>
      <c r="U154" s="584"/>
      <c r="V154" s="606" t="s">
        <v>882</v>
      </c>
      <c r="W154" s="584"/>
      <c r="X154" s="404"/>
      <c r="Y154" s="584"/>
      <c r="Z154" s="584"/>
      <c r="AA154" s="584"/>
      <c r="AB154" s="585"/>
      <c r="AC154" s="586"/>
      <c r="AD154" s="587"/>
    </row>
    <row r="155" spans="1:30" x14ac:dyDescent="0.45">
      <c r="A155" s="582"/>
      <c r="B155" s="583">
        <v>46119</v>
      </c>
      <c r="C155" s="582"/>
      <c r="D155" s="606" t="s">
        <v>882</v>
      </c>
      <c r="E155" s="584"/>
      <c r="F155" s="606" t="s">
        <v>882</v>
      </c>
      <c r="G155" s="584"/>
      <c r="H155" s="606" t="s">
        <v>882</v>
      </c>
      <c r="I155" s="584"/>
      <c r="J155" s="606" t="s">
        <v>882</v>
      </c>
      <c r="K155" s="584">
        <v>2565</v>
      </c>
      <c r="L155" s="606" t="s">
        <v>882</v>
      </c>
      <c r="M155" s="584"/>
      <c r="N155" s="606" t="s">
        <v>882</v>
      </c>
      <c r="O155" s="584"/>
      <c r="P155" s="606" t="s">
        <v>882</v>
      </c>
      <c r="Q155" s="584"/>
      <c r="R155" s="606" t="s">
        <v>882</v>
      </c>
      <c r="S155" s="584"/>
      <c r="T155" s="606" t="s">
        <v>882</v>
      </c>
      <c r="U155" s="584"/>
      <c r="V155" s="606" t="s">
        <v>882</v>
      </c>
      <c r="W155" s="584"/>
      <c r="X155" s="404">
        <f>SUM(W139:W142,Q139:Q140,O139,K139:K155,E139:E146)</f>
        <v>76930</v>
      </c>
      <c r="Y155" s="584"/>
      <c r="Z155" s="584"/>
      <c r="AA155" s="584"/>
      <c r="AB155" s="585">
        <f>(X155/1000)*640*AC155</f>
        <v>596484448</v>
      </c>
      <c r="AC155" s="586">
        <v>12115</v>
      </c>
      <c r="AD155" s="587">
        <f>(X155/1000)*640</f>
        <v>49235.200000000004</v>
      </c>
    </row>
    <row r="156" spans="1:30" x14ac:dyDescent="0.45">
      <c r="A156" s="582">
        <v>12</v>
      </c>
      <c r="B156" s="583">
        <v>46140</v>
      </c>
      <c r="C156" s="582" t="s">
        <v>158</v>
      </c>
      <c r="D156" s="606" t="s">
        <v>882</v>
      </c>
      <c r="E156" s="584"/>
      <c r="F156" s="606" t="s">
        <v>882</v>
      </c>
      <c r="G156" s="584"/>
      <c r="H156" s="606" t="s">
        <v>882</v>
      </c>
      <c r="I156" s="584">
        <v>2040</v>
      </c>
      <c r="J156" s="606" t="s">
        <v>882</v>
      </c>
      <c r="K156" s="584"/>
      <c r="L156" s="606" t="s">
        <v>882</v>
      </c>
      <c r="M156" s="584"/>
      <c r="N156" s="606" t="s">
        <v>882</v>
      </c>
      <c r="O156" s="584">
        <v>2565</v>
      </c>
      <c r="P156" s="606" t="s">
        <v>882</v>
      </c>
      <c r="Q156" s="584"/>
      <c r="R156" s="606" t="s">
        <v>882</v>
      </c>
      <c r="S156" s="584"/>
      <c r="T156" s="606" t="s">
        <v>882</v>
      </c>
      <c r="U156" s="584">
        <v>2455</v>
      </c>
      <c r="V156" s="606" t="s">
        <v>882</v>
      </c>
      <c r="W156" s="584">
        <v>5110</v>
      </c>
      <c r="X156" s="404"/>
      <c r="Y156" s="584"/>
      <c r="Z156" s="584"/>
      <c r="AA156" s="584"/>
      <c r="AB156" s="585"/>
      <c r="AC156" s="586"/>
      <c r="AD156" s="587"/>
    </row>
    <row r="157" spans="1:30" x14ac:dyDescent="0.45">
      <c r="A157" s="582" t="s">
        <v>145</v>
      </c>
      <c r="B157" s="583">
        <v>46140</v>
      </c>
      <c r="C157" s="582"/>
      <c r="D157" s="606" t="s">
        <v>882</v>
      </c>
      <c r="E157" s="584"/>
      <c r="F157" s="606" t="s">
        <v>882</v>
      </c>
      <c r="G157" s="584"/>
      <c r="H157" s="606" t="s">
        <v>882</v>
      </c>
      <c r="I157" s="584">
        <v>3120</v>
      </c>
      <c r="J157" s="606" t="s">
        <v>882</v>
      </c>
      <c r="K157" s="584"/>
      <c r="L157" s="606" t="s">
        <v>882</v>
      </c>
      <c r="M157" s="584"/>
      <c r="N157" s="606" t="s">
        <v>882</v>
      </c>
      <c r="O157" s="584"/>
      <c r="P157" s="606" t="s">
        <v>882</v>
      </c>
      <c r="Q157" s="584"/>
      <c r="R157" s="606" t="s">
        <v>882</v>
      </c>
      <c r="S157" s="584"/>
      <c r="T157" s="606" t="s">
        <v>882</v>
      </c>
      <c r="U157" s="584">
        <v>2470</v>
      </c>
      <c r="V157" s="606" t="s">
        <v>882</v>
      </c>
      <c r="W157" s="584">
        <v>5165</v>
      </c>
      <c r="X157" s="404"/>
      <c r="Y157" s="584"/>
      <c r="Z157" s="584"/>
      <c r="AA157" s="584"/>
      <c r="AB157" s="585"/>
      <c r="AC157" s="586"/>
      <c r="AD157" s="587"/>
    </row>
    <row r="158" spans="1:30" x14ac:dyDescent="0.45">
      <c r="A158" s="582"/>
      <c r="B158" s="583">
        <v>46140</v>
      </c>
      <c r="C158" s="582"/>
      <c r="D158" s="606" t="s">
        <v>882</v>
      </c>
      <c r="E158" s="584"/>
      <c r="F158" s="606" t="s">
        <v>882</v>
      </c>
      <c r="G158" s="584"/>
      <c r="H158" s="606" t="s">
        <v>882</v>
      </c>
      <c r="I158" s="584"/>
      <c r="J158" s="606" t="s">
        <v>882</v>
      </c>
      <c r="K158" s="584"/>
      <c r="L158" s="606" t="s">
        <v>882</v>
      </c>
      <c r="M158" s="584"/>
      <c r="N158" s="606" t="s">
        <v>882</v>
      </c>
      <c r="O158" s="584"/>
      <c r="P158" s="606" t="s">
        <v>882</v>
      </c>
      <c r="Q158" s="584"/>
      <c r="R158" s="606" t="s">
        <v>882</v>
      </c>
      <c r="S158" s="584"/>
      <c r="T158" s="606" t="s">
        <v>882</v>
      </c>
      <c r="U158" s="584">
        <v>2460</v>
      </c>
      <c r="V158" s="606" t="s">
        <v>882</v>
      </c>
      <c r="W158" s="584"/>
      <c r="X158" s="404">
        <f>SUM(I156:I157,O156,U156:U158,W156:W157)</f>
        <v>25385</v>
      </c>
      <c r="Y158" s="584"/>
      <c r="Z158" s="584"/>
      <c r="AA158" s="584"/>
      <c r="AB158" s="585">
        <f>(X158/1000)*640*AC158</f>
        <v>194956800.00000003</v>
      </c>
      <c r="AC158" s="586">
        <v>12000</v>
      </c>
      <c r="AD158" s="587">
        <f>(X158/1000)*640</f>
        <v>16246.400000000001</v>
      </c>
    </row>
    <row r="159" spans="1:30" x14ac:dyDescent="0.45">
      <c r="A159" s="582">
        <v>13</v>
      </c>
      <c r="B159" s="583">
        <v>46144</v>
      </c>
      <c r="C159" s="582" t="s">
        <v>159</v>
      </c>
      <c r="D159" s="606" t="s">
        <v>882</v>
      </c>
      <c r="E159" s="584"/>
      <c r="F159" s="606" t="s">
        <v>882</v>
      </c>
      <c r="G159" s="584"/>
      <c r="H159" s="606" t="s">
        <v>882</v>
      </c>
      <c r="I159" s="584"/>
      <c r="J159" s="606" t="s">
        <v>882</v>
      </c>
      <c r="K159" s="584"/>
      <c r="L159" s="606" t="s">
        <v>882</v>
      </c>
      <c r="M159" s="584"/>
      <c r="N159" s="606" t="s">
        <v>882</v>
      </c>
      <c r="O159" s="584"/>
      <c r="P159" s="606" t="s">
        <v>882</v>
      </c>
      <c r="Q159" s="584"/>
      <c r="R159" s="606" t="s">
        <v>882</v>
      </c>
      <c r="S159" s="584"/>
      <c r="T159" s="606" t="s">
        <v>882</v>
      </c>
      <c r="U159" s="584">
        <v>2480</v>
      </c>
      <c r="V159" s="606" t="s">
        <v>882</v>
      </c>
      <c r="W159" s="584"/>
      <c r="X159" s="404"/>
      <c r="Y159" s="584"/>
      <c r="Z159" s="584"/>
      <c r="AA159" s="584"/>
      <c r="AB159" s="585"/>
      <c r="AC159" s="586"/>
      <c r="AD159" s="587"/>
    </row>
    <row r="160" spans="1:30" x14ac:dyDescent="0.45">
      <c r="A160" s="582" t="s">
        <v>145</v>
      </c>
      <c r="B160" s="583">
        <v>46144</v>
      </c>
      <c r="C160" s="582"/>
      <c r="D160" s="606" t="s">
        <v>882</v>
      </c>
      <c r="E160" s="584"/>
      <c r="F160" s="606" t="s">
        <v>882</v>
      </c>
      <c r="G160" s="584"/>
      <c r="H160" s="606" t="s">
        <v>882</v>
      </c>
      <c r="I160" s="584"/>
      <c r="J160" s="606" t="s">
        <v>882</v>
      </c>
      <c r="K160" s="584"/>
      <c r="L160" s="606" t="s">
        <v>882</v>
      </c>
      <c r="M160" s="584"/>
      <c r="N160" s="606" t="s">
        <v>882</v>
      </c>
      <c r="O160" s="584"/>
      <c r="P160" s="606" t="s">
        <v>882</v>
      </c>
      <c r="Q160" s="584"/>
      <c r="R160" s="606" t="s">
        <v>882</v>
      </c>
      <c r="S160" s="584"/>
      <c r="T160" s="606" t="s">
        <v>882</v>
      </c>
      <c r="U160" s="584">
        <v>2480</v>
      </c>
      <c r="V160" s="606" t="s">
        <v>882</v>
      </c>
      <c r="W160" s="584"/>
      <c r="X160" s="404"/>
      <c r="Y160" s="584"/>
      <c r="Z160" s="584"/>
      <c r="AA160" s="584"/>
      <c r="AB160" s="585"/>
      <c r="AC160" s="586"/>
      <c r="AD160" s="587"/>
    </row>
    <row r="161" spans="1:30" x14ac:dyDescent="0.45">
      <c r="A161" s="582"/>
      <c r="B161" s="583">
        <v>46144</v>
      </c>
      <c r="C161" s="582"/>
      <c r="D161" s="606" t="s">
        <v>882</v>
      </c>
      <c r="E161" s="584"/>
      <c r="F161" s="606" t="s">
        <v>882</v>
      </c>
      <c r="G161" s="584"/>
      <c r="H161" s="606" t="s">
        <v>882</v>
      </c>
      <c r="I161" s="584"/>
      <c r="J161" s="606" t="s">
        <v>882</v>
      </c>
      <c r="K161" s="584"/>
      <c r="L161" s="606" t="s">
        <v>882</v>
      </c>
      <c r="M161" s="584"/>
      <c r="N161" s="606" t="s">
        <v>882</v>
      </c>
      <c r="O161" s="584"/>
      <c r="P161" s="606" t="s">
        <v>882</v>
      </c>
      <c r="Q161" s="584"/>
      <c r="R161" s="606" t="s">
        <v>882</v>
      </c>
      <c r="S161" s="584"/>
      <c r="T161" s="606" t="s">
        <v>882</v>
      </c>
      <c r="U161" s="584">
        <v>2480</v>
      </c>
      <c r="V161" s="606" t="s">
        <v>882</v>
      </c>
      <c r="W161" s="584"/>
      <c r="X161" s="404"/>
      <c r="Y161" s="584"/>
      <c r="Z161" s="584"/>
      <c r="AA161" s="584"/>
      <c r="AB161" s="585"/>
      <c r="AC161" s="586"/>
      <c r="AD161" s="587"/>
    </row>
    <row r="162" spans="1:30" x14ac:dyDescent="0.45">
      <c r="A162" s="582"/>
      <c r="B162" s="583">
        <v>46144</v>
      </c>
      <c r="C162" s="582"/>
      <c r="D162" s="606" t="s">
        <v>882</v>
      </c>
      <c r="E162" s="584"/>
      <c r="F162" s="606" t="s">
        <v>882</v>
      </c>
      <c r="G162" s="584"/>
      <c r="H162" s="606" t="s">
        <v>882</v>
      </c>
      <c r="I162" s="584"/>
      <c r="J162" s="606" t="s">
        <v>882</v>
      </c>
      <c r="K162" s="584"/>
      <c r="L162" s="606" t="s">
        <v>882</v>
      </c>
      <c r="M162" s="584"/>
      <c r="N162" s="606" t="s">
        <v>882</v>
      </c>
      <c r="O162" s="584"/>
      <c r="P162" s="606" t="s">
        <v>882</v>
      </c>
      <c r="Q162" s="584"/>
      <c r="R162" s="606" t="s">
        <v>882</v>
      </c>
      <c r="S162" s="584"/>
      <c r="T162" s="606" t="s">
        <v>882</v>
      </c>
      <c r="U162" s="584">
        <v>2485</v>
      </c>
      <c r="V162" s="606" t="s">
        <v>882</v>
      </c>
      <c r="W162" s="584"/>
      <c r="X162" s="404"/>
      <c r="Y162" s="584"/>
      <c r="Z162" s="584"/>
      <c r="AA162" s="584"/>
      <c r="AB162" s="585"/>
      <c r="AC162" s="586"/>
      <c r="AD162" s="587"/>
    </row>
    <row r="163" spans="1:30" x14ac:dyDescent="0.45">
      <c r="A163" s="582"/>
      <c r="B163" s="583">
        <v>46144</v>
      </c>
      <c r="C163" s="582"/>
      <c r="D163" s="606" t="s">
        <v>882</v>
      </c>
      <c r="E163" s="584"/>
      <c r="F163" s="606" t="s">
        <v>882</v>
      </c>
      <c r="G163" s="584"/>
      <c r="H163" s="606" t="s">
        <v>882</v>
      </c>
      <c r="I163" s="584"/>
      <c r="J163" s="606" t="s">
        <v>882</v>
      </c>
      <c r="K163" s="584"/>
      <c r="L163" s="606" t="s">
        <v>882</v>
      </c>
      <c r="M163" s="584"/>
      <c r="N163" s="606" t="s">
        <v>882</v>
      </c>
      <c r="O163" s="584"/>
      <c r="P163" s="606" t="s">
        <v>882</v>
      </c>
      <c r="Q163" s="584"/>
      <c r="R163" s="606" t="s">
        <v>882</v>
      </c>
      <c r="S163" s="584"/>
      <c r="T163" s="606" t="s">
        <v>882</v>
      </c>
      <c r="U163" s="584">
        <v>2485</v>
      </c>
      <c r="V163" s="606" t="s">
        <v>882</v>
      </c>
      <c r="W163" s="584"/>
      <c r="X163" s="404"/>
      <c r="Y163" s="584"/>
      <c r="Z163" s="584"/>
      <c r="AA163" s="584"/>
      <c r="AB163" s="585"/>
      <c r="AC163" s="586"/>
      <c r="AD163" s="587"/>
    </row>
    <row r="164" spans="1:30" x14ac:dyDescent="0.45">
      <c r="A164" s="582"/>
      <c r="B164" s="583">
        <v>46144</v>
      </c>
      <c r="C164" s="582"/>
      <c r="D164" s="606" t="s">
        <v>882</v>
      </c>
      <c r="E164" s="584"/>
      <c r="F164" s="606" t="s">
        <v>882</v>
      </c>
      <c r="G164" s="584"/>
      <c r="H164" s="606" t="s">
        <v>882</v>
      </c>
      <c r="I164" s="584"/>
      <c r="J164" s="606" t="s">
        <v>882</v>
      </c>
      <c r="K164" s="584"/>
      <c r="L164" s="606" t="s">
        <v>882</v>
      </c>
      <c r="M164" s="584"/>
      <c r="N164" s="606" t="s">
        <v>882</v>
      </c>
      <c r="O164" s="584"/>
      <c r="P164" s="606" t="s">
        <v>882</v>
      </c>
      <c r="Q164" s="584"/>
      <c r="R164" s="606" t="s">
        <v>882</v>
      </c>
      <c r="S164" s="584"/>
      <c r="T164" s="606" t="s">
        <v>882</v>
      </c>
      <c r="U164" s="584">
        <v>2520</v>
      </c>
      <c r="V164" s="606" t="s">
        <v>882</v>
      </c>
      <c r="W164" s="584"/>
      <c r="X164" s="404"/>
      <c r="Y164" s="584"/>
      <c r="Z164" s="584"/>
      <c r="AA164" s="584"/>
      <c r="AB164" s="585"/>
      <c r="AC164" s="586"/>
      <c r="AD164" s="587"/>
    </row>
    <row r="165" spans="1:30" x14ac:dyDescent="0.45">
      <c r="A165" s="582"/>
      <c r="B165" s="583">
        <v>46144</v>
      </c>
      <c r="C165" s="582"/>
      <c r="D165" s="606" t="s">
        <v>882</v>
      </c>
      <c r="E165" s="584"/>
      <c r="F165" s="606" t="s">
        <v>882</v>
      </c>
      <c r="G165" s="584"/>
      <c r="H165" s="606" t="s">
        <v>882</v>
      </c>
      <c r="I165" s="584"/>
      <c r="J165" s="606" t="s">
        <v>882</v>
      </c>
      <c r="K165" s="584"/>
      <c r="L165" s="606" t="s">
        <v>882</v>
      </c>
      <c r="M165" s="584"/>
      <c r="N165" s="606" t="s">
        <v>882</v>
      </c>
      <c r="O165" s="584"/>
      <c r="P165" s="606" t="s">
        <v>882</v>
      </c>
      <c r="Q165" s="584"/>
      <c r="R165" s="606" t="s">
        <v>882</v>
      </c>
      <c r="S165" s="584"/>
      <c r="T165" s="606" t="s">
        <v>882</v>
      </c>
      <c r="U165" s="584">
        <v>2485</v>
      </c>
      <c r="V165" s="606" t="s">
        <v>882</v>
      </c>
      <c r="W165" s="584"/>
      <c r="X165" s="404"/>
      <c r="Y165" s="584"/>
      <c r="Z165" s="584"/>
      <c r="AA165" s="584"/>
      <c r="AB165" s="585"/>
      <c r="AC165" s="586"/>
      <c r="AD165" s="587"/>
    </row>
    <row r="166" spans="1:30" x14ac:dyDescent="0.45">
      <c r="A166" s="582"/>
      <c r="B166" s="583">
        <v>46144</v>
      </c>
      <c r="C166" s="582"/>
      <c r="D166" s="606" t="s">
        <v>882</v>
      </c>
      <c r="E166" s="584"/>
      <c r="F166" s="606" t="s">
        <v>882</v>
      </c>
      <c r="G166" s="584"/>
      <c r="H166" s="606" t="s">
        <v>882</v>
      </c>
      <c r="I166" s="584"/>
      <c r="J166" s="606" t="s">
        <v>882</v>
      </c>
      <c r="K166" s="584"/>
      <c r="L166" s="606" t="s">
        <v>882</v>
      </c>
      <c r="M166" s="584"/>
      <c r="N166" s="606" t="s">
        <v>882</v>
      </c>
      <c r="O166" s="584"/>
      <c r="P166" s="606" t="s">
        <v>882</v>
      </c>
      <c r="Q166" s="584"/>
      <c r="R166" s="606" t="s">
        <v>882</v>
      </c>
      <c r="S166" s="584"/>
      <c r="T166" s="606" t="s">
        <v>882</v>
      </c>
      <c r="U166" s="584">
        <v>2520</v>
      </c>
      <c r="V166" s="606" t="s">
        <v>882</v>
      </c>
      <c r="W166" s="584"/>
      <c r="X166" s="404"/>
      <c r="Y166" s="584"/>
      <c r="Z166" s="584"/>
      <c r="AA166" s="584"/>
      <c r="AB166" s="585"/>
      <c r="AC166" s="586"/>
      <c r="AD166" s="587"/>
    </row>
    <row r="167" spans="1:30" x14ac:dyDescent="0.45">
      <c r="A167" s="582"/>
      <c r="B167" s="583">
        <v>46144</v>
      </c>
      <c r="C167" s="582"/>
      <c r="D167" s="606" t="s">
        <v>882</v>
      </c>
      <c r="E167" s="584"/>
      <c r="F167" s="606" t="s">
        <v>882</v>
      </c>
      <c r="G167" s="584"/>
      <c r="H167" s="606" t="s">
        <v>882</v>
      </c>
      <c r="I167" s="584"/>
      <c r="J167" s="606" t="s">
        <v>882</v>
      </c>
      <c r="K167" s="584"/>
      <c r="L167" s="606" t="s">
        <v>882</v>
      </c>
      <c r="M167" s="584"/>
      <c r="N167" s="606" t="s">
        <v>882</v>
      </c>
      <c r="O167" s="584"/>
      <c r="P167" s="606" t="s">
        <v>882</v>
      </c>
      <c r="Q167" s="584"/>
      <c r="R167" s="606" t="s">
        <v>882</v>
      </c>
      <c r="S167" s="584"/>
      <c r="T167" s="606" t="s">
        <v>882</v>
      </c>
      <c r="U167" s="584">
        <v>2485</v>
      </c>
      <c r="V167" s="606" t="s">
        <v>882</v>
      </c>
      <c r="W167" s="584"/>
      <c r="X167" s="404"/>
      <c r="Y167" s="584"/>
      <c r="Z167" s="584"/>
      <c r="AA167" s="584"/>
      <c r="AB167" s="585"/>
      <c r="AC167" s="586"/>
      <c r="AD167" s="587"/>
    </row>
    <row r="168" spans="1:30" x14ac:dyDescent="0.45">
      <c r="A168" s="582"/>
      <c r="B168" s="583">
        <v>46144</v>
      </c>
      <c r="C168" s="582"/>
      <c r="D168" s="606" t="s">
        <v>882</v>
      </c>
      <c r="E168" s="584"/>
      <c r="F168" s="606" t="s">
        <v>882</v>
      </c>
      <c r="G168" s="584"/>
      <c r="H168" s="606" t="s">
        <v>882</v>
      </c>
      <c r="I168" s="584"/>
      <c r="J168" s="606" t="s">
        <v>882</v>
      </c>
      <c r="K168" s="584"/>
      <c r="L168" s="606" t="s">
        <v>882</v>
      </c>
      <c r="M168" s="584"/>
      <c r="N168" s="606" t="s">
        <v>882</v>
      </c>
      <c r="O168" s="584"/>
      <c r="P168" s="606" t="s">
        <v>882</v>
      </c>
      <c r="Q168" s="584"/>
      <c r="R168" s="606" t="s">
        <v>882</v>
      </c>
      <c r="S168" s="584"/>
      <c r="T168" s="606" t="s">
        <v>882</v>
      </c>
      <c r="U168" s="584">
        <v>2485</v>
      </c>
      <c r="V168" s="606" t="s">
        <v>882</v>
      </c>
      <c r="W168" s="584"/>
      <c r="X168" s="404">
        <f>SUM(U159:U168)</f>
        <v>24905</v>
      </c>
      <c r="Y168" s="584"/>
      <c r="Z168" s="584"/>
      <c r="AA168" s="584"/>
      <c r="AB168" s="585">
        <f>(X168/1000)*640*AC168</f>
        <v>191270400</v>
      </c>
      <c r="AC168" s="586">
        <v>12000</v>
      </c>
      <c r="AD168" s="587">
        <f>(X168/1000)*640</f>
        <v>15939.2</v>
      </c>
    </row>
    <row r="169" spans="1:30" x14ac:dyDescent="0.45">
      <c r="A169" s="582">
        <v>14</v>
      </c>
      <c r="B169" s="583">
        <v>46153</v>
      </c>
      <c r="C169" s="582" t="s">
        <v>160</v>
      </c>
      <c r="D169" s="606" t="s">
        <v>882</v>
      </c>
      <c r="E169" s="584">
        <v>1585</v>
      </c>
      <c r="F169" s="606" t="s">
        <v>882</v>
      </c>
      <c r="G169" s="584"/>
      <c r="H169" s="606" t="s">
        <v>882</v>
      </c>
      <c r="I169" s="584"/>
      <c r="J169" s="606" t="s">
        <v>882</v>
      </c>
      <c r="K169" s="584">
        <v>2565</v>
      </c>
      <c r="L169" s="606" t="s">
        <v>882</v>
      </c>
      <c r="M169" s="584"/>
      <c r="N169" s="606" t="s">
        <v>882</v>
      </c>
      <c r="O169" s="584"/>
      <c r="P169" s="606" t="s">
        <v>882</v>
      </c>
      <c r="Q169" s="584"/>
      <c r="R169" s="606" t="s">
        <v>882</v>
      </c>
      <c r="S169" s="584"/>
      <c r="T169" s="606" t="s">
        <v>882</v>
      </c>
      <c r="U169" s="584"/>
      <c r="V169" s="606" t="s">
        <v>882</v>
      </c>
      <c r="W169" s="584"/>
      <c r="X169" s="404"/>
      <c r="Y169" s="584"/>
      <c r="Z169" s="584"/>
      <c r="AA169" s="584"/>
      <c r="AB169" s="585"/>
      <c r="AC169" s="586"/>
      <c r="AD169" s="587"/>
    </row>
    <row r="170" spans="1:30" x14ac:dyDescent="0.45">
      <c r="A170" s="582" t="s">
        <v>145</v>
      </c>
      <c r="B170" s="583">
        <v>46153</v>
      </c>
      <c r="C170" s="582"/>
      <c r="D170" s="606" t="s">
        <v>882</v>
      </c>
      <c r="E170" s="584">
        <v>1585</v>
      </c>
      <c r="F170" s="606" t="s">
        <v>882</v>
      </c>
      <c r="G170" s="584"/>
      <c r="H170" s="606" t="s">
        <v>882</v>
      </c>
      <c r="I170" s="584"/>
      <c r="J170" s="606" t="s">
        <v>882</v>
      </c>
      <c r="K170" s="584">
        <v>2550</v>
      </c>
      <c r="L170" s="606" t="s">
        <v>882</v>
      </c>
      <c r="M170" s="584"/>
      <c r="N170" s="606" t="s">
        <v>882</v>
      </c>
      <c r="O170" s="584"/>
      <c r="P170" s="606" t="s">
        <v>882</v>
      </c>
      <c r="Q170" s="584"/>
      <c r="R170" s="606" t="s">
        <v>882</v>
      </c>
      <c r="S170" s="584"/>
      <c r="T170" s="606" t="s">
        <v>882</v>
      </c>
      <c r="U170" s="584"/>
      <c r="V170" s="606" t="s">
        <v>882</v>
      </c>
      <c r="W170" s="584"/>
      <c r="X170" s="404"/>
      <c r="Y170" s="584"/>
      <c r="Z170" s="584"/>
      <c r="AA170" s="584"/>
      <c r="AB170" s="585"/>
      <c r="AC170" s="586"/>
      <c r="AD170" s="587"/>
    </row>
    <row r="171" spans="1:30" x14ac:dyDescent="0.45">
      <c r="A171" s="582"/>
      <c r="B171" s="583">
        <v>46153</v>
      </c>
      <c r="C171" s="582"/>
      <c r="D171" s="606" t="s">
        <v>882</v>
      </c>
      <c r="E171" s="584">
        <v>1575</v>
      </c>
      <c r="F171" s="606" t="s">
        <v>882</v>
      </c>
      <c r="G171" s="584"/>
      <c r="H171" s="606" t="s">
        <v>882</v>
      </c>
      <c r="I171" s="584"/>
      <c r="J171" s="606" t="s">
        <v>882</v>
      </c>
      <c r="K171" s="584">
        <v>2560</v>
      </c>
      <c r="L171" s="606" t="s">
        <v>882</v>
      </c>
      <c r="M171" s="584"/>
      <c r="N171" s="606" t="s">
        <v>882</v>
      </c>
      <c r="O171" s="584"/>
      <c r="P171" s="606" t="s">
        <v>882</v>
      </c>
      <c r="Q171" s="584"/>
      <c r="R171" s="606" t="s">
        <v>882</v>
      </c>
      <c r="S171" s="584"/>
      <c r="T171" s="606" t="s">
        <v>882</v>
      </c>
      <c r="U171" s="584"/>
      <c r="V171" s="606" t="s">
        <v>882</v>
      </c>
      <c r="W171" s="584"/>
      <c r="X171" s="404"/>
      <c r="Y171" s="584"/>
      <c r="Z171" s="584"/>
      <c r="AA171" s="584"/>
      <c r="AB171" s="585"/>
      <c r="AC171" s="586"/>
      <c r="AD171" s="587"/>
    </row>
    <row r="172" spans="1:30" x14ac:dyDescent="0.45">
      <c r="A172" s="582"/>
      <c r="B172" s="583">
        <v>46153</v>
      </c>
      <c r="C172" s="582"/>
      <c r="D172" s="606" t="s">
        <v>882</v>
      </c>
      <c r="E172" s="584"/>
      <c r="F172" s="606" t="s">
        <v>882</v>
      </c>
      <c r="G172" s="584"/>
      <c r="H172" s="606" t="s">
        <v>882</v>
      </c>
      <c r="I172" s="584"/>
      <c r="J172" s="606" t="s">
        <v>882</v>
      </c>
      <c r="K172" s="584">
        <v>2525</v>
      </c>
      <c r="L172" s="606" t="s">
        <v>882</v>
      </c>
      <c r="M172" s="584"/>
      <c r="N172" s="606" t="s">
        <v>882</v>
      </c>
      <c r="O172" s="584"/>
      <c r="P172" s="606" t="s">
        <v>882</v>
      </c>
      <c r="Q172" s="584"/>
      <c r="R172" s="606" t="s">
        <v>882</v>
      </c>
      <c r="S172" s="584"/>
      <c r="T172" s="606" t="s">
        <v>882</v>
      </c>
      <c r="U172" s="584"/>
      <c r="V172" s="606" t="s">
        <v>882</v>
      </c>
      <c r="W172" s="584"/>
      <c r="X172" s="404"/>
      <c r="Y172" s="584"/>
      <c r="Z172" s="584"/>
      <c r="AA172" s="584"/>
      <c r="AB172" s="585"/>
      <c r="AC172" s="586"/>
      <c r="AD172" s="587"/>
    </row>
    <row r="173" spans="1:30" x14ac:dyDescent="0.45">
      <c r="A173" s="582"/>
      <c r="B173" s="583">
        <v>46153</v>
      </c>
      <c r="C173" s="582"/>
      <c r="D173" s="606" t="s">
        <v>882</v>
      </c>
      <c r="E173" s="584"/>
      <c r="F173" s="606" t="s">
        <v>882</v>
      </c>
      <c r="G173" s="584"/>
      <c r="H173" s="606" t="s">
        <v>882</v>
      </c>
      <c r="I173" s="584"/>
      <c r="J173" s="606" t="s">
        <v>882</v>
      </c>
      <c r="K173" s="584">
        <v>2550</v>
      </c>
      <c r="L173" s="606" t="s">
        <v>882</v>
      </c>
      <c r="M173" s="584"/>
      <c r="N173" s="606" t="s">
        <v>882</v>
      </c>
      <c r="O173" s="584"/>
      <c r="P173" s="606" t="s">
        <v>882</v>
      </c>
      <c r="Q173" s="584"/>
      <c r="R173" s="606" t="s">
        <v>882</v>
      </c>
      <c r="S173" s="584"/>
      <c r="T173" s="606" t="s">
        <v>882</v>
      </c>
      <c r="U173" s="584"/>
      <c r="V173" s="606" t="s">
        <v>882</v>
      </c>
      <c r="W173" s="584"/>
      <c r="X173" s="404"/>
      <c r="Y173" s="584"/>
      <c r="Z173" s="584"/>
      <c r="AA173" s="584"/>
      <c r="AB173" s="585"/>
      <c r="AC173" s="586"/>
      <c r="AD173" s="587"/>
    </row>
    <row r="174" spans="1:30" x14ac:dyDescent="0.45">
      <c r="A174" s="582"/>
      <c r="B174" s="583">
        <v>46153</v>
      </c>
      <c r="C174" s="582"/>
      <c r="D174" s="606" t="s">
        <v>882</v>
      </c>
      <c r="E174" s="584"/>
      <c r="F174" s="606" t="s">
        <v>882</v>
      </c>
      <c r="G174" s="584"/>
      <c r="H174" s="606" t="s">
        <v>882</v>
      </c>
      <c r="I174" s="584"/>
      <c r="J174" s="606" t="s">
        <v>882</v>
      </c>
      <c r="K174" s="584">
        <v>2560</v>
      </c>
      <c r="L174" s="606" t="s">
        <v>882</v>
      </c>
      <c r="M174" s="584"/>
      <c r="N174" s="606" t="s">
        <v>882</v>
      </c>
      <c r="O174" s="584"/>
      <c r="P174" s="606" t="s">
        <v>882</v>
      </c>
      <c r="Q174" s="584"/>
      <c r="R174" s="606" t="s">
        <v>882</v>
      </c>
      <c r="S174" s="584"/>
      <c r="T174" s="606" t="s">
        <v>882</v>
      </c>
      <c r="U174" s="584"/>
      <c r="V174" s="606" t="s">
        <v>882</v>
      </c>
      <c r="W174" s="584"/>
      <c r="X174" s="404"/>
      <c r="Y174" s="584"/>
      <c r="Z174" s="584"/>
      <c r="AA174" s="584"/>
      <c r="AB174" s="585"/>
      <c r="AC174" s="586"/>
      <c r="AD174" s="587"/>
    </row>
    <row r="175" spans="1:30" x14ac:dyDescent="0.45">
      <c r="A175" s="582"/>
      <c r="B175" s="583">
        <v>46153</v>
      </c>
      <c r="C175" s="582"/>
      <c r="D175" s="606" t="s">
        <v>882</v>
      </c>
      <c r="E175" s="584"/>
      <c r="F175" s="606" t="s">
        <v>882</v>
      </c>
      <c r="G175" s="584"/>
      <c r="H175" s="606" t="s">
        <v>882</v>
      </c>
      <c r="I175" s="584"/>
      <c r="J175" s="606" t="s">
        <v>882</v>
      </c>
      <c r="K175" s="584">
        <v>2555</v>
      </c>
      <c r="L175" s="606" t="s">
        <v>882</v>
      </c>
      <c r="M175" s="584"/>
      <c r="N175" s="606" t="s">
        <v>882</v>
      </c>
      <c r="O175" s="584"/>
      <c r="P175" s="606" t="s">
        <v>882</v>
      </c>
      <c r="Q175" s="584"/>
      <c r="R175" s="606" t="s">
        <v>882</v>
      </c>
      <c r="S175" s="584"/>
      <c r="T175" s="606" t="s">
        <v>882</v>
      </c>
      <c r="U175" s="584"/>
      <c r="V175" s="606" t="s">
        <v>882</v>
      </c>
      <c r="W175" s="584"/>
      <c r="X175" s="404"/>
      <c r="Y175" s="584"/>
      <c r="Z175" s="584"/>
      <c r="AA175" s="584"/>
      <c r="AB175" s="585"/>
      <c r="AC175" s="586"/>
      <c r="AD175" s="587"/>
    </row>
    <row r="176" spans="1:30" x14ac:dyDescent="0.45">
      <c r="A176" s="582"/>
      <c r="B176" s="583">
        <v>46153</v>
      </c>
      <c r="C176" s="582"/>
      <c r="D176" s="606" t="s">
        <v>882</v>
      </c>
      <c r="E176" s="584"/>
      <c r="F176" s="606" t="s">
        <v>882</v>
      </c>
      <c r="G176" s="584"/>
      <c r="H176" s="606" t="s">
        <v>882</v>
      </c>
      <c r="I176" s="584"/>
      <c r="J176" s="606" t="s">
        <v>882</v>
      </c>
      <c r="K176" s="584">
        <v>2555</v>
      </c>
      <c r="L176" s="606" t="s">
        <v>882</v>
      </c>
      <c r="M176" s="584"/>
      <c r="N176" s="606" t="s">
        <v>882</v>
      </c>
      <c r="O176" s="584"/>
      <c r="P176" s="606" t="s">
        <v>882</v>
      </c>
      <c r="Q176" s="584"/>
      <c r="R176" s="606" t="s">
        <v>882</v>
      </c>
      <c r="S176" s="584"/>
      <c r="T176" s="606" t="s">
        <v>882</v>
      </c>
      <c r="U176" s="584"/>
      <c r="V176" s="606" t="s">
        <v>882</v>
      </c>
      <c r="W176" s="584"/>
      <c r="X176" s="404"/>
      <c r="Y176" s="584"/>
      <c r="Z176" s="584"/>
      <c r="AA176" s="584"/>
      <c r="AB176" s="585"/>
      <c r="AC176" s="586"/>
      <c r="AD176" s="587"/>
    </row>
    <row r="177" spans="1:30" x14ac:dyDescent="0.45">
      <c r="A177" s="582"/>
      <c r="B177" s="583">
        <v>46153</v>
      </c>
      <c r="C177" s="582">
        <v>30</v>
      </c>
      <c r="D177" s="606" t="s">
        <v>882</v>
      </c>
      <c r="E177" s="584"/>
      <c r="F177" s="606" t="s">
        <v>882</v>
      </c>
      <c r="G177" s="584"/>
      <c r="H177" s="606" t="s">
        <v>882</v>
      </c>
      <c r="I177" s="584"/>
      <c r="J177" s="606" t="s">
        <v>882</v>
      </c>
      <c r="K177" s="584">
        <v>2495</v>
      </c>
      <c r="L177" s="606" t="s">
        <v>882</v>
      </c>
      <c r="M177" s="584"/>
      <c r="N177" s="606" t="s">
        <v>882</v>
      </c>
      <c r="O177" s="584"/>
      <c r="P177" s="606" t="s">
        <v>882</v>
      </c>
      <c r="Q177" s="584"/>
      <c r="R177" s="606" t="s">
        <v>882</v>
      </c>
      <c r="S177" s="584"/>
      <c r="T177" s="606" t="s">
        <v>882</v>
      </c>
      <c r="U177" s="584"/>
      <c r="V177" s="606" t="s">
        <v>882</v>
      </c>
      <c r="W177" s="584"/>
      <c r="X177" s="404"/>
      <c r="Y177" s="584"/>
      <c r="Z177" s="584"/>
      <c r="AA177" s="584"/>
      <c r="AB177" s="585"/>
      <c r="AC177" s="586"/>
      <c r="AD177" s="587"/>
    </row>
    <row r="178" spans="1:30" x14ac:dyDescent="0.45">
      <c r="A178" s="582"/>
      <c r="B178" s="583">
        <v>46153</v>
      </c>
      <c r="C178" s="582"/>
      <c r="D178" s="606" t="s">
        <v>882</v>
      </c>
      <c r="E178" s="584"/>
      <c r="F178" s="606" t="s">
        <v>882</v>
      </c>
      <c r="G178" s="584"/>
      <c r="H178" s="606" t="s">
        <v>882</v>
      </c>
      <c r="I178" s="584"/>
      <c r="J178" s="606" t="s">
        <v>882</v>
      </c>
      <c r="K178" s="584">
        <v>2480</v>
      </c>
      <c r="L178" s="606" t="s">
        <v>882</v>
      </c>
      <c r="M178" s="584"/>
      <c r="N178" s="606" t="s">
        <v>882</v>
      </c>
      <c r="O178" s="584"/>
      <c r="P178" s="606" t="s">
        <v>882</v>
      </c>
      <c r="Q178" s="584"/>
      <c r="R178" s="606" t="s">
        <v>882</v>
      </c>
      <c r="S178" s="584"/>
      <c r="T178" s="606" t="s">
        <v>882</v>
      </c>
      <c r="U178" s="584"/>
      <c r="V178" s="606" t="s">
        <v>882</v>
      </c>
      <c r="W178" s="584"/>
      <c r="X178" s="404"/>
      <c r="Y178" s="584"/>
      <c r="Z178" s="584"/>
      <c r="AA178" s="584"/>
      <c r="AB178" s="585"/>
      <c r="AC178" s="586"/>
      <c r="AD178" s="587"/>
    </row>
    <row r="179" spans="1:30" x14ac:dyDescent="0.45">
      <c r="A179" s="582"/>
      <c r="B179" s="583">
        <v>46153</v>
      </c>
      <c r="C179" s="582"/>
      <c r="D179" s="606" t="s">
        <v>882</v>
      </c>
      <c r="E179" s="584"/>
      <c r="F179" s="606" t="s">
        <v>882</v>
      </c>
      <c r="G179" s="584"/>
      <c r="H179" s="606" t="s">
        <v>882</v>
      </c>
      <c r="I179" s="584"/>
      <c r="J179" s="606" t="s">
        <v>882</v>
      </c>
      <c r="K179" s="584">
        <v>3000</v>
      </c>
      <c r="L179" s="606" t="s">
        <v>882</v>
      </c>
      <c r="M179" s="584"/>
      <c r="N179" s="606" t="s">
        <v>882</v>
      </c>
      <c r="O179" s="584"/>
      <c r="P179" s="606" t="s">
        <v>882</v>
      </c>
      <c r="Q179" s="584"/>
      <c r="R179" s="606" t="s">
        <v>882</v>
      </c>
      <c r="S179" s="584"/>
      <c r="T179" s="606" t="s">
        <v>882</v>
      </c>
      <c r="U179" s="584"/>
      <c r="V179" s="606" t="s">
        <v>882</v>
      </c>
      <c r="W179" s="584"/>
      <c r="X179" s="404"/>
      <c r="Y179" s="584"/>
      <c r="Z179" s="584"/>
      <c r="AA179" s="584"/>
      <c r="AB179" s="585"/>
      <c r="AC179" s="586"/>
      <c r="AD179" s="587"/>
    </row>
    <row r="180" spans="1:30" x14ac:dyDescent="0.45">
      <c r="A180" s="582"/>
      <c r="B180" s="583">
        <v>46153</v>
      </c>
      <c r="C180" s="582"/>
      <c r="D180" s="606" t="s">
        <v>882</v>
      </c>
      <c r="E180" s="584"/>
      <c r="F180" s="606" t="s">
        <v>882</v>
      </c>
      <c r="G180" s="584"/>
      <c r="H180" s="606" t="s">
        <v>882</v>
      </c>
      <c r="I180" s="584"/>
      <c r="J180" s="606" t="s">
        <v>882</v>
      </c>
      <c r="K180" s="584">
        <v>2485</v>
      </c>
      <c r="L180" s="606" t="s">
        <v>882</v>
      </c>
      <c r="M180" s="584"/>
      <c r="N180" s="606" t="s">
        <v>882</v>
      </c>
      <c r="O180" s="584"/>
      <c r="P180" s="606" t="s">
        <v>882</v>
      </c>
      <c r="Q180" s="584"/>
      <c r="R180" s="606" t="s">
        <v>882</v>
      </c>
      <c r="S180" s="584"/>
      <c r="T180" s="606" t="s">
        <v>882</v>
      </c>
      <c r="U180" s="584"/>
      <c r="V180" s="606" t="s">
        <v>882</v>
      </c>
      <c r="W180" s="584"/>
      <c r="X180" s="404"/>
      <c r="Y180" s="584"/>
      <c r="Z180" s="584"/>
      <c r="AA180" s="584"/>
      <c r="AB180" s="585"/>
      <c r="AC180" s="586"/>
      <c r="AD180" s="587"/>
    </row>
    <row r="181" spans="1:30" x14ac:dyDescent="0.45">
      <c r="A181" s="582"/>
      <c r="B181" s="583">
        <v>46153</v>
      </c>
      <c r="C181" s="582"/>
      <c r="D181" s="606" t="s">
        <v>882</v>
      </c>
      <c r="E181" s="584"/>
      <c r="F181" s="606" t="s">
        <v>882</v>
      </c>
      <c r="G181" s="584"/>
      <c r="H181" s="606" t="s">
        <v>882</v>
      </c>
      <c r="I181" s="584"/>
      <c r="J181" s="606" t="s">
        <v>882</v>
      </c>
      <c r="K181" s="584">
        <v>2500</v>
      </c>
      <c r="L181" s="606" t="s">
        <v>882</v>
      </c>
      <c r="M181" s="584"/>
      <c r="N181" s="606" t="s">
        <v>882</v>
      </c>
      <c r="O181" s="584"/>
      <c r="P181" s="606" t="s">
        <v>882</v>
      </c>
      <c r="Q181" s="584"/>
      <c r="R181" s="606" t="s">
        <v>882</v>
      </c>
      <c r="S181" s="584"/>
      <c r="T181" s="606" t="s">
        <v>882</v>
      </c>
      <c r="U181" s="584"/>
      <c r="V181" s="606" t="s">
        <v>882</v>
      </c>
      <c r="W181" s="584"/>
      <c r="X181" s="404"/>
      <c r="Y181" s="584"/>
      <c r="Z181" s="584"/>
      <c r="AA181" s="584"/>
      <c r="AB181" s="585"/>
      <c r="AC181" s="586"/>
      <c r="AD181" s="587"/>
    </row>
    <row r="182" spans="1:30" x14ac:dyDescent="0.45">
      <c r="A182" s="582"/>
      <c r="B182" s="583">
        <v>46153</v>
      </c>
      <c r="C182" s="582"/>
      <c r="D182" s="606" t="s">
        <v>882</v>
      </c>
      <c r="E182" s="584"/>
      <c r="F182" s="606" t="s">
        <v>882</v>
      </c>
      <c r="G182" s="584"/>
      <c r="H182" s="606" t="s">
        <v>882</v>
      </c>
      <c r="I182" s="584"/>
      <c r="J182" s="606" t="s">
        <v>882</v>
      </c>
      <c r="K182" s="584">
        <v>2490</v>
      </c>
      <c r="L182" s="606" t="s">
        <v>882</v>
      </c>
      <c r="M182" s="584"/>
      <c r="N182" s="606" t="s">
        <v>882</v>
      </c>
      <c r="O182" s="584"/>
      <c r="P182" s="606" t="s">
        <v>882</v>
      </c>
      <c r="Q182" s="584"/>
      <c r="R182" s="606" t="s">
        <v>882</v>
      </c>
      <c r="S182" s="584"/>
      <c r="T182" s="606" t="s">
        <v>882</v>
      </c>
      <c r="U182" s="584"/>
      <c r="V182" s="606" t="s">
        <v>882</v>
      </c>
      <c r="W182" s="584"/>
      <c r="X182" s="404"/>
      <c r="Y182" s="584"/>
      <c r="Z182" s="584"/>
      <c r="AA182" s="584"/>
      <c r="AB182" s="585"/>
      <c r="AC182" s="586"/>
      <c r="AD182" s="587"/>
    </row>
    <row r="183" spans="1:30" x14ac:dyDescent="0.45">
      <c r="A183" s="582"/>
      <c r="B183" s="583">
        <v>46153</v>
      </c>
      <c r="C183" s="582"/>
      <c r="D183" s="606" t="s">
        <v>882</v>
      </c>
      <c r="E183" s="584"/>
      <c r="F183" s="606" t="s">
        <v>882</v>
      </c>
      <c r="G183" s="584"/>
      <c r="H183" s="606" t="s">
        <v>882</v>
      </c>
      <c r="I183" s="584"/>
      <c r="J183" s="606" t="s">
        <v>882</v>
      </c>
      <c r="K183" s="584">
        <v>2550</v>
      </c>
      <c r="L183" s="606" t="s">
        <v>882</v>
      </c>
      <c r="M183" s="584"/>
      <c r="N183" s="606" t="s">
        <v>882</v>
      </c>
      <c r="O183" s="584"/>
      <c r="P183" s="606" t="s">
        <v>882</v>
      </c>
      <c r="Q183" s="584"/>
      <c r="R183" s="606" t="s">
        <v>882</v>
      </c>
      <c r="S183" s="584"/>
      <c r="T183" s="606" t="s">
        <v>882</v>
      </c>
      <c r="U183" s="584"/>
      <c r="V183" s="606" t="s">
        <v>882</v>
      </c>
      <c r="W183" s="584"/>
      <c r="X183" s="404"/>
      <c r="Y183" s="584"/>
      <c r="Z183" s="584"/>
      <c r="AA183" s="584"/>
      <c r="AB183" s="585"/>
      <c r="AC183" s="586"/>
      <c r="AD183" s="587"/>
    </row>
    <row r="184" spans="1:30" x14ac:dyDescent="0.45">
      <c r="A184" s="582"/>
      <c r="B184" s="583">
        <v>46153</v>
      </c>
      <c r="C184" s="582"/>
      <c r="D184" s="606" t="s">
        <v>882</v>
      </c>
      <c r="E184" s="584"/>
      <c r="F184" s="606" t="s">
        <v>882</v>
      </c>
      <c r="G184" s="584"/>
      <c r="H184" s="606" t="s">
        <v>882</v>
      </c>
      <c r="I184" s="584"/>
      <c r="J184" s="606" t="s">
        <v>882</v>
      </c>
      <c r="K184" s="584">
        <v>2505</v>
      </c>
      <c r="L184" s="606" t="s">
        <v>882</v>
      </c>
      <c r="M184" s="584"/>
      <c r="N184" s="606" t="s">
        <v>882</v>
      </c>
      <c r="O184" s="584"/>
      <c r="P184" s="606" t="s">
        <v>882</v>
      </c>
      <c r="Q184" s="584"/>
      <c r="R184" s="606" t="s">
        <v>882</v>
      </c>
      <c r="S184" s="584"/>
      <c r="T184" s="606" t="s">
        <v>882</v>
      </c>
      <c r="U184" s="584"/>
      <c r="V184" s="606" t="s">
        <v>882</v>
      </c>
      <c r="W184" s="584"/>
      <c r="X184" s="404"/>
      <c r="Y184" s="584"/>
      <c r="Z184" s="584"/>
      <c r="AA184" s="584"/>
      <c r="AB184" s="585"/>
      <c r="AC184" s="586"/>
      <c r="AD184" s="587"/>
    </row>
    <row r="185" spans="1:30" x14ac:dyDescent="0.45">
      <c r="A185" s="582"/>
      <c r="B185" s="583">
        <v>46153</v>
      </c>
      <c r="C185" s="582"/>
      <c r="D185" s="606" t="s">
        <v>882</v>
      </c>
      <c r="E185" s="584"/>
      <c r="F185" s="606" t="s">
        <v>882</v>
      </c>
      <c r="G185" s="584"/>
      <c r="H185" s="606" t="s">
        <v>882</v>
      </c>
      <c r="I185" s="584"/>
      <c r="J185" s="606" t="s">
        <v>882</v>
      </c>
      <c r="K185" s="584">
        <v>2445</v>
      </c>
      <c r="L185" s="606" t="s">
        <v>882</v>
      </c>
      <c r="M185" s="584"/>
      <c r="N185" s="606" t="s">
        <v>882</v>
      </c>
      <c r="O185" s="584"/>
      <c r="P185" s="606" t="s">
        <v>882</v>
      </c>
      <c r="Q185" s="584"/>
      <c r="R185" s="606" t="s">
        <v>882</v>
      </c>
      <c r="S185" s="584"/>
      <c r="T185" s="606" t="s">
        <v>882</v>
      </c>
      <c r="U185" s="584"/>
      <c r="V185" s="606" t="s">
        <v>882</v>
      </c>
      <c r="W185" s="584"/>
      <c r="X185" s="404"/>
      <c r="Y185" s="584"/>
      <c r="Z185" s="584"/>
      <c r="AA185" s="584"/>
      <c r="AB185" s="585"/>
      <c r="AC185" s="586"/>
      <c r="AD185" s="587"/>
    </row>
    <row r="186" spans="1:30" x14ac:dyDescent="0.45">
      <c r="A186" s="582"/>
      <c r="B186" s="583">
        <v>46153</v>
      </c>
      <c r="C186" s="582"/>
      <c r="D186" s="606" t="s">
        <v>882</v>
      </c>
      <c r="E186" s="584"/>
      <c r="F186" s="606" t="s">
        <v>882</v>
      </c>
      <c r="G186" s="584"/>
      <c r="H186" s="606" t="s">
        <v>882</v>
      </c>
      <c r="I186" s="584"/>
      <c r="J186" s="606" t="s">
        <v>882</v>
      </c>
      <c r="K186" s="584">
        <v>2475</v>
      </c>
      <c r="L186" s="606" t="s">
        <v>882</v>
      </c>
      <c r="M186" s="584"/>
      <c r="N186" s="606" t="s">
        <v>882</v>
      </c>
      <c r="O186" s="584"/>
      <c r="P186" s="606" t="s">
        <v>882</v>
      </c>
      <c r="Q186" s="584"/>
      <c r="R186" s="606" t="s">
        <v>882</v>
      </c>
      <c r="S186" s="584"/>
      <c r="T186" s="606" t="s">
        <v>882</v>
      </c>
      <c r="U186" s="584"/>
      <c r="V186" s="606" t="s">
        <v>882</v>
      </c>
      <c r="W186" s="584"/>
      <c r="X186" s="404">
        <f>SUM(C169:U186)</f>
        <v>50620</v>
      </c>
      <c r="Y186" s="584"/>
      <c r="Z186" s="584"/>
      <c r="AA186" s="584"/>
      <c r="AB186" s="585">
        <f>(X186/1000)*640*AC186</f>
        <v>395240960</v>
      </c>
      <c r="AC186" s="586">
        <v>12200</v>
      </c>
      <c r="AD186" s="587">
        <f>(X186/1000)*640</f>
        <v>32396.799999999999</v>
      </c>
    </row>
    <row r="187" spans="1:30" x14ac:dyDescent="0.45">
      <c r="A187" s="582">
        <v>15</v>
      </c>
      <c r="B187" s="583">
        <v>46154</v>
      </c>
      <c r="C187" s="582"/>
      <c r="D187" s="606" t="s">
        <v>882</v>
      </c>
      <c r="E187" s="584">
        <v>1575</v>
      </c>
      <c r="F187" s="606" t="s">
        <v>882</v>
      </c>
      <c r="G187" s="584"/>
      <c r="H187" s="606" t="s">
        <v>882</v>
      </c>
      <c r="I187" s="584"/>
      <c r="J187" s="606" t="s">
        <v>882</v>
      </c>
      <c r="K187" s="584">
        <v>2545</v>
      </c>
      <c r="L187" s="606" t="s">
        <v>882</v>
      </c>
      <c r="M187" s="584"/>
      <c r="N187" s="606" t="s">
        <v>882</v>
      </c>
      <c r="O187" s="584"/>
      <c r="P187" s="606" t="s">
        <v>882</v>
      </c>
      <c r="Q187" s="584">
        <v>2485</v>
      </c>
      <c r="R187" s="606" t="s">
        <v>882</v>
      </c>
      <c r="S187" s="584"/>
      <c r="T187" s="606" t="s">
        <v>882</v>
      </c>
      <c r="U187" s="584"/>
      <c r="V187" s="606" t="s">
        <v>882</v>
      </c>
      <c r="W187" s="584"/>
      <c r="X187" s="404"/>
      <c r="Y187" s="584"/>
      <c r="Z187" s="584"/>
      <c r="AA187" s="584"/>
      <c r="AB187" s="585"/>
      <c r="AC187" s="586"/>
      <c r="AD187" s="587"/>
    </row>
    <row r="188" spans="1:30" x14ac:dyDescent="0.45">
      <c r="A188" s="582" t="s">
        <v>145</v>
      </c>
      <c r="B188" s="583">
        <v>46154</v>
      </c>
      <c r="C188" s="582"/>
      <c r="D188" s="606" t="s">
        <v>882</v>
      </c>
      <c r="E188" s="584">
        <v>1590</v>
      </c>
      <c r="F188" s="606" t="s">
        <v>882</v>
      </c>
      <c r="G188" s="584"/>
      <c r="H188" s="606" t="s">
        <v>882</v>
      </c>
      <c r="I188" s="584"/>
      <c r="J188" s="606" t="s">
        <v>882</v>
      </c>
      <c r="K188" s="584">
        <v>2550</v>
      </c>
      <c r="L188" s="606" t="s">
        <v>882</v>
      </c>
      <c r="M188" s="584"/>
      <c r="N188" s="606" t="s">
        <v>882</v>
      </c>
      <c r="O188" s="584"/>
      <c r="P188" s="606" t="s">
        <v>882</v>
      </c>
      <c r="Q188" s="584">
        <v>2490</v>
      </c>
      <c r="R188" s="606" t="s">
        <v>882</v>
      </c>
      <c r="S188" s="584"/>
      <c r="T188" s="606" t="s">
        <v>882</v>
      </c>
      <c r="U188" s="584"/>
      <c r="V188" s="606" t="s">
        <v>882</v>
      </c>
      <c r="W188" s="584"/>
      <c r="X188" s="404"/>
      <c r="Y188" s="584"/>
      <c r="Z188" s="584"/>
      <c r="AA188" s="584"/>
      <c r="AB188" s="585"/>
      <c r="AC188" s="586"/>
      <c r="AD188" s="587"/>
    </row>
    <row r="189" spans="1:30" x14ac:dyDescent="0.45">
      <c r="A189" s="582"/>
      <c r="B189" s="583">
        <v>46154</v>
      </c>
      <c r="C189" s="582"/>
      <c r="D189" s="606" t="s">
        <v>882</v>
      </c>
      <c r="E189" s="584">
        <v>1580</v>
      </c>
      <c r="F189" s="606" t="s">
        <v>882</v>
      </c>
      <c r="G189" s="584"/>
      <c r="H189" s="606" t="s">
        <v>882</v>
      </c>
      <c r="I189" s="584"/>
      <c r="J189" s="606" t="s">
        <v>882</v>
      </c>
      <c r="K189" s="584">
        <v>2560</v>
      </c>
      <c r="L189" s="606" t="s">
        <v>882</v>
      </c>
      <c r="M189" s="584"/>
      <c r="N189" s="606" t="s">
        <v>882</v>
      </c>
      <c r="O189" s="584"/>
      <c r="P189" s="606" t="s">
        <v>882</v>
      </c>
      <c r="Q189" s="584"/>
      <c r="R189" s="606" t="s">
        <v>882</v>
      </c>
      <c r="S189" s="584"/>
      <c r="T189" s="606" t="s">
        <v>882</v>
      </c>
      <c r="U189" s="584"/>
      <c r="V189" s="606" t="s">
        <v>882</v>
      </c>
      <c r="W189" s="584"/>
      <c r="X189" s="404"/>
      <c r="Y189" s="584"/>
      <c r="Z189" s="584"/>
      <c r="AA189" s="584"/>
      <c r="AB189" s="585"/>
      <c r="AC189" s="586"/>
      <c r="AD189" s="587"/>
    </row>
    <row r="190" spans="1:30" x14ac:dyDescent="0.45">
      <c r="A190" s="582"/>
      <c r="B190" s="583">
        <v>46154</v>
      </c>
      <c r="C190" s="582"/>
      <c r="D190" s="606" t="s">
        <v>882</v>
      </c>
      <c r="E190" s="584">
        <v>1585</v>
      </c>
      <c r="F190" s="606" t="s">
        <v>882</v>
      </c>
      <c r="G190" s="584"/>
      <c r="H190" s="606" t="s">
        <v>882</v>
      </c>
      <c r="I190" s="584"/>
      <c r="J190" s="606" t="s">
        <v>882</v>
      </c>
      <c r="K190" s="584">
        <v>2540</v>
      </c>
      <c r="L190" s="606" t="s">
        <v>882</v>
      </c>
      <c r="M190" s="584"/>
      <c r="N190" s="606" t="s">
        <v>882</v>
      </c>
      <c r="O190" s="584"/>
      <c r="P190" s="606" t="s">
        <v>882</v>
      </c>
      <c r="Q190" s="584"/>
      <c r="R190" s="606" t="s">
        <v>882</v>
      </c>
      <c r="S190" s="584"/>
      <c r="T190" s="606" t="s">
        <v>882</v>
      </c>
      <c r="U190" s="584"/>
      <c r="V190" s="606" t="s">
        <v>882</v>
      </c>
      <c r="W190" s="584"/>
      <c r="X190" s="404"/>
      <c r="Y190" s="584"/>
      <c r="Z190" s="584"/>
      <c r="AA190" s="584"/>
      <c r="AB190" s="585"/>
      <c r="AC190" s="586"/>
      <c r="AD190" s="587"/>
    </row>
    <row r="191" spans="1:30" x14ac:dyDescent="0.45">
      <c r="A191" s="582"/>
      <c r="B191" s="583">
        <v>46154</v>
      </c>
      <c r="C191" s="582"/>
      <c r="D191" s="606" t="s">
        <v>882</v>
      </c>
      <c r="E191" s="584">
        <v>1585</v>
      </c>
      <c r="F191" s="606" t="s">
        <v>882</v>
      </c>
      <c r="G191" s="584"/>
      <c r="H191" s="606" t="s">
        <v>882</v>
      </c>
      <c r="I191" s="584"/>
      <c r="J191" s="606" t="s">
        <v>882</v>
      </c>
      <c r="K191" s="584"/>
      <c r="L191" s="606" t="s">
        <v>882</v>
      </c>
      <c r="M191" s="584"/>
      <c r="N191" s="606" t="s">
        <v>882</v>
      </c>
      <c r="O191" s="584"/>
      <c r="P191" s="606" t="s">
        <v>882</v>
      </c>
      <c r="Q191" s="584"/>
      <c r="R191" s="606" t="s">
        <v>882</v>
      </c>
      <c r="S191" s="584"/>
      <c r="T191" s="606" t="s">
        <v>882</v>
      </c>
      <c r="U191" s="584"/>
      <c r="V191" s="606" t="s">
        <v>882</v>
      </c>
      <c r="W191" s="584"/>
      <c r="X191" s="404"/>
      <c r="Y191" s="584"/>
      <c r="Z191" s="584"/>
      <c r="AA191" s="584"/>
      <c r="AB191" s="585"/>
      <c r="AC191" s="586"/>
      <c r="AD191" s="587"/>
    </row>
    <row r="192" spans="1:30" x14ac:dyDescent="0.45">
      <c r="A192" s="588"/>
      <c r="B192" s="589">
        <v>46154</v>
      </c>
      <c r="C192" s="588"/>
      <c r="D192" s="606" t="s">
        <v>882</v>
      </c>
      <c r="E192" s="590">
        <v>1600</v>
      </c>
      <c r="F192" s="606" t="s">
        <v>882</v>
      </c>
      <c r="G192" s="590"/>
      <c r="H192" s="606" t="s">
        <v>882</v>
      </c>
      <c r="I192" s="590"/>
      <c r="J192" s="606" t="s">
        <v>882</v>
      </c>
      <c r="K192" s="590"/>
      <c r="L192" s="606" t="s">
        <v>882</v>
      </c>
      <c r="M192" s="590"/>
      <c r="N192" s="606" t="s">
        <v>882</v>
      </c>
      <c r="O192" s="590"/>
      <c r="P192" s="606" t="s">
        <v>882</v>
      </c>
      <c r="Q192" s="590"/>
      <c r="R192" s="606" t="s">
        <v>882</v>
      </c>
      <c r="S192" s="590"/>
      <c r="T192" s="606" t="s">
        <v>882</v>
      </c>
      <c r="U192" s="590"/>
      <c r="V192" s="606" t="s">
        <v>882</v>
      </c>
      <c r="W192" s="590"/>
      <c r="X192" s="479">
        <f>SUM(C187:U192)</f>
        <v>24685</v>
      </c>
      <c r="Y192" s="590"/>
      <c r="Z192" s="590"/>
      <c r="AA192" s="590"/>
      <c r="AB192" s="591">
        <f>(X192/1000)*640*AC192</f>
        <v>191160640</v>
      </c>
      <c r="AC192" s="592">
        <v>12100</v>
      </c>
      <c r="AD192" s="593">
        <f>(X192/1000)*640</f>
        <v>15798.4</v>
      </c>
    </row>
    <row r="193" spans="1:30" x14ac:dyDescent="0.45">
      <c r="A193" s="92">
        <v>16</v>
      </c>
      <c r="B193" s="480">
        <v>46162</v>
      </c>
      <c r="C193" s="92"/>
      <c r="D193" s="606" t="s">
        <v>882</v>
      </c>
      <c r="E193" s="481"/>
      <c r="F193" s="606" t="s">
        <v>882</v>
      </c>
      <c r="G193" s="481"/>
      <c r="H193" s="606" t="s">
        <v>882</v>
      </c>
      <c r="I193" s="481">
        <v>3130</v>
      </c>
      <c r="J193" s="606" t="s">
        <v>882</v>
      </c>
      <c r="K193" s="481"/>
      <c r="L193" s="606" t="s">
        <v>882</v>
      </c>
      <c r="M193" s="481"/>
      <c r="N193" s="606" t="s">
        <v>882</v>
      </c>
      <c r="O193" s="481"/>
      <c r="P193" s="606" t="s">
        <v>882</v>
      </c>
      <c r="Q193" s="481"/>
      <c r="R193" s="606" t="s">
        <v>882</v>
      </c>
      <c r="S193" s="481"/>
      <c r="T193" s="606" t="s">
        <v>882</v>
      </c>
      <c r="U193" s="481">
        <v>2455</v>
      </c>
      <c r="V193" s="606" t="s">
        <v>882</v>
      </c>
      <c r="W193" s="481">
        <v>2850</v>
      </c>
      <c r="X193" s="404"/>
      <c r="Y193" s="481"/>
      <c r="Z193" s="481"/>
      <c r="AA193" s="481"/>
      <c r="AB193" s="482"/>
      <c r="AC193" s="483"/>
      <c r="AD193" s="484"/>
    </row>
    <row r="194" spans="1:30" x14ac:dyDescent="0.45">
      <c r="A194" s="92" t="s">
        <v>145</v>
      </c>
      <c r="B194" s="480">
        <v>46162</v>
      </c>
      <c r="C194" s="92"/>
      <c r="D194" s="606" t="s">
        <v>882</v>
      </c>
      <c r="E194" s="481"/>
      <c r="F194" s="606" t="s">
        <v>882</v>
      </c>
      <c r="G194" s="481"/>
      <c r="H194" s="606" t="s">
        <v>882</v>
      </c>
      <c r="I194" s="481">
        <v>3080</v>
      </c>
      <c r="J194" s="606" t="s">
        <v>882</v>
      </c>
      <c r="K194" s="481"/>
      <c r="L194" s="606" t="s">
        <v>882</v>
      </c>
      <c r="M194" s="481"/>
      <c r="N194" s="606" t="s">
        <v>882</v>
      </c>
      <c r="O194" s="481"/>
      <c r="P194" s="606" t="s">
        <v>882</v>
      </c>
      <c r="Q194" s="481"/>
      <c r="R194" s="606" t="s">
        <v>882</v>
      </c>
      <c r="S194" s="481"/>
      <c r="T194" s="606" t="s">
        <v>882</v>
      </c>
      <c r="U194" s="481">
        <v>2455</v>
      </c>
      <c r="V194" s="606" t="s">
        <v>882</v>
      </c>
      <c r="W194" s="481">
        <v>2465</v>
      </c>
      <c r="X194" s="404"/>
      <c r="Y194" s="481"/>
      <c r="Z194" s="481"/>
      <c r="AA194" s="481"/>
      <c r="AB194" s="482"/>
      <c r="AC194" s="483"/>
      <c r="AD194" s="484"/>
    </row>
    <row r="195" spans="1:30" x14ac:dyDescent="0.45">
      <c r="A195" s="92"/>
      <c r="B195" s="480">
        <v>46162</v>
      </c>
      <c r="C195" s="92"/>
      <c r="D195" s="606" t="s">
        <v>882</v>
      </c>
      <c r="E195" s="481"/>
      <c r="F195" s="606" t="s">
        <v>882</v>
      </c>
      <c r="G195" s="481"/>
      <c r="H195" s="606" t="s">
        <v>882</v>
      </c>
      <c r="I195" s="481">
        <v>1990</v>
      </c>
      <c r="J195" s="606" t="s">
        <v>882</v>
      </c>
      <c r="K195" s="481"/>
      <c r="L195" s="606" t="s">
        <v>882</v>
      </c>
      <c r="M195" s="481"/>
      <c r="N195" s="606" t="s">
        <v>882</v>
      </c>
      <c r="O195" s="481"/>
      <c r="P195" s="606" t="s">
        <v>882</v>
      </c>
      <c r="Q195" s="481"/>
      <c r="R195" s="606" t="s">
        <v>882</v>
      </c>
      <c r="S195" s="481"/>
      <c r="T195" s="606" t="s">
        <v>882</v>
      </c>
      <c r="U195" s="481">
        <v>2455</v>
      </c>
      <c r="V195" s="606" t="s">
        <v>882</v>
      </c>
      <c r="W195" s="481">
        <v>2510</v>
      </c>
      <c r="X195" s="404"/>
      <c r="Y195" s="481"/>
      <c r="Z195" s="481"/>
      <c r="AA195" s="481"/>
      <c r="AB195" s="482"/>
      <c r="AC195" s="483"/>
      <c r="AD195" s="484"/>
    </row>
    <row r="196" spans="1:30" x14ac:dyDescent="0.45">
      <c r="A196" s="92"/>
      <c r="B196" s="480">
        <v>46162</v>
      </c>
      <c r="C196" s="92"/>
      <c r="D196" s="606" t="s">
        <v>882</v>
      </c>
      <c r="E196" s="481"/>
      <c r="F196" s="606" t="s">
        <v>882</v>
      </c>
      <c r="G196" s="481"/>
      <c r="H196" s="606" t="s">
        <v>882</v>
      </c>
      <c r="I196" s="481">
        <v>3080</v>
      </c>
      <c r="J196" s="606" t="s">
        <v>882</v>
      </c>
      <c r="K196" s="481"/>
      <c r="L196" s="606" t="s">
        <v>882</v>
      </c>
      <c r="M196" s="481"/>
      <c r="N196" s="606" t="s">
        <v>882</v>
      </c>
      <c r="O196" s="481"/>
      <c r="P196" s="606" t="s">
        <v>882</v>
      </c>
      <c r="Q196" s="481"/>
      <c r="R196" s="606" t="s">
        <v>882</v>
      </c>
      <c r="S196" s="481"/>
      <c r="T196" s="606" t="s">
        <v>882</v>
      </c>
      <c r="U196" s="481">
        <v>2455</v>
      </c>
      <c r="V196" s="606" t="s">
        <v>882</v>
      </c>
      <c r="W196" s="481">
        <v>2510</v>
      </c>
      <c r="X196" s="404"/>
      <c r="Y196" s="481"/>
      <c r="Z196" s="481"/>
      <c r="AA196" s="481"/>
      <c r="AB196" s="482"/>
      <c r="AC196" s="483"/>
      <c r="AD196" s="484"/>
    </row>
    <row r="197" spans="1:30" x14ac:dyDescent="0.45">
      <c r="A197" s="92"/>
      <c r="B197" s="480">
        <v>46162</v>
      </c>
      <c r="C197" s="92"/>
      <c r="D197" s="606" t="s">
        <v>882</v>
      </c>
      <c r="E197" s="481"/>
      <c r="F197" s="606" t="s">
        <v>882</v>
      </c>
      <c r="G197" s="481"/>
      <c r="H197" s="606" t="s">
        <v>882</v>
      </c>
      <c r="I197" s="481">
        <v>3125</v>
      </c>
      <c r="J197" s="606" t="s">
        <v>882</v>
      </c>
      <c r="K197" s="481"/>
      <c r="L197" s="606" t="s">
        <v>882</v>
      </c>
      <c r="M197" s="481"/>
      <c r="N197" s="606" t="s">
        <v>882</v>
      </c>
      <c r="O197" s="481"/>
      <c r="P197" s="606" t="s">
        <v>882</v>
      </c>
      <c r="Q197" s="481"/>
      <c r="R197" s="606" t="s">
        <v>882</v>
      </c>
      <c r="S197" s="481"/>
      <c r="T197" s="606" t="s">
        <v>882</v>
      </c>
      <c r="U197" s="481">
        <v>2435</v>
      </c>
      <c r="V197" s="606" t="s">
        <v>882</v>
      </c>
      <c r="W197" s="481"/>
      <c r="X197" s="404"/>
      <c r="Y197" s="481"/>
      <c r="Z197" s="481"/>
      <c r="AA197" s="481"/>
      <c r="AB197" s="482"/>
      <c r="AC197" s="483"/>
      <c r="AD197" s="484"/>
    </row>
    <row r="198" spans="1:30" x14ac:dyDescent="0.45">
      <c r="A198" s="92"/>
      <c r="B198" s="480">
        <v>46162</v>
      </c>
      <c r="C198" s="92"/>
      <c r="D198" s="606" t="s">
        <v>882</v>
      </c>
      <c r="E198" s="481"/>
      <c r="F198" s="606" t="s">
        <v>882</v>
      </c>
      <c r="G198" s="481"/>
      <c r="H198" s="606" t="s">
        <v>882</v>
      </c>
      <c r="I198" s="481"/>
      <c r="J198" s="606" t="s">
        <v>882</v>
      </c>
      <c r="K198" s="481"/>
      <c r="L198" s="606" t="s">
        <v>882</v>
      </c>
      <c r="M198" s="481"/>
      <c r="N198" s="606" t="s">
        <v>882</v>
      </c>
      <c r="O198" s="481"/>
      <c r="P198" s="606" t="s">
        <v>882</v>
      </c>
      <c r="Q198" s="481"/>
      <c r="R198" s="606" t="s">
        <v>882</v>
      </c>
      <c r="S198" s="481"/>
      <c r="T198" s="606" t="s">
        <v>882</v>
      </c>
      <c r="U198" s="481">
        <v>2435</v>
      </c>
      <c r="V198" s="606" t="s">
        <v>882</v>
      </c>
      <c r="W198" s="481"/>
      <c r="X198" s="404"/>
      <c r="Y198" s="481"/>
      <c r="Z198" s="481"/>
      <c r="AA198" s="481"/>
      <c r="AB198" s="482"/>
      <c r="AC198" s="483"/>
      <c r="AD198" s="484"/>
    </row>
    <row r="199" spans="1:30" x14ac:dyDescent="0.45">
      <c r="A199" s="92"/>
      <c r="B199" s="480">
        <v>46162</v>
      </c>
      <c r="C199" s="92"/>
      <c r="D199" s="606" t="s">
        <v>882</v>
      </c>
      <c r="E199" s="481"/>
      <c r="F199" s="606" t="s">
        <v>882</v>
      </c>
      <c r="G199" s="481"/>
      <c r="H199" s="606" t="s">
        <v>882</v>
      </c>
      <c r="I199" s="481"/>
      <c r="J199" s="606" t="s">
        <v>882</v>
      </c>
      <c r="K199" s="481"/>
      <c r="L199" s="606" t="s">
        <v>882</v>
      </c>
      <c r="M199" s="481"/>
      <c r="N199" s="606" t="s">
        <v>882</v>
      </c>
      <c r="O199" s="481"/>
      <c r="P199" s="606" t="s">
        <v>882</v>
      </c>
      <c r="Q199" s="481"/>
      <c r="R199" s="606" t="s">
        <v>882</v>
      </c>
      <c r="S199" s="481"/>
      <c r="T199" s="606" t="s">
        <v>882</v>
      </c>
      <c r="U199" s="481">
        <v>2455</v>
      </c>
      <c r="V199" s="606" t="s">
        <v>882</v>
      </c>
      <c r="W199" s="481"/>
      <c r="X199" s="404"/>
      <c r="Y199" s="481"/>
      <c r="Z199" s="481"/>
      <c r="AA199" s="481"/>
      <c r="AB199" s="482"/>
      <c r="AC199" s="483"/>
      <c r="AD199" s="484"/>
    </row>
    <row r="200" spans="1:30" x14ac:dyDescent="0.45">
      <c r="A200" s="92"/>
      <c r="B200" s="480">
        <v>46162</v>
      </c>
      <c r="C200" s="92"/>
      <c r="D200" s="606" t="s">
        <v>882</v>
      </c>
      <c r="E200" s="481"/>
      <c r="F200" s="606" t="s">
        <v>882</v>
      </c>
      <c r="G200" s="481"/>
      <c r="H200" s="606" t="s">
        <v>882</v>
      </c>
      <c r="I200" s="481"/>
      <c r="J200" s="606" t="s">
        <v>882</v>
      </c>
      <c r="K200" s="481"/>
      <c r="L200" s="606" t="s">
        <v>882</v>
      </c>
      <c r="M200" s="481"/>
      <c r="N200" s="606" t="s">
        <v>882</v>
      </c>
      <c r="O200" s="481"/>
      <c r="P200" s="606" t="s">
        <v>882</v>
      </c>
      <c r="Q200" s="481"/>
      <c r="R200" s="606" t="s">
        <v>882</v>
      </c>
      <c r="S200" s="481"/>
      <c r="T200" s="606" t="s">
        <v>882</v>
      </c>
      <c r="U200" s="481">
        <v>2435</v>
      </c>
      <c r="V200" s="606" t="s">
        <v>882</v>
      </c>
      <c r="W200" s="481"/>
      <c r="X200" s="404"/>
      <c r="Y200" s="481"/>
      <c r="Z200" s="481"/>
      <c r="AA200" s="481"/>
      <c r="AB200" s="482"/>
      <c r="AC200" s="483"/>
      <c r="AD200" s="484"/>
    </row>
    <row r="201" spans="1:30" x14ac:dyDescent="0.45">
      <c r="A201" s="92"/>
      <c r="B201" s="480">
        <v>46162</v>
      </c>
      <c r="C201" s="92"/>
      <c r="D201" s="606" t="s">
        <v>882</v>
      </c>
      <c r="E201" s="481"/>
      <c r="F201" s="606" t="s">
        <v>882</v>
      </c>
      <c r="G201" s="481"/>
      <c r="H201" s="606" t="s">
        <v>882</v>
      </c>
      <c r="I201" s="481"/>
      <c r="J201" s="606" t="s">
        <v>882</v>
      </c>
      <c r="K201" s="481"/>
      <c r="L201" s="606" t="s">
        <v>882</v>
      </c>
      <c r="M201" s="481"/>
      <c r="N201" s="606" t="s">
        <v>882</v>
      </c>
      <c r="O201" s="481"/>
      <c r="P201" s="606" t="s">
        <v>882</v>
      </c>
      <c r="Q201" s="481"/>
      <c r="R201" s="606" t="s">
        <v>882</v>
      </c>
      <c r="S201" s="481"/>
      <c r="T201" s="606" t="s">
        <v>882</v>
      </c>
      <c r="U201" s="481">
        <v>2485</v>
      </c>
      <c r="V201" s="606" t="s">
        <v>882</v>
      </c>
      <c r="W201" s="481"/>
      <c r="X201" s="404"/>
      <c r="Y201" s="481"/>
      <c r="Z201" s="481"/>
      <c r="AA201" s="481"/>
      <c r="AB201" s="482"/>
      <c r="AC201" s="483"/>
      <c r="AD201" s="484"/>
    </row>
    <row r="202" spans="1:30" x14ac:dyDescent="0.45">
      <c r="A202" s="92"/>
      <c r="B202" s="480">
        <v>46162</v>
      </c>
      <c r="C202" s="92"/>
      <c r="D202" s="606" t="s">
        <v>882</v>
      </c>
      <c r="E202" s="481"/>
      <c r="F202" s="606" t="s">
        <v>882</v>
      </c>
      <c r="G202" s="481"/>
      <c r="H202" s="606" t="s">
        <v>882</v>
      </c>
      <c r="I202" s="481"/>
      <c r="J202" s="606" t="s">
        <v>882</v>
      </c>
      <c r="K202" s="481"/>
      <c r="L202" s="606" t="s">
        <v>882</v>
      </c>
      <c r="M202" s="481"/>
      <c r="N202" s="606" t="s">
        <v>882</v>
      </c>
      <c r="O202" s="481"/>
      <c r="P202" s="606" t="s">
        <v>882</v>
      </c>
      <c r="Q202" s="481"/>
      <c r="R202" s="606" t="s">
        <v>882</v>
      </c>
      <c r="S202" s="481"/>
      <c r="T202" s="606" t="s">
        <v>882</v>
      </c>
      <c r="U202" s="481">
        <v>2415</v>
      </c>
      <c r="V202" s="606" t="s">
        <v>882</v>
      </c>
      <c r="W202" s="481"/>
      <c r="X202" s="404">
        <f>SUM(C193:W202)</f>
        <v>49220</v>
      </c>
      <c r="Y202" s="481"/>
      <c r="Z202" s="481"/>
      <c r="AA202" s="481"/>
      <c r="AB202" s="591">
        <f>(X202/1000)*640*AC202</f>
        <v>379899648</v>
      </c>
      <c r="AC202" s="592">
        <v>12060</v>
      </c>
      <c r="AD202" s="593">
        <f>(X202/1000)*640</f>
        <v>31500.799999999999</v>
      </c>
    </row>
    <row r="203" spans="1:30" x14ac:dyDescent="0.45">
      <c r="A203" s="92">
        <v>17</v>
      </c>
      <c r="B203" s="480">
        <v>46171</v>
      </c>
      <c r="C203" s="92" t="s">
        <v>858</v>
      </c>
      <c r="D203" s="606" t="s">
        <v>882</v>
      </c>
      <c r="E203" s="481">
        <v>1555</v>
      </c>
      <c r="F203" s="606" t="s">
        <v>882</v>
      </c>
      <c r="G203" s="481"/>
      <c r="H203" s="606" t="s">
        <v>882</v>
      </c>
      <c r="I203" s="481"/>
      <c r="J203" s="606" t="s">
        <v>882</v>
      </c>
      <c r="K203" s="481"/>
      <c r="L203" s="606" t="s">
        <v>882</v>
      </c>
      <c r="M203" s="481"/>
      <c r="N203" s="606" t="s">
        <v>882</v>
      </c>
      <c r="O203" s="481"/>
      <c r="P203" s="606" t="s">
        <v>882</v>
      </c>
      <c r="Q203" s="481"/>
      <c r="R203" s="606" t="s">
        <v>882</v>
      </c>
      <c r="S203" s="481"/>
      <c r="T203" s="606" t="s">
        <v>882</v>
      </c>
      <c r="U203" s="481">
        <v>2535</v>
      </c>
      <c r="V203" s="606" t="s">
        <v>882</v>
      </c>
      <c r="W203" s="481"/>
      <c r="X203" s="404"/>
      <c r="Y203" s="481"/>
      <c r="Z203" s="481"/>
      <c r="AA203" s="481"/>
      <c r="AB203" s="482"/>
      <c r="AC203" s="483"/>
      <c r="AD203" s="484"/>
    </row>
    <row r="204" spans="1:30" x14ac:dyDescent="0.45">
      <c r="A204" s="92" t="s">
        <v>145</v>
      </c>
      <c r="B204" s="480">
        <v>46171</v>
      </c>
      <c r="C204" s="92"/>
      <c r="D204" s="606" t="s">
        <v>882</v>
      </c>
      <c r="E204" s="481">
        <v>1560</v>
      </c>
      <c r="F204" s="606" t="s">
        <v>882</v>
      </c>
      <c r="G204" s="481"/>
      <c r="H204" s="606" t="s">
        <v>882</v>
      </c>
      <c r="I204" s="481"/>
      <c r="J204" s="606" t="s">
        <v>882</v>
      </c>
      <c r="K204" s="481"/>
      <c r="L204" s="606" t="s">
        <v>882</v>
      </c>
      <c r="M204" s="481"/>
      <c r="N204" s="606" t="s">
        <v>882</v>
      </c>
      <c r="O204" s="481"/>
      <c r="P204" s="606" t="s">
        <v>882</v>
      </c>
      <c r="Q204" s="481"/>
      <c r="R204" s="606" t="s">
        <v>882</v>
      </c>
      <c r="S204" s="481"/>
      <c r="T204" s="606" t="s">
        <v>882</v>
      </c>
      <c r="U204" s="481">
        <v>2525</v>
      </c>
      <c r="V204" s="606" t="s">
        <v>882</v>
      </c>
      <c r="W204" s="481"/>
      <c r="X204" s="404"/>
      <c r="Y204" s="481"/>
      <c r="Z204" s="481"/>
      <c r="AA204" s="481"/>
      <c r="AB204" s="482"/>
      <c r="AC204" s="483"/>
      <c r="AD204" s="484"/>
    </row>
    <row r="205" spans="1:30" x14ac:dyDescent="0.45">
      <c r="A205" s="92"/>
      <c r="B205" s="480">
        <v>46171</v>
      </c>
      <c r="C205" s="92"/>
      <c r="D205" s="606" t="s">
        <v>882</v>
      </c>
      <c r="E205" s="481">
        <v>1560</v>
      </c>
      <c r="F205" s="606" t="s">
        <v>882</v>
      </c>
      <c r="G205" s="481"/>
      <c r="H205" s="606" t="s">
        <v>882</v>
      </c>
      <c r="I205" s="481"/>
      <c r="J205" s="606" t="s">
        <v>882</v>
      </c>
      <c r="K205" s="481"/>
      <c r="L205" s="606" t="s">
        <v>882</v>
      </c>
      <c r="M205" s="481"/>
      <c r="N205" s="606" t="s">
        <v>882</v>
      </c>
      <c r="O205" s="481"/>
      <c r="P205" s="606" t="s">
        <v>882</v>
      </c>
      <c r="Q205" s="481"/>
      <c r="R205" s="606" t="s">
        <v>882</v>
      </c>
      <c r="S205" s="481"/>
      <c r="T205" s="606" t="s">
        <v>882</v>
      </c>
      <c r="U205" s="481">
        <v>2530</v>
      </c>
      <c r="V205" s="606" t="s">
        <v>882</v>
      </c>
      <c r="W205" s="481"/>
      <c r="X205" s="404"/>
      <c r="Y205" s="481"/>
      <c r="Z205" s="481"/>
      <c r="AA205" s="481"/>
      <c r="AB205" s="482"/>
      <c r="AC205" s="483"/>
      <c r="AD205" s="484"/>
    </row>
    <row r="206" spans="1:30" x14ac:dyDescent="0.45">
      <c r="A206" s="92"/>
      <c r="B206" s="480">
        <v>46171</v>
      </c>
      <c r="C206" s="92"/>
      <c r="D206" s="606" t="s">
        <v>882</v>
      </c>
      <c r="E206" s="481">
        <v>1560</v>
      </c>
      <c r="F206" s="606" t="s">
        <v>882</v>
      </c>
      <c r="G206" s="481"/>
      <c r="H206" s="606" t="s">
        <v>882</v>
      </c>
      <c r="I206" s="481"/>
      <c r="J206" s="606" t="s">
        <v>882</v>
      </c>
      <c r="K206" s="481"/>
      <c r="L206" s="606" t="s">
        <v>882</v>
      </c>
      <c r="M206" s="481"/>
      <c r="N206" s="606" t="s">
        <v>882</v>
      </c>
      <c r="O206" s="481"/>
      <c r="P206" s="606" t="s">
        <v>882</v>
      </c>
      <c r="Q206" s="481"/>
      <c r="R206" s="606" t="s">
        <v>882</v>
      </c>
      <c r="S206" s="481"/>
      <c r="T206" s="606" t="s">
        <v>882</v>
      </c>
      <c r="U206" s="481">
        <v>2525</v>
      </c>
      <c r="V206" s="606" t="s">
        <v>882</v>
      </c>
      <c r="W206" s="481"/>
      <c r="X206" s="404"/>
      <c r="Y206" s="481"/>
      <c r="Z206" s="481"/>
      <c r="AA206" s="481"/>
      <c r="AB206" s="482"/>
      <c r="AC206" s="483"/>
      <c r="AD206" s="484"/>
    </row>
    <row r="207" spans="1:30" x14ac:dyDescent="0.45">
      <c r="A207" s="92"/>
      <c r="B207" s="480">
        <v>46171</v>
      </c>
      <c r="C207" s="92"/>
      <c r="D207" s="606" t="s">
        <v>882</v>
      </c>
      <c r="E207" s="481">
        <v>1555</v>
      </c>
      <c r="F207" s="606" t="s">
        <v>882</v>
      </c>
      <c r="G207" s="481"/>
      <c r="H207" s="606" t="s">
        <v>882</v>
      </c>
      <c r="I207" s="481"/>
      <c r="J207" s="606" t="s">
        <v>882</v>
      </c>
      <c r="K207" s="481"/>
      <c r="L207" s="606" t="s">
        <v>882</v>
      </c>
      <c r="M207" s="481"/>
      <c r="N207" s="606" t="s">
        <v>882</v>
      </c>
      <c r="O207" s="481"/>
      <c r="P207" s="606" t="s">
        <v>882</v>
      </c>
      <c r="Q207" s="481"/>
      <c r="R207" s="606" t="s">
        <v>882</v>
      </c>
      <c r="S207" s="481"/>
      <c r="T207" s="606" t="s">
        <v>882</v>
      </c>
      <c r="U207" s="481"/>
      <c r="V207" s="606" t="s">
        <v>882</v>
      </c>
      <c r="W207" s="481"/>
      <c r="X207" s="404"/>
      <c r="Y207" s="481"/>
      <c r="Z207" s="481"/>
      <c r="AA207" s="481"/>
      <c r="AB207" s="482"/>
      <c r="AC207" s="483"/>
      <c r="AD207" s="484"/>
    </row>
    <row r="208" spans="1:30" x14ac:dyDescent="0.45">
      <c r="A208" s="485"/>
      <c r="B208" s="480">
        <v>46171</v>
      </c>
      <c r="C208" s="485"/>
      <c r="D208" s="606" t="s">
        <v>882</v>
      </c>
      <c r="E208" s="486">
        <v>1560</v>
      </c>
      <c r="F208" s="606" t="s">
        <v>882</v>
      </c>
      <c r="G208" s="486"/>
      <c r="H208" s="606" t="s">
        <v>882</v>
      </c>
      <c r="I208" s="486"/>
      <c r="J208" s="606" t="s">
        <v>882</v>
      </c>
      <c r="K208" s="486"/>
      <c r="L208" s="606" t="s">
        <v>882</v>
      </c>
      <c r="M208" s="486"/>
      <c r="N208" s="606" t="s">
        <v>882</v>
      </c>
      <c r="O208" s="486"/>
      <c r="P208" s="606" t="s">
        <v>882</v>
      </c>
      <c r="Q208" s="486"/>
      <c r="R208" s="606" t="s">
        <v>882</v>
      </c>
      <c r="S208" s="486"/>
      <c r="T208" s="606" t="s">
        <v>882</v>
      </c>
      <c r="U208" s="486"/>
      <c r="V208" s="606" t="s">
        <v>882</v>
      </c>
      <c r="W208" s="486"/>
      <c r="X208" s="479"/>
      <c r="Y208" s="486"/>
      <c r="Z208" s="486"/>
      <c r="AA208" s="486"/>
      <c r="AB208" s="487"/>
      <c r="AC208" s="488"/>
      <c r="AD208" s="489"/>
    </row>
    <row r="209" spans="1:30" x14ac:dyDescent="0.45">
      <c r="A209" s="92"/>
      <c r="B209" s="480">
        <v>46171</v>
      </c>
      <c r="C209" s="92"/>
      <c r="D209" s="606" t="s">
        <v>882</v>
      </c>
      <c r="E209" s="481">
        <v>1565</v>
      </c>
      <c r="F209" s="606" t="s">
        <v>882</v>
      </c>
      <c r="G209" s="481"/>
      <c r="H209" s="606" t="s">
        <v>882</v>
      </c>
      <c r="I209" s="481"/>
      <c r="J209" s="606" t="s">
        <v>882</v>
      </c>
      <c r="K209" s="481"/>
      <c r="L209" s="606" t="s">
        <v>882</v>
      </c>
      <c r="M209" s="481"/>
      <c r="N209" s="606" t="s">
        <v>882</v>
      </c>
      <c r="O209" s="481"/>
      <c r="P209" s="606" t="s">
        <v>882</v>
      </c>
      <c r="Q209" s="481"/>
      <c r="R209" s="606" t="s">
        <v>882</v>
      </c>
      <c r="S209" s="481"/>
      <c r="T209" s="606" t="s">
        <v>882</v>
      </c>
      <c r="U209" s="481"/>
      <c r="V209" s="606" t="s">
        <v>882</v>
      </c>
      <c r="W209" s="481"/>
      <c r="X209" s="404"/>
      <c r="Y209" s="481"/>
      <c r="Z209" s="481"/>
      <c r="AA209" s="481"/>
      <c r="AB209" s="482"/>
      <c r="AC209" s="483"/>
      <c r="AD209" s="484"/>
    </row>
    <row r="210" spans="1:30" x14ac:dyDescent="0.45">
      <c r="A210" s="92"/>
      <c r="B210" s="480">
        <v>46171</v>
      </c>
      <c r="C210" s="92"/>
      <c r="D210" s="606" t="s">
        <v>882</v>
      </c>
      <c r="E210" s="481">
        <v>1555</v>
      </c>
      <c r="F210" s="606" t="s">
        <v>882</v>
      </c>
      <c r="G210" s="481"/>
      <c r="H210" s="606" t="s">
        <v>882</v>
      </c>
      <c r="I210" s="481"/>
      <c r="J210" s="606" t="s">
        <v>882</v>
      </c>
      <c r="K210" s="481"/>
      <c r="L210" s="606" t="s">
        <v>882</v>
      </c>
      <c r="M210" s="481"/>
      <c r="N210" s="606" t="s">
        <v>882</v>
      </c>
      <c r="O210" s="481"/>
      <c r="P210" s="606" t="s">
        <v>882</v>
      </c>
      <c r="Q210" s="481"/>
      <c r="R210" s="606" t="s">
        <v>882</v>
      </c>
      <c r="S210" s="481"/>
      <c r="T210" s="606" t="s">
        <v>882</v>
      </c>
      <c r="U210" s="481"/>
      <c r="V210" s="606" t="s">
        <v>882</v>
      </c>
      <c r="W210" s="481"/>
      <c r="X210" s="404"/>
      <c r="Y210" s="481"/>
      <c r="Z210" s="481"/>
      <c r="AA210" s="481"/>
      <c r="AB210" s="482"/>
      <c r="AC210" s="483"/>
      <c r="AD210" s="484"/>
    </row>
    <row r="211" spans="1:30" x14ac:dyDescent="0.45">
      <c r="A211" s="92"/>
      <c r="B211" s="480">
        <v>46171</v>
      </c>
      <c r="C211" s="92"/>
      <c r="D211" s="606" t="s">
        <v>882</v>
      </c>
      <c r="E211" s="481">
        <v>1560</v>
      </c>
      <c r="F211" s="606" t="s">
        <v>882</v>
      </c>
      <c r="G211" s="481"/>
      <c r="H211" s="606" t="s">
        <v>882</v>
      </c>
      <c r="I211" s="481"/>
      <c r="J211" s="606" t="s">
        <v>882</v>
      </c>
      <c r="K211" s="481"/>
      <c r="L211" s="606" t="s">
        <v>882</v>
      </c>
      <c r="M211" s="481"/>
      <c r="N211" s="606" t="s">
        <v>882</v>
      </c>
      <c r="O211" s="481"/>
      <c r="P211" s="606" t="s">
        <v>882</v>
      </c>
      <c r="Q211" s="481"/>
      <c r="R211" s="606" t="s">
        <v>882</v>
      </c>
      <c r="S211" s="481"/>
      <c r="T211" s="606" t="s">
        <v>882</v>
      </c>
      <c r="U211" s="481"/>
      <c r="V211" s="606" t="s">
        <v>882</v>
      </c>
      <c r="W211" s="481"/>
      <c r="X211" s="404">
        <f>SUM(C203:W211)</f>
        <v>24145</v>
      </c>
      <c r="Y211" s="481"/>
      <c r="Z211" s="481"/>
      <c r="AA211" s="481"/>
      <c r="AB211" s="591">
        <f>(X211/1000)*640*AC211</f>
        <v>185433600</v>
      </c>
      <c r="AC211" s="592">
        <v>12000</v>
      </c>
      <c r="AD211" s="593">
        <f>(X211/1000)*640</f>
        <v>15452.8</v>
      </c>
    </row>
    <row r="212" spans="1:30" x14ac:dyDescent="0.45">
      <c r="A212" s="92">
        <v>18</v>
      </c>
      <c r="B212" s="480">
        <v>46172</v>
      </c>
      <c r="C212" s="92" t="s">
        <v>859</v>
      </c>
      <c r="D212" s="606" t="s">
        <v>882</v>
      </c>
      <c r="E212" s="481"/>
      <c r="F212" s="606" t="s">
        <v>882</v>
      </c>
      <c r="G212" s="481"/>
      <c r="H212" s="606" t="s">
        <v>882</v>
      </c>
      <c r="I212" s="481">
        <v>3070</v>
      </c>
      <c r="J212" s="606" t="s">
        <v>882</v>
      </c>
      <c r="K212" s="481"/>
      <c r="L212" s="606" t="s">
        <v>882</v>
      </c>
      <c r="M212" s="481"/>
      <c r="N212" s="606" t="s">
        <v>882</v>
      </c>
      <c r="O212" s="481"/>
      <c r="P212" s="606" t="s">
        <v>882</v>
      </c>
      <c r="Q212" s="481"/>
      <c r="R212" s="606" t="s">
        <v>882</v>
      </c>
      <c r="S212" s="481"/>
      <c r="T212" s="606" t="s">
        <v>882</v>
      </c>
      <c r="U212" s="481"/>
      <c r="V212" s="606" t="s">
        <v>882</v>
      </c>
      <c r="W212" s="481">
        <v>2465</v>
      </c>
      <c r="X212" s="404"/>
      <c r="Y212" s="481"/>
      <c r="Z212" s="481"/>
      <c r="AA212" s="481"/>
      <c r="AB212" s="482"/>
      <c r="AC212" s="483"/>
      <c r="AD212" s="484"/>
    </row>
    <row r="213" spans="1:30" x14ac:dyDescent="0.45">
      <c r="A213" s="92" t="s">
        <v>145</v>
      </c>
      <c r="B213" s="480">
        <v>46172</v>
      </c>
      <c r="C213" s="92"/>
      <c r="D213" s="606" t="s">
        <v>882</v>
      </c>
      <c r="E213" s="481"/>
      <c r="F213" s="606" t="s">
        <v>882</v>
      </c>
      <c r="G213" s="481"/>
      <c r="H213" s="606" t="s">
        <v>882</v>
      </c>
      <c r="I213" s="481">
        <v>3075</v>
      </c>
      <c r="J213" s="606" t="s">
        <v>882</v>
      </c>
      <c r="K213" s="481"/>
      <c r="L213" s="606" t="s">
        <v>882</v>
      </c>
      <c r="M213" s="481"/>
      <c r="N213" s="606" t="s">
        <v>882</v>
      </c>
      <c r="O213" s="481"/>
      <c r="P213" s="606" t="s">
        <v>882</v>
      </c>
      <c r="Q213" s="481"/>
      <c r="R213" s="606" t="s">
        <v>882</v>
      </c>
      <c r="S213" s="481"/>
      <c r="T213" s="606" t="s">
        <v>882</v>
      </c>
      <c r="U213" s="481"/>
      <c r="V213" s="606" t="s">
        <v>882</v>
      </c>
      <c r="W213" s="481">
        <v>2470</v>
      </c>
      <c r="X213" s="404"/>
      <c r="Y213" s="481"/>
      <c r="Z213" s="481"/>
      <c r="AA213" s="481"/>
      <c r="AB213" s="482"/>
      <c r="AC213" s="483"/>
      <c r="AD213" s="484"/>
    </row>
    <row r="214" spans="1:30" x14ac:dyDescent="0.45">
      <c r="A214" s="92"/>
      <c r="B214" s="480">
        <v>46172</v>
      </c>
      <c r="C214" s="92"/>
      <c r="D214" s="606" t="s">
        <v>882</v>
      </c>
      <c r="E214" s="481"/>
      <c r="F214" s="606" t="s">
        <v>882</v>
      </c>
      <c r="G214" s="481"/>
      <c r="H214" s="606" t="s">
        <v>882</v>
      </c>
      <c r="I214" s="481">
        <v>3095</v>
      </c>
      <c r="J214" s="606" t="s">
        <v>882</v>
      </c>
      <c r="K214" s="481"/>
      <c r="L214" s="606" t="s">
        <v>882</v>
      </c>
      <c r="M214" s="481"/>
      <c r="N214" s="606" t="s">
        <v>882</v>
      </c>
      <c r="O214" s="481"/>
      <c r="P214" s="606" t="s">
        <v>882</v>
      </c>
      <c r="Q214" s="481"/>
      <c r="R214" s="606" t="s">
        <v>882</v>
      </c>
      <c r="S214" s="481"/>
      <c r="T214" s="606" t="s">
        <v>882</v>
      </c>
      <c r="U214" s="481"/>
      <c r="V214" s="606" t="s">
        <v>882</v>
      </c>
      <c r="W214" s="481">
        <v>2475</v>
      </c>
      <c r="X214" s="404"/>
      <c r="Y214" s="481"/>
      <c r="Z214" s="481"/>
      <c r="AA214" s="481"/>
      <c r="AB214" s="482"/>
      <c r="AC214" s="483"/>
      <c r="AD214" s="484"/>
    </row>
    <row r="215" spans="1:30" x14ac:dyDescent="0.45">
      <c r="A215" s="92"/>
      <c r="B215" s="480">
        <v>46172</v>
      </c>
      <c r="C215" s="92"/>
      <c r="D215" s="606" t="s">
        <v>882</v>
      </c>
      <c r="E215" s="481"/>
      <c r="F215" s="606" t="s">
        <v>882</v>
      </c>
      <c r="G215" s="481"/>
      <c r="H215" s="606" t="s">
        <v>882</v>
      </c>
      <c r="I215" s="481">
        <v>3085</v>
      </c>
      <c r="J215" s="606" t="s">
        <v>882</v>
      </c>
      <c r="K215" s="481"/>
      <c r="L215" s="606" t="s">
        <v>882</v>
      </c>
      <c r="M215" s="481"/>
      <c r="N215" s="606" t="s">
        <v>882</v>
      </c>
      <c r="O215" s="481"/>
      <c r="P215" s="606" t="s">
        <v>882</v>
      </c>
      <c r="Q215" s="481"/>
      <c r="R215" s="606" t="s">
        <v>882</v>
      </c>
      <c r="S215" s="481"/>
      <c r="T215" s="606" t="s">
        <v>882</v>
      </c>
      <c r="U215" s="481"/>
      <c r="V215" s="606" t="s">
        <v>882</v>
      </c>
      <c r="W215" s="481">
        <v>2475</v>
      </c>
      <c r="X215" s="404"/>
      <c r="Y215" s="481"/>
      <c r="Z215" s="481"/>
      <c r="AA215" s="481"/>
      <c r="AB215" s="482"/>
      <c r="AC215" s="483"/>
      <c r="AD215" s="484"/>
    </row>
    <row r="216" spans="1:30" x14ac:dyDescent="0.45">
      <c r="A216" s="92"/>
      <c r="B216" s="480">
        <v>46172</v>
      </c>
      <c r="C216" s="92"/>
      <c r="D216" s="606" t="s">
        <v>882</v>
      </c>
      <c r="E216" s="481"/>
      <c r="F216" s="606" t="s">
        <v>882</v>
      </c>
      <c r="G216" s="481"/>
      <c r="H216" s="606" t="s">
        <v>882</v>
      </c>
      <c r="I216" s="481">
        <v>3085</v>
      </c>
      <c r="J216" s="606" t="s">
        <v>882</v>
      </c>
      <c r="K216" s="481"/>
      <c r="L216" s="606" t="s">
        <v>882</v>
      </c>
      <c r="M216" s="481"/>
      <c r="N216" s="606" t="s">
        <v>882</v>
      </c>
      <c r="O216" s="481"/>
      <c r="P216" s="606" t="s">
        <v>882</v>
      </c>
      <c r="Q216" s="481"/>
      <c r="R216" s="606" t="s">
        <v>882</v>
      </c>
      <c r="S216" s="481"/>
      <c r="T216" s="606" t="s">
        <v>882</v>
      </c>
      <c r="U216" s="481"/>
      <c r="V216" s="606" t="s">
        <v>882</v>
      </c>
      <c r="W216" s="481"/>
      <c r="X216" s="404"/>
      <c r="Y216" s="481"/>
      <c r="Z216" s="481"/>
      <c r="AA216" s="481"/>
      <c r="AB216" s="482"/>
      <c r="AC216" s="483"/>
      <c r="AD216" s="484"/>
    </row>
    <row r="217" spans="1:30" x14ac:dyDescent="0.45">
      <c r="A217" s="92"/>
      <c r="B217" s="480">
        <v>46172</v>
      </c>
      <c r="C217" s="92" t="s">
        <v>860</v>
      </c>
      <c r="D217" s="606" t="s">
        <v>882</v>
      </c>
      <c r="E217" s="481"/>
      <c r="F217" s="606" t="s">
        <v>882</v>
      </c>
      <c r="G217" s="481"/>
      <c r="H217" s="606" t="s">
        <v>882</v>
      </c>
      <c r="I217" s="481"/>
      <c r="J217" s="606" t="s">
        <v>882</v>
      </c>
      <c r="K217" s="481"/>
      <c r="L217" s="606" t="s">
        <v>882</v>
      </c>
      <c r="M217" s="481"/>
      <c r="N217" s="606" t="s">
        <v>882</v>
      </c>
      <c r="O217" s="481"/>
      <c r="P217" s="606" t="s">
        <v>882</v>
      </c>
      <c r="Q217" s="481"/>
      <c r="R217" s="606" t="s">
        <v>882</v>
      </c>
      <c r="S217" s="481"/>
      <c r="T217" s="606" t="s">
        <v>882</v>
      </c>
      <c r="U217" s="481">
        <v>2530</v>
      </c>
      <c r="V217" s="606" t="s">
        <v>882</v>
      </c>
      <c r="W217" s="481"/>
      <c r="X217" s="404"/>
      <c r="Y217" s="481"/>
      <c r="Z217" s="481"/>
      <c r="AA217" s="481"/>
      <c r="AB217" s="482"/>
      <c r="AC217" s="483"/>
      <c r="AD217" s="484"/>
    </row>
    <row r="218" spans="1:30" x14ac:dyDescent="0.45">
      <c r="A218" s="92"/>
      <c r="B218" s="480">
        <v>46172</v>
      </c>
      <c r="C218" s="92"/>
      <c r="D218" s="606" t="s">
        <v>882</v>
      </c>
      <c r="E218" s="481"/>
      <c r="F218" s="606" t="s">
        <v>882</v>
      </c>
      <c r="G218" s="481"/>
      <c r="H218" s="606" t="s">
        <v>882</v>
      </c>
      <c r="I218" s="481"/>
      <c r="J218" s="606" t="s">
        <v>882</v>
      </c>
      <c r="K218" s="481"/>
      <c r="L218" s="606" t="s">
        <v>882</v>
      </c>
      <c r="M218" s="481"/>
      <c r="N218" s="606" t="s">
        <v>882</v>
      </c>
      <c r="O218" s="481"/>
      <c r="P218" s="606" t="s">
        <v>882</v>
      </c>
      <c r="Q218" s="481"/>
      <c r="R218" s="606" t="s">
        <v>882</v>
      </c>
      <c r="S218" s="481"/>
      <c r="T218" s="606" t="s">
        <v>882</v>
      </c>
      <c r="U218" s="481">
        <v>2495</v>
      </c>
      <c r="V218" s="606" t="s">
        <v>882</v>
      </c>
      <c r="W218" s="481"/>
      <c r="X218" s="404"/>
      <c r="Y218" s="481"/>
      <c r="Z218" s="481"/>
      <c r="AA218" s="481"/>
      <c r="AB218" s="482"/>
      <c r="AC218" s="483"/>
      <c r="AD218" s="484"/>
    </row>
    <row r="219" spans="1:30" x14ac:dyDescent="0.45">
      <c r="A219" s="92"/>
      <c r="B219" s="480">
        <v>46172</v>
      </c>
      <c r="C219" s="92"/>
      <c r="D219" s="606" t="s">
        <v>882</v>
      </c>
      <c r="E219" s="481"/>
      <c r="F219" s="606" t="s">
        <v>882</v>
      </c>
      <c r="G219" s="481"/>
      <c r="H219" s="606" t="s">
        <v>882</v>
      </c>
      <c r="I219" s="481"/>
      <c r="J219" s="606" t="s">
        <v>882</v>
      </c>
      <c r="K219" s="481"/>
      <c r="L219" s="606" t="s">
        <v>882</v>
      </c>
      <c r="M219" s="481"/>
      <c r="N219" s="606" t="s">
        <v>882</v>
      </c>
      <c r="O219" s="481"/>
      <c r="P219" s="606" t="s">
        <v>882</v>
      </c>
      <c r="Q219" s="481"/>
      <c r="R219" s="606" t="s">
        <v>882</v>
      </c>
      <c r="S219" s="481"/>
      <c r="T219" s="606" t="s">
        <v>882</v>
      </c>
      <c r="U219" s="481">
        <v>2500</v>
      </c>
      <c r="V219" s="606" t="s">
        <v>882</v>
      </c>
      <c r="W219" s="481"/>
      <c r="X219" s="404"/>
      <c r="Y219" s="481"/>
      <c r="Z219" s="481"/>
      <c r="AA219" s="481"/>
      <c r="AB219" s="482"/>
      <c r="AC219" s="483"/>
      <c r="AD219" s="484"/>
    </row>
    <row r="220" spans="1:30" x14ac:dyDescent="0.45">
      <c r="A220" s="92"/>
      <c r="B220" s="480">
        <v>46172</v>
      </c>
      <c r="C220" s="92"/>
      <c r="D220" s="606" t="s">
        <v>882</v>
      </c>
      <c r="E220" s="481"/>
      <c r="F220" s="606" t="s">
        <v>882</v>
      </c>
      <c r="G220" s="481"/>
      <c r="H220" s="606" t="s">
        <v>882</v>
      </c>
      <c r="I220" s="481"/>
      <c r="J220" s="606" t="s">
        <v>882</v>
      </c>
      <c r="K220" s="481"/>
      <c r="L220" s="606" t="s">
        <v>882</v>
      </c>
      <c r="M220" s="481"/>
      <c r="N220" s="606" t="s">
        <v>882</v>
      </c>
      <c r="O220" s="481"/>
      <c r="P220" s="606" t="s">
        <v>882</v>
      </c>
      <c r="Q220" s="481"/>
      <c r="R220" s="606" t="s">
        <v>882</v>
      </c>
      <c r="S220" s="481"/>
      <c r="T220" s="606" t="s">
        <v>882</v>
      </c>
      <c r="U220" s="481">
        <v>2520</v>
      </c>
      <c r="V220" s="606" t="s">
        <v>882</v>
      </c>
      <c r="W220" s="481"/>
      <c r="X220" s="404"/>
      <c r="Y220" s="481"/>
      <c r="Z220" s="481"/>
      <c r="AA220" s="481"/>
      <c r="AB220" s="482"/>
      <c r="AC220" s="483"/>
      <c r="AD220" s="484"/>
    </row>
    <row r="221" spans="1:30" x14ac:dyDescent="0.45">
      <c r="A221" s="92"/>
      <c r="B221" s="480">
        <v>46172</v>
      </c>
      <c r="C221" s="92"/>
      <c r="D221" s="606" t="s">
        <v>882</v>
      </c>
      <c r="E221" s="481"/>
      <c r="F221" s="606" t="s">
        <v>882</v>
      </c>
      <c r="G221" s="481"/>
      <c r="H221" s="606" t="s">
        <v>882</v>
      </c>
      <c r="I221" s="481"/>
      <c r="J221" s="606" t="s">
        <v>882</v>
      </c>
      <c r="K221" s="481"/>
      <c r="L221" s="606" t="s">
        <v>882</v>
      </c>
      <c r="M221" s="481"/>
      <c r="N221" s="606" t="s">
        <v>882</v>
      </c>
      <c r="O221" s="481"/>
      <c r="P221" s="606" t="s">
        <v>882</v>
      </c>
      <c r="Q221" s="481"/>
      <c r="R221" s="606" t="s">
        <v>882</v>
      </c>
      <c r="S221" s="481"/>
      <c r="T221" s="606" t="s">
        <v>882</v>
      </c>
      <c r="U221" s="481">
        <v>2485</v>
      </c>
      <c r="V221" s="606" t="s">
        <v>882</v>
      </c>
      <c r="W221" s="481"/>
      <c r="X221" s="404"/>
      <c r="Y221" s="481"/>
      <c r="Z221" s="481"/>
      <c r="AA221" s="481"/>
      <c r="AB221" s="482"/>
      <c r="AC221" s="483"/>
      <c r="AD221" s="484"/>
    </row>
    <row r="222" spans="1:30" x14ac:dyDescent="0.45">
      <c r="A222" s="92"/>
      <c r="B222" s="480">
        <v>46172</v>
      </c>
      <c r="C222" s="92"/>
      <c r="D222" s="606" t="s">
        <v>882</v>
      </c>
      <c r="E222" s="481"/>
      <c r="F222" s="606" t="s">
        <v>882</v>
      </c>
      <c r="G222" s="481"/>
      <c r="H222" s="606" t="s">
        <v>882</v>
      </c>
      <c r="I222" s="481"/>
      <c r="J222" s="606" t="s">
        <v>882</v>
      </c>
      <c r="K222" s="481"/>
      <c r="L222" s="606" t="s">
        <v>882</v>
      </c>
      <c r="M222" s="481"/>
      <c r="N222" s="606" t="s">
        <v>882</v>
      </c>
      <c r="O222" s="481"/>
      <c r="P222" s="606" t="s">
        <v>882</v>
      </c>
      <c r="Q222" s="481"/>
      <c r="R222" s="606" t="s">
        <v>882</v>
      </c>
      <c r="S222" s="481"/>
      <c r="T222" s="606" t="s">
        <v>882</v>
      </c>
      <c r="U222" s="481">
        <v>2485</v>
      </c>
      <c r="V222" s="606" t="s">
        <v>882</v>
      </c>
      <c r="W222" s="481"/>
      <c r="X222" s="404"/>
      <c r="Y222" s="481"/>
      <c r="Z222" s="481"/>
      <c r="AA222" s="481"/>
      <c r="AB222" s="482"/>
      <c r="AC222" s="483"/>
      <c r="AD222" s="484"/>
    </row>
    <row r="223" spans="1:30" x14ac:dyDescent="0.45">
      <c r="A223" s="92"/>
      <c r="B223" s="480">
        <v>46172</v>
      </c>
      <c r="C223" s="92"/>
      <c r="D223" s="606" t="s">
        <v>882</v>
      </c>
      <c r="E223" s="481"/>
      <c r="F223" s="606" t="s">
        <v>882</v>
      </c>
      <c r="G223" s="481"/>
      <c r="H223" s="606" t="s">
        <v>882</v>
      </c>
      <c r="I223" s="481"/>
      <c r="J223" s="606" t="s">
        <v>882</v>
      </c>
      <c r="K223" s="481"/>
      <c r="L223" s="606" t="s">
        <v>882</v>
      </c>
      <c r="M223" s="481"/>
      <c r="N223" s="606" t="s">
        <v>882</v>
      </c>
      <c r="O223" s="481"/>
      <c r="P223" s="606" t="s">
        <v>882</v>
      </c>
      <c r="Q223" s="481"/>
      <c r="R223" s="606" t="s">
        <v>882</v>
      </c>
      <c r="S223" s="481"/>
      <c r="T223" s="606" t="s">
        <v>882</v>
      </c>
      <c r="U223" s="481">
        <v>2490</v>
      </c>
      <c r="V223" s="606" t="s">
        <v>882</v>
      </c>
      <c r="W223" s="481"/>
      <c r="X223" s="404"/>
      <c r="Y223" s="481"/>
      <c r="Z223" s="481"/>
      <c r="AA223" s="481"/>
      <c r="AB223" s="482"/>
      <c r="AC223" s="483"/>
      <c r="AD223" s="484"/>
    </row>
    <row r="224" spans="1:30" x14ac:dyDescent="0.45">
      <c r="A224" s="92"/>
      <c r="B224" s="480">
        <v>46172</v>
      </c>
      <c r="C224" s="92"/>
      <c r="D224" s="606" t="s">
        <v>882</v>
      </c>
      <c r="E224" s="481"/>
      <c r="F224" s="606" t="s">
        <v>882</v>
      </c>
      <c r="G224" s="481"/>
      <c r="H224" s="606" t="s">
        <v>882</v>
      </c>
      <c r="I224" s="481"/>
      <c r="J224" s="606" t="s">
        <v>882</v>
      </c>
      <c r="K224" s="481"/>
      <c r="L224" s="606" t="s">
        <v>882</v>
      </c>
      <c r="M224" s="481"/>
      <c r="N224" s="606" t="s">
        <v>882</v>
      </c>
      <c r="O224" s="481"/>
      <c r="P224" s="606" t="s">
        <v>882</v>
      </c>
      <c r="Q224" s="481"/>
      <c r="R224" s="606" t="s">
        <v>882</v>
      </c>
      <c r="S224" s="481"/>
      <c r="T224" s="606" t="s">
        <v>882</v>
      </c>
      <c r="U224" s="481">
        <v>2520</v>
      </c>
      <c r="V224" s="606" t="s">
        <v>882</v>
      </c>
      <c r="W224" s="481"/>
      <c r="X224" s="404"/>
      <c r="Y224" s="481"/>
      <c r="Z224" s="481"/>
      <c r="AA224" s="481"/>
      <c r="AB224" s="482"/>
      <c r="AC224" s="483"/>
      <c r="AD224" s="484"/>
    </row>
    <row r="225" spans="1:30" x14ac:dyDescent="0.45">
      <c r="A225" s="92"/>
      <c r="B225" s="480">
        <v>46172</v>
      </c>
      <c r="C225" s="92"/>
      <c r="D225" s="606" t="s">
        <v>882</v>
      </c>
      <c r="E225" s="481"/>
      <c r="F225" s="606" t="s">
        <v>882</v>
      </c>
      <c r="G225" s="481"/>
      <c r="H225" s="606" t="s">
        <v>882</v>
      </c>
      <c r="I225" s="481"/>
      <c r="J225" s="606" t="s">
        <v>882</v>
      </c>
      <c r="K225" s="481"/>
      <c r="L225" s="606" t="s">
        <v>882</v>
      </c>
      <c r="M225" s="481"/>
      <c r="N225" s="606" t="s">
        <v>882</v>
      </c>
      <c r="O225" s="481"/>
      <c r="P225" s="606" t="s">
        <v>882</v>
      </c>
      <c r="Q225" s="481"/>
      <c r="R225" s="606" t="s">
        <v>882</v>
      </c>
      <c r="S225" s="481"/>
      <c r="T225" s="606" t="s">
        <v>882</v>
      </c>
      <c r="U225" s="481">
        <v>2765</v>
      </c>
      <c r="V225" s="606" t="s">
        <v>882</v>
      </c>
      <c r="W225" s="481"/>
      <c r="X225" s="404"/>
      <c r="Y225" s="481"/>
      <c r="Z225" s="481"/>
      <c r="AA225" s="481"/>
      <c r="AB225" s="482"/>
      <c r="AC225" s="483"/>
      <c r="AD225" s="484"/>
    </row>
    <row r="226" spans="1:30" x14ac:dyDescent="0.45">
      <c r="A226" s="92"/>
      <c r="B226" s="480">
        <v>46172</v>
      </c>
      <c r="C226" s="92"/>
      <c r="D226" s="606" t="s">
        <v>882</v>
      </c>
      <c r="E226" s="481"/>
      <c r="F226" s="606" t="s">
        <v>882</v>
      </c>
      <c r="G226" s="481"/>
      <c r="H226" s="606" t="s">
        <v>882</v>
      </c>
      <c r="I226" s="481"/>
      <c r="J226" s="606" t="s">
        <v>882</v>
      </c>
      <c r="K226" s="481"/>
      <c r="L226" s="606" t="s">
        <v>882</v>
      </c>
      <c r="M226" s="481"/>
      <c r="N226" s="606" t="s">
        <v>882</v>
      </c>
      <c r="O226" s="481"/>
      <c r="P226" s="606" t="s">
        <v>882</v>
      </c>
      <c r="Q226" s="481"/>
      <c r="R226" s="606" t="s">
        <v>882</v>
      </c>
      <c r="S226" s="481"/>
      <c r="T226" s="606" t="s">
        <v>882</v>
      </c>
      <c r="U226" s="481">
        <v>2480</v>
      </c>
      <c r="V226" s="606" t="s">
        <v>882</v>
      </c>
      <c r="W226" s="481"/>
      <c r="X226" s="404"/>
      <c r="Y226" s="481"/>
      <c r="Z226" s="481"/>
      <c r="AA226" s="481"/>
      <c r="AB226" s="482"/>
      <c r="AC226" s="483"/>
      <c r="AD226" s="484"/>
    </row>
    <row r="227" spans="1:30" x14ac:dyDescent="0.45">
      <c r="A227" s="92"/>
      <c r="B227" s="480">
        <v>46172</v>
      </c>
      <c r="C227" s="92" t="s">
        <v>154</v>
      </c>
      <c r="D227" s="606" t="s">
        <v>882</v>
      </c>
      <c r="E227" s="481"/>
      <c r="F227" s="606" t="s">
        <v>882</v>
      </c>
      <c r="G227" s="481"/>
      <c r="H227" s="606" t="s">
        <v>882</v>
      </c>
      <c r="I227" s="481"/>
      <c r="J227" s="606" t="s">
        <v>882</v>
      </c>
      <c r="K227" s="481">
        <v>2375</v>
      </c>
      <c r="L227" s="606" t="s">
        <v>882</v>
      </c>
      <c r="M227" s="481"/>
      <c r="N227" s="606" t="s">
        <v>882</v>
      </c>
      <c r="O227" s="481"/>
      <c r="P227" s="606" t="s">
        <v>882</v>
      </c>
      <c r="Q227" s="481"/>
      <c r="R227" s="606" t="s">
        <v>882</v>
      </c>
      <c r="S227" s="481"/>
      <c r="T227" s="606" t="s">
        <v>882</v>
      </c>
      <c r="U227" s="481"/>
      <c r="V227" s="606" t="s">
        <v>882</v>
      </c>
      <c r="W227" s="481"/>
      <c r="X227" s="404"/>
      <c r="Y227" s="481"/>
      <c r="Z227" s="481"/>
      <c r="AA227" s="481"/>
      <c r="AB227" s="482"/>
      <c r="AC227" s="483"/>
      <c r="AD227" s="484"/>
    </row>
    <row r="228" spans="1:30" x14ac:dyDescent="0.45">
      <c r="A228" s="92"/>
      <c r="B228" s="480">
        <v>46172</v>
      </c>
      <c r="C228" s="92"/>
      <c r="D228" s="606" t="s">
        <v>882</v>
      </c>
      <c r="E228" s="481"/>
      <c r="F228" s="606" t="s">
        <v>882</v>
      </c>
      <c r="G228" s="481"/>
      <c r="H228" s="606" t="s">
        <v>882</v>
      </c>
      <c r="I228" s="481"/>
      <c r="J228" s="606" t="s">
        <v>882</v>
      </c>
      <c r="K228" s="481">
        <v>2375</v>
      </c>
      <c r="L228" s="606" t="s">
        <v>882</v>
      </c>
      <c r="M228" s="481"/>
      <c r="N228" s="606" t="s">
        <v>882</v>
      </c>
      <c r="O228" s="481"/>
      <c r="P228" s="606" t="s">
        <v>882</v>
      </c>
      <c r="Q228" s="481"/>
      <c r="R228" s="606" t="s">
        <v>882</v>
      </c>
      <c r="S228" s="481"/>
      <c r="T228" s="606" t="s">
        <v>882</v>
      </c>
      <c r="U228" s="481"/>
      <c r="V228" s="606" t="s">
        <v>882</v>
      </c>
      <c r="W228" s="481"/>
      <c r="X228" s="404"/>
      <c r="Y228" s="481"/>
      <c r="Z228" s="481"/>
      <c r="AA228" s="481"/>
      <c r="AB228" s="482"/>
      <c r="AC228" s="483"/>
      <c r="AD228" s="484"/>
    </row>
    <row r="229" spans="1:30" x14ac:dyDescent="0.45">
      <c r="A229" s="92"/>
      <c r="B229" s="480">
        <v>46172</v>
      </c>
      <c r="C229" s="92"/>
      <c r="D229" s="606" t="s">
        <v>882</v>
      </c>
      <c r="E229" s="481"/>
      <c r="F229" s="606" t="s">
        <v>882</v>
      </c>
      <c r="G229" s="481"/>
      <c r="H229" s="606" t="s">
        <v>882</v>
      </c>
      <c r="I229" s="481"/>
      <c r="J229" s="606" t="s">
        <v>882</v>
      </c>
      <c r="K229" s="481">
        <v>2365</v>
      </c>
      <c r="L229" s="606" t="s">
        <v>882</v>
      </c>
      <c r="M229" s="481"/>
      <c r="N229" s="606" t="s">
        <v>882</v>
      </c>
      <c r="O229" s="481"/>
      <c r="P229" s="606" t="s">
        <v>882</v>
      </c>
      <c r="Q229" s="481"/>
      <c r="R229" s="606" t="s">
        <v>882</v>
      </c>
      <c r="S229" s="481"/>
      <c r="T229" s="606" t="s">
        <v>882</v>
      </c>
      <c r="U229" s="481"/>
      <c r="V229" s="606" t="s">
        <v>882</v>
      </c>
      <c r="W229" s="481"/>
      <c r="X229" s="404"/>
      <c r="Y229" s="481"/>
      <c r="Z229" s="481"/>
      <c r="AA229" s="481"/>
      <c r="AB229" s="482"/>
      <c r="AC229" s="483"/>
      <c r="AD229" s="484"/>
    </row>
    <row r="230" spans="1:30" x14ac:dyDescent="0.45">
      <c r="A230" s="92"/>
      <c r="B230" s="480">
        <v>46172</v>
      </c>
      <c r="C230" s="92"/>
      <c r="D230" s="606" t="s">
        <v>882</v>
      </c>
      <c r="E230" s="481"/>
      <c r="F230" s="606" t="s">
        <v>882</v>
      </c>
      <c r="G230" s="481"/>
      <c r="H230" s="606" t="s">
        <v>882</v>
      </c>
      <c r="I230" s="481"/>
      <c r="J230" s="606" t="s">
        <v>882</v>
      </c>
      <c r="K230" s="481">
        <v>2370</v>
      </c>
      <c r="L230" s="606" t="s">
        <v>882</v>
      </c>
      <c r="M230" s="481"/>
      <c r="N230" s="606" t="s">
        <v>882</v>
      </c>
      <c r="O230" s="481"/>
      <c r="P230" s="606" t="s">
        <v>882</v>
      </c>
      <c r="Q230" s="481"/>
      <c r="R230" s="606" t="s">
        <v>882</v>
      </c>
      <c r="S230" s="481"/>
      <c r="T230" s="606" t="s">
        <v>882</v>
      </c>
      <c r="U230" s="481"/>
      <c r="V230" s="606" t="s">
        <v>882</v>
      </c>
      <c r="W230" s="481"/>
      <c r="X230" s="404"/>
      <c r="Y230" s="481"/>
      <c r="Z230" s="481"/>
      <c r="AA230" s="481"/>
      <c r="AB230" s="482"/>
      <c r="AC230" s="483"/>
      <c r="AD230" s="484"/>
    </row>
    <row r="231" spans="1:30" x14ac:dyDescent="0.45">
      <c r="A231" s="92"/>
      <c r="B231" s="480">
        <v>46172</v>
      </c>
      <c r="C231" s="92"/>
      <c r="D231" s="606" t="s">
        <v>882</v>
      </c>
      <c r="E231" s="481"/>
      <c r="F231" s="606" t="s">
        <v>882</v>
      </c>
      <c r="G231" s="481"/>
      <c r="H231" s="606" t="s">
        <v>882</v>
      </c>
      <c r="I231" s="481"/>
      <c r="J231" s="606" t="s">
        <v>882</v>
      </c>
      <c r="K231" s="481">
        <v>2400</v>
      </c>
      <c r="L231" s="606" t="s">
        <v>882</v>
      </c>
      <c r="M231" s="481"/>
      <c r="N231" s="606" t="s">
        <v>882</v>
      </c>
      <c r="O231" s="481"/>
      <c r="P231" s="606" t="s">
        <v>882</v>
      </c>
      <c r="Q231" s="481"/>
      <c r="R231" s="606" t="s">
        <v>882</v>
      </c>
      <c r="S231" s="481"/>
      <c r="T231" s="606" t="s">
        <v>882</v>
      </c>
      <c r="U231" s="481"/>
      <c r="V231" s="606" t="s">
        <v>882</v>
      </c>
      <c r="W231" s="481"/>
      <c r="X231" s="404"/>
      <c r="Y231" s="481"/>
      <c r="Z231" s="481"/>
      <c r="AA231" s="481"/>
      <c r="AB231" s="482"/>
      <c r="AC231" s="483"/>
      <c r="AD231" s="484"/>
    </row>
    <row r="232" spans="1:30" x14ac:dyDescent="0.45">
      <c r="A232" s="92"/>
      <c r="B232" s="480">
        <v>46172</v>
      </c>
      <c r="C232" s="92"/>
      <c r="D232" s="606" t="s">
        <v>882</v>
      </c>
      <c r="E232" s="481"/>
      <c r="F232" s="606" t="s">
        <v>882</v>
      </c>
      <c r="G232" s="481"/>
      <c r="H232" s="606" t="s">
        <v>882</v>
      </c>
      <c r="I232" s="481"/>
      <c r="J232" s="606" t="s">
        <v>882</v>
      </c>
      <c r="K232" s="481">
        <v>2380</v>
      </c>
      <c r="L232" s="606" t="s">
        <v>882</v>
      </c>
      <c r="M232" s="481"/>
      <c r="N232" s="606" t="s">
        <v>882</v>
      </c>
      <c r="O232" s="481"/>
      <c r="P232" s="606" t="s">
        <v>882</v>
      </c>
      <c r="Q232" s="481"/>
      <c r="R232" s="606" t="s">
        <v>882</v>
      </c>
      <c r="S232" s="481"/>
      <c r="T232" s="606" t="s">
        <v>882</v>
      </c>
      <c r="U232" s="481"/>
      <c r="V232" s="606" t="s">
        <v>882</v>
      </c>
      <c r="W232" s="481"/>
      <c r="X232" s="404"/>
      <c r="Y232" s="481"/>
      <c r="Z232" s="481"/>
      <c r="AA232" s="481"/>
      <c r="AB232" s="482"/>
      <c r="AC232" s="483"/>
      <c r="AD232" s="484"/>
    </row>
    <row r="233" spans="1:30" x14ac:dyDescent="0.45">
      <c r="A233" s="92"/>
      <c r="B233" s="480">
        <v>46172</v>
      </c>
      <c r="C233" s="92"/>
      <c r="D233" s="606" t="s">
        <v>882</v>
      </c>
      <c r="E233" s="481"/>
      <c r="F233" s="606" t="s">
        <v>882</v>
      </c>
      <c r="G233" s="481"/>
      <c r="H233" s="606" t="s">
        <v>882</v>
      </c>
      <c r="I233" s="481"/>
      <c r="J233" s="606" t="s">
        <v>882</v>
      </c>
      <c r="K233" s="481">
        <v>2450</v>
      </c>
      <c r="L233" s="606" t="s">
        <v>882</v>
      </c>
      <c r="M233" s="481"/>
      <c r="N233" s="606" t="s">
        <v>882</v>
      </c>
      <c r="O233" s="481"/>
      <c r="P233" s="606" t="s">
        <v>882</v>
      </c>
      <c r="Q233" s="481"/>
      <c r="R233" s="606" t="s">
        <v>882</v>
      </c>
      <c r="S233" s="481"/>
      <c r="T233" s="606" t="s">
        <v>882</v>
      </c>
      <c r="U233" s="481"/>
      <c r="V233" s="606" t="s">
        <v>882</v>
      </c>
      <c r="W233" s="481"/>
      <c r="X233" s="404"/>
      <c r="Y233" s="481"/>
      <c r="Z233" s="481"/>
      <c r="AA233" s="481"/>
      <c r="AB233" s="482"/>
      <c r="AC233" s="483"/>
      <c r="AD233" s="484"/>
    </row>
    <row r="234" spans="1:30" x14ac:dyDescent="0.45">
      <c r="A234" s="92"/>
      <c r="B234" s="480">
        <v>46172</v>
      </c>
      <c r="C234" s="92"/>
      <c r="D234" s="606" t="s">
        <v>882</v>
      </c>
      <c r="E234" s="481"/>
      <c r="F234" s="606" t="s">
        <v>882</v>
      </c>
      <c r="G234" s="481"/>
      <c r="H234" s="606" t="s">
        <v>882</v>
      </c>
      <c r="I234" s="481"/>
      <c r="J234" s="606" t="s">
        <v>882</v>
      </c>
      <c r="K234" s="481">
        <v>2395</v>
      </c>
      <c r="L234" s="606" t="s">
        <v>882</v>
      </c>
      <c r="M234" s="481"/>
      <c r="N234" s="606" t="s">
        <v>882</v>
      </c>
      <c r="O234" s="481"/>
      <c r="P234" s="606" t="s">
        <v>882</v>
      </c>
      <c r="Q234" s="481"/>
      <c r="R234" s="606" t="s">
        <v>882</v>
      </c>
      <c r="S234" s="481"/>
      <c r="T234" s="606" t="s">
        <v>882</v>
      </c>
      <c r="U234" s="481"/>
      <c r="V234" s="606" t="s">
        <v>882</v>
      </c>
      <c r="W234" s="481"/>
      <c r="X234" s="404"/>
      <c r="Y234" s="481"/>
      <c r="Z234" s="481"/>
      <c r="AA234" s="481"/>
      <c r="AB234" s="482"/>
      <c r="AC234" s="483"/>
      <c r="AD234" s="484"/>
    </row>
    <row r="235" spans="1:30" x14ac:dyDescent="0.45">
      <c r="A235" s="92"/>
      <c r="B235" s="480">
        <v>46172</v>
      </c>
      <c r="C235" s="92"/>
      <c r="D235" s="606" t="s">
        <v>882</v>
      </c>
      <c r="E235" s="481"/>
      <c r="F235" s="606" t="s">
        <v>882</v>
      </c>
      <c r="G235" s="481"/>
      <c r="H235" s="606" t="s">
        <v>882</v>
      </c>
      <c r="I235" s="481"/>
      <c r="J235" s="606" t="s">
        <v>882</v>
      </c>
      <c r="K235" s="481">
        <v>2390</v>
      </c>
      <c r="L235" s="606" t="s">
        <v>882</v>
      </c>
      <c r="M235" s="481"/>
      <c r="N235" s="606" t="s">
        <v>882</v>
      </c>
      <c r="O235" s="481"/>
      <c r="P235" s="606" t="s">
        <v>882</v>
      </c>
      <c r="Q235" s="481"/>
      <c r="R235" s="606" t="s">
        <v>882</v>
      </c>
      <c r="S235" s="481"/>
      <c r="T235" s="606" t="s">
        <v>882</v>
      </c>
      <c r="U235" s="481"/>
      <c r="V235" s="606" t="s">
        <v>882</v>
      </c>
      <c r="W235" s="481"/>
      <c r="X235" s="404"/>
      <c r="Y235" s="481"/>
      <c r="Z235" s="481"/>
      <c r="AA235" s="481"/>
      <c r="AB235" s="482"/>
      <c r="AC235" s="483"/>
      <c r="AD235" s="484"/>
    </row>
    <row r="236" spans="1:30" x14ac:dyDescent="0.45">
      <c r="A236" s="92"/>
      <c r="B236" s="480">
        <v>46172</v>
      </c>
      <c r="C236" s="92"/>
      <c r="D236" s="606" t="s">
        <v>882</v>
      </c>
      <c r="E236" s="481"/>
      <c r="F236" s="606" t="s">
        <v>882</v>
      </c>
      <c r="G236" s="481"/>
      <c r="H236" s="606" t="s">
        <v>882</v>
      </c>
      <c r="I236" s="481"/>
      <c r="J236" s="606" t="s">
        <v>882</v>
      </c>
      <c r="K236" s="481">
        <v>2380</v>
      </c>
      <c r="L236" s="606" t="s">
        <v>882</v>
      </c>
      <c r="M236" s="481"/>
      <c r="N236" s="606" t="s">
        <v>882</v>
      </c>
      <c r="O236" s="481"/>
      <c r="P236" s="606" t="s">
        <v>882</v>
      </c>
      <c r="Q236" s="481"/>
      <c r="R236" s="606" t="s">
        <v>882</v>
      </c>
      <c r="S236" s="481"/>
      <c r="T236" s="606" t="s">
        <v>882</v>
      </c>
      <c r="U236" s="481"/>
      <c r="V236" s="606" t="s">
        <v>882</v>
      </c>
      <c r="W236" s="481"/>
      <c r="X236" s="404"/>
      <c r="Y236" s="481"/>
      <c r="Z236" s="481"/>
      <c r="AA236" s="481"/>
      <c r="AB236" s="482"/>
      <c r="AC236" s="483"/>
      <c r="AD236" s="484"/>
    </row>
    <row r="237" spans="1:30" x14ac:dyDescent="0.45">
      <c r="A237" s="92"/>
      <c r="B237" s="480">
        <v>46172</v>
      </c>
      <c r="C237" s="92"/>
      <c r="D237" s="606" t="s">
        <v>882</v>
      </c>
      <c r="E237" s="481"/>
      <c r="F237" s="606" t="s">
        <v>882</v>
      </c>
      <c r="G237" s="481"/>
      <c r="H237" s="606" t="s">
        <v>882</v>
      </c>
      <c r="I237" s="481"/>
      <c r="J237" s="606" t="s">
        <v>882</v>
      </c>
      <c r="K237" s="481">
        <v>2410</v>
      </c>
      <c r="L237" s="606" t="s">
        <v>882</v>
      </c>
      <c r="M237" s="481"/>
      <c r="N237" s="606" t="s">
        <v>882</v>
      </c>
      <c r="O237" s="481"/>
      <c r="P237" s="606" t="s">
        <v>882</v>
      </c>
      <c r="Q237" s="481"/>
      <c r="R237" s="606" t="s">
        <v>882</v>
      </c>
      <c r="S237" s="481"/>
      <c r="T237" s="606" t="s">
        <v>882</v>
      </c>
      <c r="U237" s="481"/>
      <c r="V237" s="606" t="s">
        <v>882</v>
      </c>
      <c r="W237" s="481"/>
      <c r="X237" s="404"/>
      <c r="Y237" s="481"/>
      <c r="Z237" s="481"/>
      <c r="AA237" s="481"/>
      <c r="AB237" s="482"/>
      <c r="AC237" s="483"/>
      <c r="AD237" s="484"/>
    </row>
    <row r="238" spans="1:30" x14ac:dyDescent="0.45">
      <c r="A238" s="92"/>
      <c r="B238" s="480">
        <v>46172</v>
      </c>
      <c r="C238" s="92" t="s">
        <v>861</v>
      </c>
      <c r="D238" s="606" t="s">
        <v>882</v>
      </c>
      <c r="E238" s="481"/>
      <c r="F238" s="606" t="s">
        <v>882</v>
      </c>
      <c r="G238" s="481"/>
      <c r="H238" s="606" t="s">
        <v>882</v>
      </c>
      <c r="I238" s="481"/>
      <c r="J238" s="606" t="s">
        <v>882</v>
      </c>
      <c r="K238" s="481">
        <v>2470</v>
      </c>
      <c r="L238" s="606" t="s">
        <v>882</v>
      </c>
      <c r="M238" s="481"/>
      <c r="N238" s="606" t="s">
        <v>882</v>
      </c>
      <c r="O238" s="481"/>
      <c r="P238" s="606" t="s">
        <v>882</v>
      </c>
      <c r="Q238" s="481">
        <v>2525</v>
      </c>
      <c r="R238" s="606" t="s">
        <v>882</v>
      </c>
      <c r="S238" s="481"/>
      <c r="T238" s="606" t="s">
        <v>882</v>
      </c>
      <c r="U238" s="481">
        <v>2530</v>
      </c>
      <c r="V238" s="606" t="s">
        <v>882</v>
      </c>
      <c r="W238" s="481"/>
      <c r="X238" s="404"/>
      <c r="Y238" s="481"/>
      <c r="Z238" s="481"/>
      <c r="AA238" s="481"/>
      <c r="AB238" s="482"/>
      <c r="AC238" s="483"/>
      <c r="AD238" s="484"/>
    </row>
    <row r="239" spans="1:30" x14ac:dyDescent="0.45">
      <c r="A239" s="92"/>
      <c r="B239" s="480">
        <v>46172</v>
      </c>
      <c r="C239" s="92"/>
      <c r="D239" s="606" t="s">
        <v>882</v>
      </c>
      <c r="E239" s="481"/>
      <c r="F239" s="606" t="s">
        <v>882</v>
      </c>
      <c r="G239" s="481"/>
      <c r="H239" s="606" t="s">
        <v>882</v>
      </c>
      <c r="I239" s="481"/>
      <c r="J239" s="606" t="s">
        <v>882</v>
      </c>
      <c r="K239" s="481">
        <v>2250</v>
      </c>
      <c r="L239" s="606" t="s">
        <v>882</v>
      </c>
      <c r="M239" s="481"/>
      <c r="N239" s="606" t="s">
        <v>882</v>
      </c>
      <c r="O239" s="481"/>
      <c r="P239" s="606" t="s">
        <v>882</v>
      </c>
      <c r="Q239" s="481">
        <v>2525</v>
      </c>
      <c r="R239" s="606" t="s">
        <v>882</v>
      </c>
      <c r="S239" s="481"/>
      <c r="T239" s="606" t="s">
        <v>882</v>
      </c>
      <c r="U239" s="481"/>
      <c r="V239" s="606" t="s">
        <v>882</v>
      </c>
      <c r="W239" s="481"/>
      <c r="X239" s="404"/>
      <c r="Y239" s="481"/>
      <c r="Z239" s="481"/>
      <c r="AA239" s="481"/>
      <c r="AB239" s="482"/>
      <c r="AC239" s="483"/>
      <c r="AD239" s="484"/>
    </row>
    <row r="240" spans="1:30" x14ac:dyDescent="0.45">
      <c r="A240" s="92"/>
      <c r="B240" s="480">
        <v>46172</v>
      </c>
      <c r="C240" s="92"/>
      <c r="D240" s="606" t="s">
        <v>882</v>
      </c>
      <c r="E240" s="481"/>
      <c r="F240" s="606" t="s">
        <v>882</v>
      </c>
      <c r="G240" s="481"/>
      <c r="H240" s="606" t="s">
        <v>882</v>
      </c>
      <c r="I240" s="481"/>
      <c r="J240" s="606" t="s">
        <v>882</v>
      </c>
      <c r="K240" s="481">
        <v>2390</v>
      </c>
      <c r="L240" s="606" t="s">
        <v>882</v>
      </c>
      <c r="M240" s="481"/>
      <c r="N240" s="606" t="s">
        <v>882</v>
      </c>
      <c r="O240" s="481"/>
      <c r="P240" s="606" t="s">
        <v>882</v>
      </c>
      <c r="Q240" s="481"/>
      <c r="R240" s="606" t="s">
        <v>882</v>
      </c>
      <c r="S240" s="481"/>
      <c r="T240" s="606" t="s">
        <v>882</v>
      </c>
      <c r="U240" s="481"/>
      <c r="V240" s="606" t="s">
        <v>882</v>
      </c>
      <c r="W240" s="481"/>
      <c r="X240" s="404"/>
      <c r="Y240" s="481"/>
      <c r="Z240" s="481"/>
      <c r="AA240" s="481"/>
      <c r="AB240" s="482"/>
      <c r="AC240" s="483"/>
      <c r="AD240" s="484"/>
    </row>
    <row r="241" spans="1:30" x14ac:dyDescent="0.45">
      <c r="A241" s="92"/>
      <c r="B241" s="480">
        <v>46172</v>
      </c>
      <c r="C241" s="92"/>
      <c r="D241" s="606" t="s">
        <v>882</v>
      </c>
      <c r="E241" s="481"/>
      <c r="F241" s="606" t="s">
        <v>882</v>
      </c>
      <c r="G241" s="481"/>
      <c r="H241" s="606" t="s">
        <v>882</v>
      </c>
      <c r="I241" s="481"/>
      <c r="J241" s="606" t="s">
        <v>882</v>
      </c>
      <c r="K241" s="481">
        <v>2405</v>
      </c>
      <c r="L241" s="606" t="s">
        <v>882</v>
      </c>
      <c r="M241" s="481"/>
      <c r="N241" s="606" t="s">
        <v>882</v>
      </c>
      <c r="O241" s="481"/>
      <c r="P241" s="606" t="s">
        <v>882</v>
      </c>
      <c r="Q241" s="481"/>
      <c r="R241" s="606" t="s">
        <v>882</v>
      </c>
      <c r="S241" s="481"/>
      <c r="T241" s="606" t="s">
        <v>882</v>
      </c>
      <c r="U241" s="481"/>
      <c r="V241" s="606" t="s">
        <v>882</v>
      </c>
      <c r="W241" s="481"/>
      <c r="X241" s="404"/>
      <c r="Y241" s="481"/>
      <c r="Z241" s="481"/>
      <c r="AA241" s="481"/>
      <c r="AB241" s="482"/>
      <c r="AC241" s="483"/>
      <c r="AD241" s="484"/>
    </row>
    <row r="242" spans="1:30" x14ac:dyDescent="0.45">
      <c r="A242" s="92"/>
      <c r="B242" s="480">
        <v>46172</v>
      </c>
      <c r="C242" s="92"/>
      <c r="D242" s="606" t="s">
        <v>882</v>
      </c>
      <c r="E242" s="481"/>
      <c r="F242" s="606" t="s">
        <v>882</v>
      </c>
      <c r="G242" s="481"/>
      <c r="H242" s="606" t="s">
        <v>882</v>
      </c>
      <c r="I242" s="481"/>
      <c r="J242" s="606" t="s">
        <v>882</v>
      </c>
      <c r="K242" s="481">
        <v>2490</v>
      </c>
      <c r="L242" s="606" t="s">
        <v>882</v>
      </c>
      <c r="M242" s="481"/>
      <c r="N242" s="606" t="s">
        <v>882</v>
      </c>
      <c r="O242" s="481"/>
      <c r="P242" s="606" t="s">
        <v>882</v>
      </c>
      <c r="Q242" s="481"/>
      <c r="R242" s="606" t="s">
        <v>882</v>
      </c>
      <c r="S242" s="481"/>
      <c r="T242" s="606" t="s">
        <v>882</v>
      </c>
      <c r="U242" s="481"/>
      <c r="V242" s="606" t="s">
        <v>882</v>
      </c>
      <c r="W242" s="481"/>
      <c r="X242" s="404"/>
      <c r="Y242" s="481"/>
      <c r="Z242" s="481"/>
      <c r="AA242" s="481"/>
      <c r="AB242" s="482"/>
      <c r="AC242" s="483"/>
      <c r="AD242" s="484"/>
    </row>
    <row r="243" spans="1:30" x14ac:dyDescent="0.45">
      <c r="A243" s="92"/>
      <c r="B243" s="480">
        <v>46172</v>
      </c>
      <c r="C243" s="92"/>
      <c r="D243" s="606" t="s">
        <v>882</v>
      </c>
      <c r="E243" s="481"/>
      <c r="F243" s="606" t="s">
        <v>882</v>
      </c>
      <c r="G243" s="481"/>
      <c r="H243" s="606" t="s">
        <v>882</v>
      </c>
      <c r="I243" s="481"/>
      <c r="J243" s="606" t="s">
        <v>882</v>
      </c>
      <c r="K243" s="481">
        <v>2410</v>
      </c>
      <c r="L243" s="606" t="s">
        <v>882</v>
      </c>
      <c r="M243" s="481"/>
      <c r="N243" s="606" t="s">
        <v>882</v>
      </c>
      <c r="O243" s="481"/>
      <c r="P243" s="606" t="s">
        <v>882</v>
      </c>
      <c r="Q243" s="481"/>
      <c r="R243" s="606" t="s">
        <v>882</v>
      </c>
      <c r="S243" s="481"/>
      <c r="T243" s="606" t="s">
        <v>882</v>
      </c>
      <c r="U243" s="481"/>
      <c r="V243" s="606" t="s">
        <v>882</v>
      </c>
      <c r="W243" s="481"/>
      <c r="X243" s="404"/>
      <c r="Y243" s="481"/>
      <c r="Z243" s="481"/>
      <c r="AA243" s="481"/>
      <c r="AB243" s="482"/>
      <c r="AC243" s="483"/>
      <c r="AD243" s="484"/>
    </row>
    <row r="244" spans="1:30" x14ac:dyDescent="0.45">
      <c r="A244" s="92"/>
      <c r="B244" s="480">
        <v>46172</v>
      </c>
      <c r="C244" s="92"/>
      <c r="D244" s="606" t="s">
        <v>882</v>
      </c>
      <c r="E244" s="481"/>
      <c r="F244" s="606" t="s">
        <v>882</v>
      </c>
      <c r="G244" s="481"/>
      <c r="H244" s="606" t="s">
        <v>882</v>
      </c>
      <c r="I244" s="481"/>
      <c r="J244" s="606" t="s">
        <v>882</v>
      </c>
      <c r="K244" s="481">
        <v>2475</v>
      </c>
      <c r="L244" s="606" t="s">
        <v>882</v>
      </c>
      <c r="M244" s="481"/>
      <c r="N244" s="606" t="s">
        <v>882</v>
      </c>
      <c r="O244" s="481"/>
      <c r="P244" s="606" t="s">
        <v>882</v>
      </c>
      <c r="Q244" s="481"/>
      <c r="R244" s="606" t="s">
        <v>882</v>
      </c>
      <c r="S244" s="481"/>
      <c r="T244" s="606" t="s">
        <v>882</v>
      </c>
      <c r="U244" s="481"/>
      <c r="V244" s="606" t="s">
        <v>882</v>
      </c>
      <c r="W244" s="481"/>
      <c r="X244" s="404">
        <f>SUM(E212:W244)</f>
        <v>101325</v>
      </c>
      <c r="Y244" s="481"/>
      <c r="Z244" s="481"/>
      <c r="AA244" s="481"/>
      <c r="AB244" s="591">
        <f>(X244/1000)*640*AC244</f>
        <v>0</v>
      </c>
      <c r="AC244" s="483"/>
      <c r="AD244" s="593">
        <f>(X244/1000)*640</f>
        <v>64848</v>
      </c>
    </row>
    <row r="245" spans="1:30" x14ac:dyDescent="0.45">
      <c r="A245" s="92"/>
      <c r="B245" s="480"/>
      <c r="C245" s="92"/>
      <c r="D245" s="606" t="s">
        <v>876</v>
      </c>
      <c r="E245" s="481"/>
      <c r="F245" s="606" t="s">
        <v>876</v>
      </c>
      <c r="G245" s="481"/>
      <c r="H245" s="606" t="s">
        <v>876</v>
      </c>
      <c r="I245" s="481"/>
      <c r="J245" s="606" t="s">
        <v>876</v>
      </c>
      <c r="K245" s="481"/>
      <c r="L245" s="606" t="s">
        <v>876</v>
      </c>
      <c r="M245" s="481"/>
      <c r="N245" s="606" t="s">
        <v>876</v>
      </c>
      <c r="O245" s="481"/>
      <c r="P245" s="606" t="s">
        <v>876</v>
      </c>
      <c r="Q245" s="481"/>
      <c r="R245" s="606" t="s">
        <v>876</v>
      </c>
      <c r="S245" s="481"/>
      <c r="T245" s="606" t="s">
        <v>876</v>
      </c>
      <c r="U245" s="481"/>
      <c r="V245" s="606" t="s">
        <v>876</v>
      </c>
      <c r="W245" s="481"/>
      <c r="X245" s="404"/>
      <c r="Y245" s="481"/>
      <c r="Z245" s="481"/>
      <c r="AA245" s="481"/>
      <c r="AB245" s="482"/>
      <c r="AC245" s="483"/>
      <c r="AD245" s="484"/>
    </row>
    <row r="246" spans="1:30" x14ac:dyDescent="0.45">
      <c r="A246" s="92"/>
      <c r="B246" s="480"/>
      <c r="C246" s="92"/>
      <c r="D246" s="606" t="s">
        <v>876</v>
      </c>
      <c r="E246" s="481"/>
      <c r="F246" s="606" t="s">
        <v>876</v>
      </c>
      <c r="G246" s="481"/>
      <c r="H246" s="606" t="s">
        <v>876</v>
      </c>
      <c r="I246" s="481"/>
      <c r="J246" s="606" t="s">
        <v>876</v>
      </c>
      <c r="K246" s="481"/>
      <c r="L246" s="606" t="s">
        <v>876</v>
      </c>
      <c r="M246" s="481"/>
      <c r="N246" s="606" t="s">
        <v>876</v>
      </c>
      <c r="O246" s="481"/>
      <c r="P246" s="606" t="s">
        <v>876</v>
      </c>
      <c r="Q246" s="481"/>
      <c r="R246" s="606" t="s">
        <v>876</v>
      </c>
      <c r="S246" s="481"/>
      <c r="T246" s="606" t="s">
        <v>876</v>
      </c>
      <c r="U246" s="481"/>
      <c r="V246" s="606" t="s">
        <v>876</v>
      </c>
      <c r="W246" s="481"/>
      <c r="X246" s="404"/>
      <c r="Y246" s="481"/>
      <c r="Z246" s="481"/>
      <c r="AA246" s="481"/>
      <c r="AB246" s="482"/>
      <c r="AC246" s="483"/>
      <c r="AD246" s="484"/>
    </row>
    <row r="247" spans="1:30" x14ac:dyDescent="0.45">
      <c r="A247" s="92"/>
      <c r="B247" s="480"/>
      <c r="C247" s="92"/>
      <c r="D247" s="606" t="s">
        <v>876</v>
      </c>
      <c r="E247" s="481"/>
      <c r="F247" s="606" t="s">
        <v>876</v>
      </c>
      <c r="G247" s="481"/>
      <c r="H247" s="606" t="s">
        <v>876</v>
      </c>
      <c r="I247" s="481"/>
      <c r="J247" s="606" t="s">
        <v>876</v>
      </c>
      <c r="K247" s="481"/>
      <c r="L247" s="606" t="s">
        <v>876</v>
      </c>
      <c r="M247" s="481"/>
      <c r="N247" s="606" t="s">
        <v>876</v>
      </c>
      <c r="O247" s="481"/>
      <c r="P247" s="606" t="s">
        <v>876</v>
      </c>
      <c r="Q247" s="481"/>
      <c r="R247" s="606" t="s">
        <v>876</v>
      </c>
      <c r="S247" s="481"/>
      <c r="T247" s="606" t="s">
        <v>876</v>
      </c>
      <c r="U247" s="481"/>
      <c r="V247" s="606" t="s">
        <v>876</v>
      </c>
      <c r="W247" s="481"/>
      <c r="X247" s="404"/>
      <c r="Y247" s="481"/>
      <c r="Z247" s="481"/>
      <c r="AA247" s="481"/>
      <c r="AB247" s="482"/>
      <c r="AC247" s="483"/>
      <c r="AD247" s="484"/>
    </row>
    <row r="248" spans="1:30" x14ac:dyDescent="0.45">
      <c r="A248" s="92"/>
      <c r="B248" s="480"/>
      <c r="C248" s="92"/>
      <c r="D248" s="606" t="s">
        <v>876</v>
      </c>
      <c r="E248" s="481"/>
      <c r="F248" s="606" t="s">
        <v>876</v>
      </c>
      <c r="G248" s="481"/>
      <c r="H248" s="606" t="s">
        <v>876</v>
      </c>
      <c r="I248" s="481"/>
      <c r="J248" s="606" t="s">
        <v>876</v>
      </c>
      <c r="K248" s="481"/>
      <c r="L248" s="606" t="s">
        <v>876</v>
      </c>
      <c r="M248" s="481"/>
      <c r="N248" s="606" t="s">
        <v>876</v>
      </c>
      <c r="O248" s="481"/>
      <c r="P248" s="606" t="s">
        <v>876</v>
      </c>
      <c r="Q248" s="481"/>
      <c r="R248" s="606" t="s">
        <v>876</v>
      </c>
      <c r="S248" s="481"/>
      <c r="T248" s="606" t="s">
        <v>876</v>
      </c>
      <c r="U248" s="481"/>
      <c r="V248" s="606" t="s">
        <v>876</v>
      </c>
      <c r="W248" s="481"/>
      <c r="X248" s="404"/>
      <c r="Y248" s="481"/>
      <c r="Z248" s="481"/>
      <c r="AA248" s="481"/>
      <c r="AB248" s="482"/>
      <c r="AC248" s="483"/>
      <c r="AD248" s="484"/>
    </row>
    <row r="249" spans="1:30" x14ac:dyDescent="0.45">
      <c r="A249" s="92"/>
      <c r="B249" s="480"/>
      <c r="C249" s="92"/>
      <c r="D249" s="606" t="s">
        <v>876</v>
      </c>
      <c r="E249" s="481"/>
      <c r="F249" s="606" t="s">
        <v>876</v>
      </c>
      <c r="G249" s="481"/>
      <c r="H249" s="606" t="s">
        <v>876</v>
      </c>
      <c r="I249" s="481"/>
      <c r="J249" s="606" t="s">
        <v>876</v>
      </c>
      <c r="K249" s="481"/>
      <c r="L249" s="606" t="s">
        <v>876</v>
      </c>
      <c r="M249" s="481"/>
      <c r="N249" s="606" t="s">
        <v>876</v>
      </c>
      <c r="O249" s="481"/>
      <c r="P249" s="606" t="s">
        <v>876</v>
      </c>
      <c r="Q249" s="481"/>
      <c r="R249" s="606" t="s">
        <v>876</v>
      </c>
      <c r="S249" s="481"/>
      <c r="T249" s="606" t="s">
        <v>876</v>
      </c>
      <c r="U249" s="481"/>
      <c r="V249" s="606" t="s">
        <v>876</v>
      </c>
      <c r="W249" s="481"/>
      <c r="X249" s="404"/>
      <c r="Y249" s="481"/>
      <c r="Z249" s="481"/>
      <c r="AA249" s="481"/>
      <c r="AB249" s="482"/>
      <c r="AC249" s="483"/>
      <c r="AD249" s="484"/>
    </row>
    <row r="250" spans="1:30" x14ac:dyDescent="0.45">
      <c r="A250" s="92"/>
      <c r="B250" s="480"/>
      <c r="C250" s="92"/>
      <c r="D250" s="606" t="s">
        <v>876</v>
      </c>
      <c r="E250" s="481"/>
      <c r="F250" s="606" t="s">
        <v>876</v>
      </c>
      <c r="G250" s="481"/>
      <c r="H250" s="606" t="s">
        <v>876</v>
      </c>
      <c r="I250" s="481"/>
      <c r="J250" s="606" t="s">
        <v>876</v>
      </c>
      <c r="K250" s="481"/>
      <c r="L250" s="606" t="s">
        <v>876</v>
      </c>
      <c r="M250" s="481"/>
      <c r="N250" s="606" t="s">
        <v>876</v>
      </c>
      <c r="O250" s="481"/>
      <c r="P250" s="606" t="s">
        <v>876</v>
      </c>
      <c r="Q250" s="481"/>
      <c r="R250" s="606" t="s">
        <v>876</v>
      </c>
      <c r="S250" s="481"/>
      <c r="T250" s="606" t="s">
        <v>876</v>
      </c>
      <c r="U250" s="481"/>
      <c r="V250" s="606" t="s">
        <v>876</v>
      </c>
      <c r="W250" s="481"/>
      <c r="X250" s="404"/>
      <c r="Y250" s="481"/>
      <c r="Z250" s="481"/>
      <c r="AA250" s="481"/>
      <c r="AB250" s="482"/>
      <c r="AC250" s="483"/>
      <c r="AD250" s="484"/>
    </row>
    <row r="251" spans="1:30" x14ac:dyDescent="0.45">
      <c r="A251" s="92"/>
      <c r="B251" s="480"/>
      <c r="C251" s="92"/>
      <c r="D251" s="606" t="s">
        <v>876</v>
      </c>
      <c r="E251" s="481"/>
      <c r="F251" s="606" t="s">
        <v>876</v>
      </c>
      <c r="G251" s="481"/>
      <c r="H251" s="606" t="s">
        <v>876</v>
      </c>
      <c r="I251" s="481"/>
      <c r="J251" s="606" t="s">
        <v>876</v>
      </c>
      <c r="K251" s="481"/>
      <c r="L251" s="606" t="s">
        <v>876</v>
      </c>
      <c r="M251" s="481"/>
      <c r="N251" s="606" t="s">
        <v>876</v>
      </c>
      <c r="O251" s="481"/>
      <c r="P251" s="606" t="s">
        <v>876</v>
      </c>
      <c r="Q251" s="481"/>
      <c r="R251" s="606" t="s">
        <v>876</v>
      </c>
      <c r="S251" s="481"/>
      <c r="T251" s="606" t="s">
        <v>876</v>
      </c>
      <c r="U251" s="481"/>
      <c r="V251" s="606" t="s">
        <v>876</v>
      </c>
      <c r="W251" s="481"/>
      <c r="X251" s="404"/>
      <c r="Y251" s="481"/>
      <c r="Z251" s="481"/>
      <c r="AA251" s="481"/>
      <c r="AB251" s="482"/>
      <c r="AC251" s="483"/>
      <c r="AD251" s="484"/>
    </row>
    <row r="252" spans="1:30" x14ac:dyDescent="0.45">
      <c r="A252" s="92"/>
      <c r="B252" s="480"/>
      <c r="C252" s="92"/>
      <c r="D252" s="606" t="s">
        <v>876</v>
      </c>
      <c r="E252" s="481"/>
      <c r="F252" s="606" t="s">
        <v>876</v>
      </c>
      <c r="G252" s="481"/>
      <c r="H252" s="606" t="s">
        <v>876</v>
      </c>
      <c r="I252" s="481"/>
      <c r="J252" s="606" t="s">
        <v>876</v>
      </c>
      <c r="K252" s="481"/>
      <c r="L252" s="606" t="s">
        <v>876</v>
      </c>
      <c r="M252" s="481"/>
      <c r="N252" s="606" t="s">
        <v>876</v>
      </c>
      <c r="O252" s="481"/>
      <c r="P252" s="606" t="s">
        <v>876</v>
      </c>
      <c r="Q252" s="481"/>
      <c r="R252" s="606" t="s">
        <v>876</v>
      </c>
      <c r="S252" s="481"/>
      <c r="T252" s="606" t="s">
        <v>876</v>
      </c>
      <c r="U252" s="481"/>
      <c r="V252" s="606" t="s">
        <v>876</v>
      </c>
      <c r="W252" s="481"/>
      <c r="X252" s="404"/>
      <c r="Y252" s="481"/>
      <c r="Z252" s="481"/>
      <c r="AA252" s="481"/>
      <c r="AB252" s="482"/>
      <c r="AC252" s="483"/>
      <c r="AD252" s="484"/>
    </row>
    <row r="253" spans="1:30" x14ac:dyDescent="0.45">
      <c r="A253" s="92"/>
      <c r="B253" s="480"/>
      <c r="C253" s="92"/>
      <c r="D253" s="606" t="s">
        <v>876</v>
      </c>
      <c r="E253" s="481"/>
      <c r="F253" s="606" t="s">
        <v>876</v>
      </c>
      <c r="G253" s="481"/>
      <c r="H253" s="606" t="s">
        <v>876</v>
      </c>
      <c r="I253" s="481"/>
      <c r="J253" s="606" t="s">
        <v>876</v>
      </c>
      <c r="K253" s="481"/>
      <c r="L253" s="606" t="s">
        <v>876</v>
      </c>
      <c r="M253" s="481"/>
      <c r="N253" s="606" t="s">
        <v>876</v>
      </c>
      <c r="O253" s="481"/>
      <c r="P253" s="606" t="s">
        <v>876</v>
      </c>
      <c r="Q253" s="481"/>
      <c r="R253" s="606" t="s">
        <v>876</v>
      </c>
      <c r="S253" s="481"/>
      <c r="T253" s="606" t="s">
        <v>876</v>
      </c>
      <c r="U253" s="481"/>
      <c r="V253" s="606" t="s">
        <v>876</v>
      </c>
      <c r="W253" s="481"/>
      <c r="X253" s="404"/>
      <c r="Y253" s="481"/>
      <c r="Z253" s="481"/>
      <c r="AA253" s="481"/>
      <c r="AB253" s="482"/>
      <c r="AC253" s="483"/>
      <c r="AD253" s="484"/>
    </row>
    <row r="254" spans="1:30" x14ac:dyDescent="0.45">
      <c r="A254" s="92"/>
      <c r="B254" s="480"/>
      <c r="C254" s="92"/>
      <c r="D254" s="606" t="s">
        <v>876</v>
      </c>
      <c r="E254" s="481"/>
      <c r="F254" s="606" t="s">
        <v>876</v>
      </c>
      <c r="G254" s="481"/>
      <c r="H254" s="606" t="s">
        <v>876</v>
      </c>
      <c r="I254" s="481"/>
      <c r="J254" s="606" t="s">
        <v>876</v>
      </c>
      <c r="K254" s="481"/>
      <c r="L254" s="606" t="s">
        <v>876</v>
      </c>
      <c r="M254" s="481"/>
      <c r="N254" s="606" t="s">
        <v>876</v>
      </c>
      <c r="O254" s="481"/>
      <c r="P254" s="606" t="s">
        <v>876</v>
      </c>
      <c r="Q254" s="481"/>
      <c r="R254" s="606" t="s">
        <v>876</v>
      </c>
      <c r="S254" s="481"/>
      <c r="T254" s="606" t="s">
        <v>876</v>
      </c>
      <c r="U254" s="481"/>
      <c r="V254" s="606" t="s">
        <v>876</v>
      </c>
      <c r="W254" s="481"/>
      <c r="X254" s="404"/>
      <c r="Y254" s="481"/>
      <c r="Z254" s="481"/>
      <c r="AA254" s="481"/>
      <c r="AB254" s="482"/>
      <c r="AC254" s="483"/>
      <c r="AD254" s="484"/>
    </row>
    <row r="255" spans="1:30" x14ac:dyDescent="0.45">
      <c r="A255" s="92"/>
      <c r="B255" s="480"/>
      <c r="C255" s="92"/>
      <c r="D255" s="606" t="s">
        <v>876</v>
      </c>
      <c r="E255" s="481"/>
      <c r="F255" s="606" t="s">
        <v>876</v>
      </c>
      <c r="G255" s="481"/>
      <c r="H255" s="606" t="s">
        <v>876</v>
      </c>
      <c r="I255" s="481"/>
      <c r="J255" s="606" t="s">
        <v>876</v>
      </c>
      <c r="K255" s="481"/>
      <c r="L255" s="606" t="s">
        <v>876</v>
      </c>
      <c r="M255" s="481"/>
      <c r="N255" s="606" t="s">
        <v>876</v>
      </c>
      <c r="O255" s="481"/>
      <c r="P255" s="606" t="s">
        <v>876</v>
      </c>
      <c r="Q255" s="481"/>
      <c r="R255" s="606" t="s">
        <v>876</v>
      </c>
      <c r="S255" s="481"/>
      <c r="T255" s="606" t="s">
        <v>876</v>
      </c>
      <c r="U255" s="481"/>
      <c r="V255" s="606" t="s">
        <v>876</v>
      </c>
      <c r="W255" s="481"/>
      <c r="X255" s="404"/>
      <c r="Y255" s="481"/>
      <c r="Z255" s="481"/>
      <c r="AA255" s="481"/>
      <c r="AB255" s="482"/>
      <c r="AC255" s="483"/>
      <c r="AD255" s="484"/>
    </row>
    <row r="256" spans="1:30" x14ac:dyDescent="0.45">
      <c r="A256" s="92"/>
      <c r="B256" s="480"/>
      <c r="C256" s="92"/>
      <c r="D256" s="606" t="s">
        <v>876</v>
      </c>
      <c r="E256" s="481"/>
      <c r="F256" s="606" t="s">
        <v>876</v>
      </c>
      <c r="G256" s="481"/>
      <c r="H256" s="606" t="s">
        <v>876</v>
      </c>
      <c r="I256" s="481"/>
      <c r="J256" s="606" t="s">
        <v>876</v>
      </c>
      <c r="K256" s="481"/>
      <c r="L256" s="606" t="s">
        <v>876</v>
      </c>
      <c r="M256" s="481"/>
      <c r="N256" s="606" t="s">
        <v>876</v>
      </c>
      <c r="O256" s="481"/>
      <c r="P256" s="606" t="s">
        <v>876</v>
      </c>
      <c r="Q256" s="481"/>
      <c r="R256" s="606" t="s">
        <v>876</v>
      </c>
      <c r="S256" s="481"/>
      <c r="T256" s="606" t="s">
        <v>876</v>
      </c>
      <c r="U256" s="481"/>
      <c r="V256" s="606" t="s">
        <v>876</v>
      </c>
      <c r="W256" s="481"/>
      <c r="X256" s="404"/>
      <c r="Y256" s="481"/>
      <c r="Z256" s="481"/>
      <c r="AA256" s="481"/>
      <c r="AB256" s="482"/>
      <c r="AC256" s="483"/>
      <c r="AD256" s="484"/>
    </row>
    <row r="257" spans="1:30" x14ac:dyDescent="0.45">
      <c r="A257" s="92"/>
      <c r="B257" s="480"/>
      <c r="C257" s="92"/>
      <c r="D257" s="606" t="s">
        <v>876</v>
      </c>
      <c r="E257" s="481"/>
      <c r="F257" s="606" t="s">
        <v>876</v>
      </c>
      <c r="G257" s="481"/>
      <c r="H257" s="606" t="s">
        <v>876</v>
      </c>
      <c r="I257" s="481"/>
      <c r="J257" s="606" t="s">
        <v>876</v>
      </c>
      <c r="K257" s="481"/>
      <c r="L257" s="606" t="s">
        <v>876</v>
      </c>
      <c r="M257" s="481"/>
      <c r="N257" s="606" t="s">
        <v>876</v>
      </c>
      <c r="O257" s="481"/>
      <c r="P257" s="606" t="s">
        <v>876</v>
      </c>
      <c r="Q257" s="481"/>
      <c r="R257" s="606" t="s">
        <v>876</v>
      </c>
      <c r="S257" s="481"/>
      <c r="T257" s="606" t="s">
        <v>876</v>
      </c>
      <c r="U257" s="481"/>
      <c r="V257" s="606" t="s">
        <v>876</v>
      </c>
      <c r="W257" s="481"/>
      <c r="X257" s="404"/>
      <c r="Y257" s="481"/>
      <c r="Z257" s="481"/>
      <c r="AA257" s="481"/>
      <c r="AB257" s="482"/>
      <c r="AC257" s="483"/>
      <c r="AD257" s="484"/>
    </row>
    <row r="258" spans="1:30" x14ac:dyDescent="0.45">
      <c r="A258" s="92"/>
      <c r="B258" s="480"/>
      <c r="C258" s="92"/>
      <c r="D258" s="606" t="s">
        <v>876</v>
      </c>
      <c r="E258" s="481"/>
      <c r="F258" s="606" t="s">
        <v>876</v>
      </c>
      <c r="G258" s="481"/>
      <c r="H258" s="606" t="s">
        <v>876</v>
      </c>
      <c r="I258" s="481"/>
      <c r="J258" s="606" t="s">
        <v>876</v>
      </c>
      <c r="K258" s="481"/>
      <c r="L258" s="606" t="s">
        <v>876</v>
      </c>
      <c r="M258" s="481"/>
      <c r="N258" s="606" t="s">
        <v>876</v>
      </c>
      <c r="O258" s="481"/>
      <c r="P258" s="606" t="s">
        <v>876</v>
      </c>
      <c r="Q258" s="481"/>
      <c r="R258" s="606" t="s">
        <v>876</v>
      </c>
      <c r="S258" s="481"/>
      <c r="T258" s="606" t="s">
        <v>876</v>
      </c>
      <c r="U258" s="481"/>
      <c r="V258" s="606" t="s">
        <v>876</v>
      </c>
      <c r="W258" s="481"/>
      <c r="X258" s="404"/>
      <c r="Y258" s="481"/>
      <c r="Z258" s="481"/>
      <c r="AA258" s="481"/>
      <c r="AB258" s="482"/>
      <c r="AC258" s="483"/>
      <c r="AD258" s="484"/>
    </row>
    <row r="259" spans="1:30" x14ac:dyDescent="0.45">
      <c r="A259" s="92"/>
      <c r="B259" s="480"/>
      <c r="C259" s="92"/>
      <c r="D259" s="606" t="s">
        <v>876</v>
      </c>
      <c r="E259" s="481"/>
      <c r="F259" s="606" t="s">
        <v>876</v>
      </c>
      <c r="G259" s="481"/>
      <c r="H259" s="606" t="s">
        <v>876</v>
      </c>
      <c r="I259" s="481"/>
      <c r="J259" s="606" t="s">
        <v>876</v>
      </c>
      <c r="K259" s="481"/>
      <c r="L259" s="606" t="s">
        <v>876</v>
      </c>
      <c r="M259" s="481"/>
      <c r="N259" s="606" t="s">
        <v>876</v>
      </c>
      <c r="O259" s="481"/>
      <c r="P259" s="606" t="s">
        <v>876</v>
      </c>
      <c r="Q259" s="481"/>
      <c r="R259" s="606" t="s">
        <v>876</v>
      </c>
      <c r="S259" s="481"/>
      <c r="T259" s="606" t="s">
        <v>876</v>
      </c>
      <c r="U259" s="481"/>
      <c r="V259" s="606" t="s">
        <v>876</v>
      </c>
      <c r="W259" s="481"/>
      <c r="X259" s="404"/>
      <c r="Y259" s="481"/>
      <c r="Z259" s="481"/>
      <c r="AA259" s="481"/>
      <c r="AB259" s="482"/>
      <c r="AC259" s="483"/>
      <c r="AD259" s="484"/>
    </row>
    <row r="260" spans="1:30" x14ac:dyDescent="0.45">
      <c r="A260" s="92"/>
      <c r="B260" s="480"/>
      <c r="C260" s="92"/>
      <c r="D260" s="606" t="s">
        <v>876</v>
      </c>
      <c r="E260" s="481"/>
      <c r="F260" s="606" t="s">
        <v>876</v>
      </c>
      <c r="G260" s="481"/>
      <c r="H260" s="606" t="s">
        <v>876</v>
      </c>
      <c r="I260" s="481"/>
      <c r="J260" s="606" t="s">
        <v>876</v>
      </c>
      <c r="K260" s="481"/>
      <c r="L260" s="606" t="s">
        <v>876</v>
      </c>
      <c r="M260" s="481"/>
      <c r="N260" s="606" t="s">
        <v>876</v>
      </c>
      <c r="O260" s="481"/>
      <c r="P260" s="606" t="s">
        <v>876</v>
      </c>
      <c r="Q260" s="481"/>
      <c r="R260" s="606" t="s">
        <v>876</v>
      </c>
      <c r="S260" s="481"/>
      <c r="T260" s="606" t="s">
        <v>876</v>
      </c>
      <c r="U260" s="481"/>
      <c r="V260" s="606" t="s">
        <v>876</v>
      </c>
      <c r="W260" s="481"/>
      <c r="X260" s="404"/>
      <c r="Y260" s="481"/>
      <c r="Z260" s="481"/>
      <c r="AA260" s="481"/>
      <c r="AB260" s="482"/>
      <c r="AC260" s="483"/>
      <c r="AD260" s="484"/>
    </row>
    <row r="261" spans="1:30" x14ac:dyDescent="0.45">
      <c r="A261" s="92"/>
      <c r="B261" s="480"/>
      <c r="C261" s="92"/>
      <c r="D261" s="606" t="s">
        <v>876</v>
      </c>
      <c r="E261" s="481"/>
      <c r="F261" s="606" t="s">
        <v>876</v>
      </c>
      <c r="G261" s="481"/>
      <c r="H261" s="606" t="s">
        <v>876</v>
      </c>
      <c r="I261" s="481"/>
      <c r="J261" s="606" t="s">
        <v>876</v>
      </c>
      <c r="K261" s="481"/>
      <c r="L261" s="606" t="s">
        <v>876</v>
      </c>
      <c r="M261" s="481"/>
      <c r="N261" s="606" t="s">
        <v>876</v>
      </c>
      <c r="O261" s="481"/>
      <c r="P261" s="606" t="s">
        <v>876</v>
      </c>
      <c r="Q261" s="481"/>
      <c r="R261" s="606" t="s">
        <v>876</v>
      </c>
      <c r="S261" s="481"/>
      <c r="T261" s="606" t="s">
        <v>876</v>
      </c>
      <c r="U261" s="481"/>
      <c r="V261" s="606" t="s">
        <v>876</v>
      </c>
      <c r="W261" s="481"/>
      <c r="X261" s="404"/>
      <c r="Y261" s="481"/>
      <c r="Z261" s="481"/>
      <c r="AA261" s="481"/>
      <c r="AB261" s="482"/>
      <c r="AC261" s="483"/>
      <c r="AD261" s="484"/>
    </row>
    <row r="262" spans="1:30" x14ac:dyDescent="0.45">
      <c r="A262" s="92"/>
      <c r="B262" s="480"/>
      <c r="C262" s="92"/>
      <c r="D262" s="606" t="s">
        <v>876</v>
      </c>
      <c r="E262" s="481"/>
      <c r="F262" s="606" t="s">
        <v>876</v>
      </c>
      <c r="G262" s="481"/>
      <c r="H262" s="606" t="s">
        <v>876</v>
      </c>
      <c r="I262" s="481"/>
      <c r="J262" s="606" t="s">
        <v>876</v>
      </c>
      <c r="K262" s="481"/>
      <c r="L262" s="606" t="s">
        <v>876</v>
      </c>
      <c r="M262" s="481"/>
      <c r="N262" s="606" t="s">
        <v>876</v>
      </c>
      <c r="O262" s="481"/>
      <c r="P262" s="606" t="s">
        <v>876</v>
      </c>
      <c r="Q262" s="481"/>
      <c r="R262" s="606" t="s">
        <v>876</v>
      </c>
      <c r="S262" s="481"/>
      <c r="T262" s="606" t="s">
        <v>876</v>
      </c>
      <c r="U262" s="481"/>
      <c r="V262" s="606" t="s">
        <v>876</v>
      </c>
      <c r="W262" s="481"/>
      <c r="X262" s="404"/>
      <c r="Y262" s="481"/>
      <c r="Z262" s="481"/>
      <c r="AA262" s="481"/>
      <c r="AB262" s="482"/>
      <c r="AC262" s="483"/>
      <c r="AD262" s="484"/>
    </row>
    <row r="263" spans="1:30" x14ac:dyDescent="0.45">
      <c r="A263" s="92"/>
      <c r="B263" s="480"/>
      <c r="C263" s="92"/>
      <c r="D263" s="606" t="s">
        <v>876</v>
      </c>
      <c r="E263" s="481"/>
      <c r="F263" s="606" t="s">
        <v>876</v>
      </c>
      <c r="G263" s="481"/>
      <c r="H263" s="606" t="s">
        <v>876</v>
      </c>
      <c r="I263" s="481"/>
      <c r="J263" s="606" t="s">
        <v>876</v>
      </c>
      <c r="K263" s="481"/>
      <c r="L263" s="606" t="s">
        <v>876</v>
      </c>
      <c r="M263" s="481"/>
      <c r="N263" s="606" t="s">
        <v>876</v>
      </c>
      <c r="O263" s="481"/>
      <c r="P263" s="606" t="s">
        <v>876</v>
      </c>
      <c r="Q263" s="481"/>
      <c r="R263" s="606" t="s">
        <v>876</v>
      </c>
      <c r="S263" s="481"/>
      <c r="T263" s="606" t="s">
        <v>876</v>
      </c>
      <c r="U263" s="481"/>
      <c r="V263" s="606" t="s">
        <v>876</v>
      </c>
      <c r="W263" s="481"/>
      <c r="X263" s="404"/>
      <c r="Y263" s="481"/>
      <c r="Z263" s="481"/>
      <c r="AA263" s="481"/>
      <c r="AB263" s="482"/>
      <c r="AC263" s="483"/>
      <c r="AD263" s="484"/>
    </row>
    <row r="264" spans="1:30" x14ac:dyDescent="0.45">
      <c r="A264" s="92"/>
      <c r="B264" s="480"/>
      <c r="C264" s="92"/>
      <c r="D264" s="606" t="s">
        <v>876</v>
      </c>
      <c r="E264" s="481"/>
      <c r="F264" s="606" t="s">
        <v>876</v>
      </c>
      <c r="G264" s="481"/>
      <c r="H264" s="606" t="s">
        <v>876</v>
      </c>
      <c r="I264" s="481"/>
      <c r="J264" s="606" t="s">
        <v>876</v>
      </c>
      <c r="K264" s="481"/>
      <c r="L264" s="606" t="s">
        <v>876</v>
      </c>
      <c r="M264" s="481"/>
      <c r="N264" s="606" t="s">
        <v>876</v>
      </c>
      <c r="O264" s="481"/>
      <c r="P264" s="606" t="s">
        <v>876</v>
      </c>
      <c r="Q264" s="481"/>
      <c r="R264" s="606" t="s">
        <v>876</v>
      </c>
      <c r="S264" s="481"/>
      <c r="T264" s="606" t="s">
        <v>876</v>
      </c>
      <c r="U264" s="481"/>
      <c r="V264" s="606" t="s">
        <v>876</v>
      </c>
      <c r="W264" s="481"/>
      <c r="X264" s="404"/>
      <c r="Y264" s="481"/>
      <c r="Z264" s="481"/>
      <c r="AA264" s="481"/>
      <c r="AB264" s="482"/>
      <c r="AC264" s="483"/>
      <c r="AD264" s="484"/>
    </row>
    <row r="265" spans="1:30" x14ac:dyDescent="0.45">
      <c r="A265" s="92"/>
      <c r="B265" s="480"/>
      <c r="C265" s="92"/>
      <c r="D265" s="606" t="s">
        <v>876</v>
      </c>
      <c r="E265" s="481"/>
      <c r="F265" s="606" t="s">
        <v>876</v>
      </c>
      <c r="G265" s="481"/>
      <c r="H265" s="606" t="s">
        <v>876</v>
      </c>
      <c r="I265" s="481"/>
      <c r="J265" s="606" t="s">
        <v>876</v>
      </c>
      <c r="K265" s="481"/>
      <c r="L265" s="606" t="s">
        <v>876</v>
      </c>
      <c r="M265" s="481"/>
      <c r="N265" s="606" t="s">
        <v>876</v>
      </c>
      <c r="O265" s="481"/>
      <c r="P265" s="606" t="s">
        <v>876</v>
      </c>
      <c r="Q265" s="481"/>
      <c r="R265" s="606" t="s">
        <v>876</v>
      </c>
      <c r="S265" s="481"/>
      <c r="T265" s="606" t="s">
        <v>876</v>
      </c>
      <c r="U265" s="481"/>
      <c r="V265" s="606" t="s">
        <v>876</v>
      </c>
      <c r="W265" s="481"/>
      <c r="X265" s="404"/>
      <c r="Y265" s="481"/>
      <c r="Z265" s="481"/>
      <c r="AA265" s="481"/>
      <c r="AB265" s="482"/>
      <c r="AC265" s="483"/>
      <c r="AD265" s="484"/>
    </row>
    <row r="266" spans="1:30" x14ac:dyDescent="0.45">
      <c r="A266" s="92"/>
      <c r="B266" s="480"/>
      <c r="C266" s="92"/>
      <c r="D266" s="606" t="s">
        <v>876</v>
      </c>
      <c r="E266" s="481"/>
      <c r="F266" s="606" t="s">
        <v>876</v>
      </c>
      <c r="G266" s="481"/>
      <c r="H266" s="606" t="s">
        <v>876</v>
      </c>
      <c r="I266" s="481"/>
      <c r="J266" s="606" t="s">
        <v>876</v>
      </c>
      <c r="K266" s="481"/>
      <c r="L266" s="606" t="s">
        <v>876</v>
      </c>
      <c r="M266" s="481"/>
      <c r="N266" s="606" t="s">
        <v>876</v>
      </c>
      <c r="O266" s="481"/>
      <c r="P266" s="606" t="s">
        <v>876</v>
      </c>
      <c r="Q266" s="481"/>
      <c r="R266" s="606" t="s">
        <v>876</v>
      </c>
      <c r="S266" s="481"/>
      <c r="T266" s="606" t="s">
        <v>876</v>
      </c>
      <c r="U266" s="481"/>
      <c r="V266" s="606" t="s">
        <v>876</v>
      </c>
      <c r="W266" s="481"/>
      <c r="X266" s="404"/>
      <c r="Y266" s="481"/>
      <c r="Z266" s="481"/>
      <c r="AA266" s="481"/>
      <c r="AB266" s="482"/>
      <c r="AC266" s="483"/>
      <c r="AD266" s="484"/>
    </row>
    <row r="267" spans="1:30" x14ac:dyDescent="0.45">
      <c r="A267" s="92"/>
      <c r="B267" s="480"/>
      <c r="C267" s="92"/>
      <c r="D267" s="606" t="s">
        <v>876</v>
      </c>
      <c r="E267" s="481"/>
      <c r="F267" s="606" t="s">
        <v>876</v>
      </c>
      <c r="G267" s="481"/>
      <c r="H267" s="606" t="s">
        <v>876</v>
      </c>
      <c r="I267" s="481"/>
      <c r="J267" s="606" t="s">
        <v>876</v>
      </c>
      <c r="K267" s="481"/>
      <c r="L267" s="606" t="s">
        <v>876</v>
      </c>
      <c r="M267" s="481"/>
      <c r="N267" s="606" t="s">
        <v>876</v>
      </c>
      <c r="O267" s="481"/>
      <c r="P267" s="606" t="s">
        <v>876</v>
      </c>
      <c r="Q267" s="481"/>
      <c r="R267" s="606" t="s">
        <v>876</v>
      </c>
      <c r="S267" s="481"/>
      <c r="T267" s="606" t="s">
        <v>876</v>
      </c>
      <c r="U267" s="481"/>
      <c r="V267" s="606" t="s">
        <v>876</v>
      </c>
      <c r="W267" s="481"/>
      <c r="X267" s="404"/>
      <c r="Y267" s="481"/>
      <c r="Z267" s="481"/>
      <c r="AA267" s="481"/>
      <c r="AB267" s="482"/>
      <c r="AC267" s="483"/>
      <c r="AD267" s="484"/>
    </row>
    <row r="268" spans="1:30" x14ac:dyDescent="0.45">
      <c r="A268" s="92"/>
      <c r="B268" s="480"/>
      <c r="C268" s="92"/>
      <c r="D268" s="606" t="s">
        <v>876</v>
      </c>
      <c r="E268" s="481"/>
      <c r="F268" s="606" t="s">
        <v>876</v>
      </c>
      <c r="G268" s="481"/>
      <c r="H268" s="606" t="s">
        <v>876</v>
      </c>
      <c r="I268" s="481"/>
      <c r="J268" s="606" t="s">
        <v>876</v>
      </c>
      <c r="K268" s="481"/>
      <c r="L268" s="606" t="s">
        <v>876</v>
      </c>
      <c r="M268" s="481"/>
      <c r="N268" s="606" t="s">
        <v>876</v>
      </c>
      <c r="O268" s="481"/>
      <c r="P268" s="606" t="s">
        <v>876</v>
      </c>
      <c r="Q268" s="481"/>
      <c r="R268" s="606" t="s">
        <v>876</v>
      </c>
      <c r="S268" s="481"/>
      <c r="T268" s="606" t="s">
        <v>876</v>
      </c>
      <c r="U268" s="481"/>
      <c r="V268" s="606" t="s">
        <v>876</v>
      </c>
      <c r="W268" s="481"/>
      <c r="X268" s="404"/>
      <c r="Y268" s="481"/>
      <c r="Z268" s="481"/>
      <c r="AA268" s="481"/>
      <c r="AB268" s="482"/>
      <c r="AC268" s="483"/>
      <c r="AD268" s="484"/>
    </row>
    <row r="269" spans="1:30" x14ac:dyDescent="0.45">
      <c r="A269" s="92"/>
      <c r="B269" s="480"/>
      <c r="C269" s="92"/>
      <c r="D269" s="606" t="s">
        <v>876</v>
      </c>
      <c r="E269" s="481"/>
      <c r="F269" s="606" t="s">
        <v>876</v>
      </c>
      <c r="G269" s="481"/>
      <c r="H269" s="606" t="s">
        <v>876</v>
      </c>
      <c r="I269" s="481"/>
      <c r="J269" s="606" t="s">
        <v>876</v>
      </c>
      <c r="K269" s="481"/>
      <c r="L269" s="606" t="s">
        <v>876</v>
      </c>
      <c r="M269" s="481"/>
      <c r="N269" s="606" t="s">
        <v>876</v>
      </c>
      <c r="O269" s="481"/>
      <c r="P269" s="606" t="s">
        <v>876</v>
      </c>
      <c r="Q269" s="481"/>
      <c r="R269" s="606" t="s">
        <v>876</v>
      </c>
      <c r="S269" s="481"/>
      <c r="T269" s="606" t="s">
        <v>876</v>
      </c>
      <c r="U269" s="481"/>
      <c r="V269" s="606" t="s">
        <v>876</v>
      </c>
      <c r="W269" s="481"/>
      <c r="X269" s="404"/>
      <c r="Y269" s="481"/>
      <c r="Z269" s="481"/>
      <c r="AA269" s="481"/>
      <c r="AB269" s="482"/>
      <c r="AC269" s="483"/>
      <c r="AD269" s="484"/>
    </row>
    <row r="270" spans="1:30" x14ac:dyDescent="0.45">
      <c r="A270" s="92"/>
      <c r="B270" s="480"/>
      <c r="C270" s="92"/>
      <c r="D270" s="606" t="s">
        <v>876</v>
      </c>
      <c r="E270" s="481"/>
      <c r="F270" s="606" t="s">
        <v>876</v>
      </c>
      <c r="G270" s="481"/>
      <c r="H270" s="606" t="s">
        <v>876</v>
      </c>
      <c r="I270" s="481"/>
      <c r="J270" s="606" t="s">
        <v>876</v>
      </c>
      <c r="K270" s="481"/>
      <c r="L270" s="606" t="s">
        <v>876</v>
      </c>
      <c r="M270" s="481"/>
      <c r="N270" s="606" t="s">
        <v>876</v>
      </c>
      <c r="O270" s="481"/>
      <c r="P270" s="606" t="s">
        <v>876</v>
      </c>
      <c r="Q270" s="481"/>
      <c r="R270" s="606" t="s">
        <v>876</v>
      </c>
      <c r="S270" s="481"/>
      <c r="T270" s="606" t="s">
        <v>876</v>
      </c>
      <c r="U270" s="481"/>
      <c r="V270" s="606" t="s">
        <v>876</v>
      </c>
      <c r="W270" s="481"/>
      <c r="X270" s="404"/>
      <c r="Y270" s="481"/>
      <c r="Z270" s="481"/>
      <c r="AA270" s="481"/>
      <c r="AB270" s="482"/>
      <c r="AC270" s="483"/>
      <c r="AD270" s="484"/>
    </row>
    <row r="271" spans="1:30" x14ac:dyDescent="0.45">
      <c r="A271" s="92"/>
      <c r="B271" s="480"/>
      <c r="C271" s="92"/>
      <c r="D271" s="606" t="s">
        <v>876</v>
      </c>
      <c r="E271" s="481"/>
      <c r="F271" s="606" t="s">
        <v>876</v>
      </c>
      <c r="G271" s="481"/>
      <c r="H271" s="606" t="s">
        <v>876</v>
      </c>
      <c r="I271" s="481"/>
      <c r="J271" s="606" t="s">
        <v>876</v>
      </c>
      <c r="K271" s="481"/>
      <c r="L271" s="606" t="s">
        <v>876</v>
      </c>
      <c r="M271" s="481"/>
      <c r="N271" s="606" t="s">
        <v>876</v>
      </c>
      <c r="O271" s="481"/>
      <c r="P271" s="606" t="s">
        <v>876</v>
      </c>
      <c r="Q271" s="481"/>
      <c r="R271" s="606" t="s">
        <v>876</v>
      </c>
      <c r="S271" s="481"/>
      <c r="T271" s="606" t="s">
        <v>876</v>
      </c>
      <c r="U271" s="481"/>
      <c r="V271" s="606" t="s">
        <v>876</v>
      </c>
      <c r="W271" s="481"/>
      <c r="X271" s="404"/>
      <c r="Y271" s="481"/>
      <c r="Z271" s="481"/>
      <c r="AA271" s="481"/>
      <c r="AB271" s="482"/>
      <c r="AC271" s="483"/>
      <c r="AD271" s="484"/>
    </row>
    <row r="272" spans="1:30" x14ac:dyDescent="0.45">
      <c r="A272" s="92"/>
      <c r="B272" s="480"/>
      <c r="C272" s="92"/>
      <c r="D272" s="606" t="s">
        <v>876</v>
      </c>
      <c r="E272" s="481"/>
      <c r="F272" s="606" t="s">
        <v>876</v>
      </c>
      <c r="G272" s="481"/>
      <c r="H272" s="606" t="s">
        <v>876</v>
      </c>
      <c r="I272" s="481"/>
      <c r="J272" s="606" t="s">
        <v>876</v>
      </c>
      <c r="K272" s="481"/>
      <c r="L272" s="606" t="s">
        <v>876</v>
      </c>
      <c r="M272" s="481"/>
      <c r="N272" s="606" t="s">
        <v>876</v>
      </c>
      <c r="O272" s="481"/>
      <c r="P272" s="606" t="s">
        <v>876</v>
      </c>
      <c r="Q272" s="481"/>
      <c r="R272" s="606" t="s">
        <v>876</v>
      </c>
      <c r="S272" s="481"/>
      <c r="T272" s="606" t="s">
        <v>876</v>
      </c>
      <c r="U272" s="481"/>
      <c r="V272" s="606" t="s">
        <v>876</v>
      </c>
      <c r="W272" s="481"/>
      <c r="X272" s="404"/>
      <c r="Y272" s="481"/>
      <c r="Z272" s="481"/>
      <c r="AA272" s="481"/>
      <c r="AB272" s="482"/>
      <c r="AC272" s="483"/>
      <c r="AD272" s="484"/>
    </row>
    <row r="273" spans="1:30" x14ac:dyDescent="0.45">
      <c r="A273" s="92"/>
      <c r="B273" s="480"/>
      <c r="C273" s="92"/>
      <c r="D273" s="606" t="s">
        <v>876</v>
      </c>
      <c r="E273" s="481"/>
      <c r="F273" s="606" t="s">
        <v>876</v>
      </c>
      <c r="G273" s="481"/>
      <c r="H273" s="606" t="s">
        <v>876</v>
      </c>
      <c r="I273" s="481"/>
      <c r="J273" s="606" t="s">
        <v>876</v>
      </c>
      <c r="K273" s="481"/>
      <c r="L273" s="606" t="s">
        <v>876</v>
      </c>
      <c r="M273" s="481"/>
      <c r="N273" s="606" t="s">
        <v>876</v>
      </c>
      <c r="O273" s="481"/>
      <c r="P273" s="606" t="s">
        <v>876</v>
      </c>
      <c r="Q273" s="481"/>
      <c r="R273" s="606" t="s">
        <v>876</v>
      </c>
      <c r="S273" s="481"/>
      <c r="T273" s="606" t="s">
        <v>876</v>
      </c>
      <c r="U273" s="481"/>
      <c r="V273" s="606" t="s">
        <v>876</v>
      </c>
      <c r="W273" s="481"/>
      <c r="X273" s="404"/>
      <c r="Y273" s="481"/>
      <c r="Z273" s="481"/>
      <c r="AA273" s="481"/>
      <c r="AB273" s="482"/>
      <c r="AC273" s="483"/>
      <c r="AD273" s="484"/>
    </row>
    <row r="274" spans="1:30" x14ac:dyDescent="0.45">
      <c r="A274" s="92"/>
      <c r="B274" s="480"/>
      <c r="C274" s="92"/>
      <c r="D274" s="606" t="s">
        <v>876</v>
      </c>
      <c r="E274" s="481"/>
      <c r="F274" s="606" t="s">
        <v>876</v>
      </c>
      <c r="G274" s="481"/>
      <c r="H274" s="606" t="s">
        <v>876</v>
      </c>
      <c r="I274" s="481"/>
      <c r="J274" s="606" t="s">
        <v>876</v>
      </c>
      <c r="K274" s="481"/>
      <c r="L274" s="606" t="s">
        <v>876</v>
      </c>
      <c r="M274" s="481"/>
      <c r="N274" s="606" t="s">
        <v>876</v>
      </c>
      <c r="O274" s="481"/>
      <c r="P274" s="606" t="s">
        <v>876</v>
      </c>
      <c r="Q274" s="481"/>
      <c r="R274" s="606" t="s">
        <v>876</v>
      </c>
      <c r="S274" s="481"/>
      <c r="T274" s="606" t="s">
        <v>876</v>
      </c>
      <c r="U274" s="481"/>
      <c r="V274" s="606" t="s">
        <v>876</v>
      </c>
      <c r="W274" s="481"/>
      <c r="X274" s="404"/>
      <c r="Y274" s="481"/>
      <c r="Z274" s="481"/>
      <c r="AA274" s="481"/>
      <c r="AB274" s="482"/>
      <c r="AC274" s="483"/>
      <c r="AD274" s="484"/>
    </row>
    <row r="275" spans="1:30" x14ac:dyDescent="0.45">
      <c r="A275" s="92"/>
      <c r="B275" s="480"/>
      <c r="C275" s="92"/>
      <c r="D275" s="606" t="s">
        <v>876</v>
      </c>
      <c r="E275" s="481"/>
      <c r="F275" s="606" t="s">
        <v>876</v>
      </c>
      <c r="G275" s="481"/>
      <c r="H275" s="606" t="s">
        <v>876</v>
      </c>
      <c r="I275" s="481"/>
      <c r="J275" s="606" t="s">
        <v>876</v>
      </c>
      <c r="K275" s="481"/>
      <c r="L275" s="606" t="s">
        <v>876</v>
      </c>
      <c r="M275" s="481"/>
      <c r="N275" s="606" t="s">
        <v>876</v>
      </c>
      <c r="O275" s="481"/>
      <c r="P275" s="606" t="s">
        <v>876</v>
      </c>
      <c r="Q275" s="481"/>
      <c r="R275" s="606" t="s">
        <v>876</v>
      </c>
      <c r="S275" s="481"/>
      <c r="T275" s="606" t="s">
        <v>876</v>
      </c>
      <c r="U275" s="481"/>
      <c r="V275" s="606" t="s">
        <v>876</v>
      </c>
      <c r="W275" s="481"/>
      <c r="X275" s="404"/>
      <c r="Y275" s="481"/>
      <c r="Z275" s="481"/>
      <c r="AA275" s="481"/>
      <c r="AB275" s="482"/>
      <c r="AC275" s="483"/>
      <c r="AD275" s="484"/>
    </row>
    <row r="276" spans="1:30" x14ac:dyDescent="0.45">
      <c r="A276" s="92"/>
      <c r="B276" s="480"/>
      <c r="C276" s="92"/>
      <c r="D276" s="606" t="s">
        <v>876</v>
      </c>
      <c r="E276" s="481"/>
      <c r="F276" s="606" t="s">
        <v>876</v>
      </c>
      <c r="G276" s="481"/>
      <c r="H276" s="606" t="s">
        <v>876</v>
      </c>
      <c r="I276" s="481"/>
      <c r="J276" s="606" t="s">
        <v>876</v>
      </c>
      <c r="K276" s="481"/>
      <c r="L276" s="606" t="s">
        <v>876</v>
      </c>
      <c r="M276" s="481"/>
      <c r="N276" s="606" t="s">
        <v>876</v>
      </c>
      <c r="O276" s="481"/>
      <c r="P276" s="606" t="s">
        <v>876</v>
      </c>
      <c r="Q276" s="481"/>
      <c r="R276" s="606" t="s">
        <v>876</v>
      </c>
      <c r="S276" s="481"/>
      <c r="T276" s="606" t="s">
        <v>876</v>
      </c>
      <c r="U276" s="481"/>
      <c r="V276" s="606" t="s">
        <v>876</v>
      </c>
      <c r="W276" s="481"/>
      <c r="X276" s="404"/>
      <c r="Y276" s="481"/>
      <c r="Z276" s="481"/>
      <c r="AA276" s="481"/>
      <c r="AB276" s="482"/>
      <c r="AC276" s="483"/>
      <c r="AD276" s="484"/>
    </row>
    <row r="277" spans="1:30" x14ac:dyDescent="0.45">
      <c r="A277" s="92"/>
      <c r="B277" s="480"/>
      <c r="C277" s="92"/>
      <c r="D277" s="606" t="s">
        <v>876</v>
      </c>
      <c r="E277" s="481"/>
      <c r="F277" s="606" t="s">
        <v>876</v>
      </c>
      <c r="G277" s="481"/>
      <c r="H277" s="606" t="s">
        <v>876</v>
      </c>
      <c r="I277" s="481"/>
      <c r="J277" s="606" t="s">
        <v>876</v>
      </c>
      <c r="K277" s="481"/>
      <c r="L277" s="606" t="s">
        <v>876</v>
      </c>
      <c r="M277" s="481"/>
      <c r="N277" s="606" t="s">
        <v>876</v>
      </c>
      <c r="O277" s="481"/>
      <c r="P277" s="606" t="s">
        <v>876</v>
      </c>
      <c r="Q277" s="481"/>
      <c r="R277" s="606" t="s">
        <v>876</v>
      </c>
      <c r="S277" s="481"/>
      <c r="T277" s="606" t="s">
        <v>876</v>
      </c>
      <c r="U277" s="481"/>
      <c r="V277" s="606" t="s">
        <v>876</v>
      </c>
      <c r="W277" s="481"/>
      <c r="X277" s="404"/>
      <c r="Y277" s="481"/>
      <c r="Z277" s="481"/>
      <c r="AA277" s="481"/>
      <c r="AB277" s="482"/>
      <c r="AC277" s="483"/>
      <c r="AD277" s="484"/>
    </row>
    <row r="278" spans="1:30" x14ac:dyDescent="0.45">
      <c r="A278" s="92"/>
      <c r="B278" s="480"/>
      <c r="C278" s="92"/>
      <c r="D278" s="606" t="s">
        <v>876</v>
      </c>
      <c r="E278" s="481"/>
      <c r="F278" s="606" t="s">
        <v>876</v>
      </c>
      <c r="G278" s="481"/>
      <c r="H278" s="606" t="s">
        <v>876</v>
      </c>
      <c r="I278" s="481"/>
      <c r="J278" s="606" t="s">
        <v>876</v>
      </c>
      <c r="K278" s="481"/>
      <c r="L278" s="606" t="s">
        <v>876</v>
      </c>
      <c r="M278" s="481"/>
      <c r="N278" s="606" t="s">
        <v>876</v>
      </c>
      <c r="O278" s="481"/>
      <c r="P278" s="606" t="s">
        <v>876</v>
      </c>
      <c r="Q278" s="481"/>
      <c r="R278" s="606" t="s">
        <v>876</v>
      </c>
      <c r="S278" s="481"/>
      <c r="T278" s="606" t="s">
        <v>876</v>
      </c>
      <c r="U278" s="481"/>
      <c r="V278" s="606" t="s">
        <v>876</v>
      </c>
      <c r="W278" s="481"/>
      <c r="X278" s="404"/>
      <c r="Y278" s="481"/>
      <c r="Z278" s="481"/>
      <c r="AA278" s="481"/>
      <c r="AB278" s="482"/>
      <c r="AC278" s="483"/>
      <c r="AD278" s="484"/>
    </row>
    <row r="279" spans="1:30" x14ac:dyDescent="0.45">
      <c r="A279" s="92"/>
      <c r="B279" s="480"/>
      <c r="C279" s="92"/>
      <c r="D279" s="606" t="s">
        <v>876</v>
      </c>
      <c r="E279" s="481"/>
      <c r="F279" s="606" t="s">
        <v>876</v>
      </c>
      <c r="G279" s="481"/>
      <c r="H279" s="606" t="s">
        <v>876</v>
      </c>
      <c r="I279" s="481"/>
      <c r="J279" s="606" t="s">
        <v>876</v>
      </c>
      <c r="K279" s="481"/>
      <c r="L279" s="606" t="s">
        <v>876</v>
      </c>
      <c r="M279" s="481"/>
      <c r="N279" s="606" t="s">
        <v>876</v>
      </c>
      <c r="O279" s="481"/>
      <c r="P279" s="606" t="s">
        <v>876</v>
      </c>
      <c r="Q279" s="481"/>
      <c r="R279" s="606" t="s">
        <v>876</v>
      </c>
      <c r="S279" s="481"/>
      <c r="T279" s="606" t="s">
        <v>876</v>
      </c>
      <c r="U279" s="481"/>
      <c r="V279" s="606" t="s">
        <v>876</v>
      </c>
      <c r="W279" s="481"/>
      <c r="X279" s="404"/>
      <c r="Y279" s="481"/>
      <c r="Z279" s="481"/>
      <c r="AA279" s="481"/>
      <c r="AB279" s="482"/>
      <c r="AC279" s="483"/>
      <c r="AD279" s="484"/>
    </row>
    <row r="280" spans="1:30" x14ac:dyDescent="0.45">
      <c r="A280" s="92"/>
      <c r="B280" s="480"/>
      <c r="C280" s="92"/>
      <c r="D280" s="606" t="s">
        <v>876</v>
      </c>
      <c r="E280" s="481"/>
      <c r="F280" s="606" t="s">
        <v>876</v>
      </c>
      <c r="G280" s="481"/>
      <c r="H280" s="606" t="s">
        <v>876</v>
      </c>
      <c r="I280" s="481"/>
      <c r="J280" s="606" t="s">
        <v>876</v>
      </c>
      <c r="K280" s="481"/>
      <c r="L280" s="606" t="s">
        <v>876</v>
      </c>
      <c r="M280" s="481"/>
      <c r="N280" s="606" t="s">
        <v>876</v>
      </c>
      <c r="O280" s="481"/>
      <c r="P280" s="606" t="s">
        <v>876</v>
      </c>
      <c r="Q280" s="481"/>
      <c r="R280" s="606" t="s">
        <v>876</v>
      </c>
      <c r="S280" s="481"/>
      <c r="T280" s="606" t="s">
        <v>876</v>
      </c>
      <c r="U280" s="481"/>
      <c r="V280" s="606" t="s">
        <v>876</v>
      </c>
      <c r="W280" s="481"/>
      <c r="X280" s="404"/>
      <c r="Y280" s="481"/>
      <c r="Z280" s="481"/>
      <c r="AA280" s="481"/>
      <c r="AB280" s="482"/>
      <c r="AC280" s="483"/>
      <c r="AD280" s="484"/>
    </row>
    <row r="281" spans="1:30" x14ac:dyDescent="0.45">
      <c r="A281" s="92"/>
      <c r="B281" s="480"/>
      <c r="C281" s="92"/>
      <c r="D281" s="606" t="s">
        <v>876</v>
      </c>
      <c r="E281" s="481"/>
      <c r="F281" s="606" t="s">
        <v>876</v>
      </c>
      <c r="G281" s="481"/>
      <c r="H281" s="606" t="s">
        <v>876</v>
      </c>
      <c r="I281" s="481"/>
      <c r="J281" s="606" t="s">
        <v>876</v>
      </c>
      <c r="K281" s="481"/>
      <c r="L281" s="606" t="s">
        <v>876</v>
      </c>
      <c r="M281" s="481"/>
      <c r="N281" s="606" t="s">
        <v>876</v>
      </c>
      <c r="O281" s="481"/>
      <c r="P281" s="606" t="s">
        <v>876</v>
      </c>
      <c r="Q281" s="481"/>
      <c r="R281" s="606" t="s">
        <v>876</v>
      </c>
      <c r="S281" s="481"/>
      <c r="T281" s="606" t="s">
        <v>876</v>
      </c>
      <c r="U281" s="481"/>
      <c r="V281" s="606" t="s">
        <v>876</v>
      </c>
      <c r="W281" s="481"/>
      <c r="X281" s="404"/>
      <c r="Y281" s="481"/>
      <c r="Z281" s="481"/>
      <c r="AA281" s="481"/>
      <c r="AB281" s="482"/>
      <c r="AC281" s="483"/>
      <c r="AD281" s="484"/>
    </row>
    <row r="282" spans="1:30" x14ac:dyDescent="0.45">
      <c r="A282" s="92"/>
      <c r="B282" s="480"/>
      <c r="C282" s="92"/>
      <c r="D282" s="606" t="s">
        <v>876</v>
      </c>
      <c r="E282" s="481"/>
      <c r="F282" s="606" t="s">
        <v>876</v>
      </c>
      <c r="G282" s="481"/>
      <c r="H282" s="606" t="s">
        <v>876</v>
      </c>
      <c r="I282" s="481"/>
      <c r="J282" s="606" t="s">
        <v>876</v>
      </c>
      <c r="K282" s="481"/>
      <c r="L282" s="606" t="s">
        <v>876</v>
      </c>
      <c r="M282" s="481"/>
      <c r="N282" s="606" t="s">
        <v>876</v>
      </c>
      <c r="O282" s="481"/>
      <c r="P282" s="606" t="s">
        <v>876</v>
      </c>
      <c r="Q282" s="481"/>
      <c r="R282" s="606" t="s">
        <v>876</v>
      </c>
      <c r="S282" s="481"/>
      <c r="T282" s="606" t="s">
        <v>876</v>
      </c>
      <c r="U282" s="481"/>
      <c r="V282" s="606" t="s">
        <v>876</v>
      </c>
      <c r="W282" s="481"/>
      <c r="X282" s="404"/>
      <c r="Y282" s="481"/>
      <c r="Z282" s="481"/>
      <c r="AA282" s="481"/>
      <c r="AB282" s="482"/>
      <c r="AC282" s="483"/>
      <c r="AD282" s="484"/>
    </row>
    <row r="283" spans="1:30" x14ac:dyDescent="0.45">
      <c r="A283" s="92"/>
      <c r="B283" s="480"/>
      <c r="C283" s="92"/>
      <c r="D283" s="606" t="s">
        <v>876</v>
      </c>
      <c r="E283" s="481"/>
      <c r="F283" s="606" t="s">
        <v>876</v>
      </c>
      <c r="G283" s="481"/>
      <c r="H283" s="606" t="s">
        <v>876</v>
      </c>
      <c r="I283" s="481"/>
      <c r="J283" s="606" t="s">
        <v>876</v>
      </c>
      <c r="K283" s="481"/>
      <c r="L283" s="606" t="s">
        <v>876</v>
      </c>
      <c r="M283" s="481"/>
      <c r="N283" s="606" t="s">
        <v>876</v>
      </c>
      <c r="O283" s="481"/>
      <c r="P283" s="606" t="s">
        <v>876</v>
      </c>
      <c r="Q283" s="481"/>
      <c r="R283" s="606" t="s">
        <v>876</v>
      </c>
      <c r="S283" s="481"/>
      <c r="T283" s="606" t="s">
        <v>876</v>
      </c>
      <c r="U283" s="481"/>
      <c r="V283" s="606" t="s">
        <v>876</v>
      </c>
      <c r="W283" s="481"/>
      <c r="X283" s="404"/>
      <c r="Y283" s="481"/>
      <c r="Z283" s="481"/>
      <c r="AA283" s="481"/>
      <c r="AB283" s="482"/>
      <c r="AC283" s="483"/>
      <c r="AD283" s="484"/>
    </row>
    <row r="284" spans="1:30" x14ac:dyDescent="0.45">
      <c r="A284" s="92"/>
      <c r="B284" s="480"/>
      <c r="C284" s="92"/>
      <c r="D284" s="606" t="s">
        <v>876</v>
      </c>
      <c r="E284" s="481"/>
      <c r="F284" s="606" t="s">
        <v>876</v>
      </c>
      <c r="G284" s="481"/>
      <c r="H284" s="606" t="s">
        <v>876</v>
      </c>
      <c r="I284" s="481"/>
      <c r="J284" s="606" t="s">
        <v>876</v>
      </c>
      <c r="K284" s="481"/>
      <c r="L284" s="606" t="s">
        <v>876</v>
      </c>
      <c r="M284" s="481"/>
      <c r="N284" s="606" t="s">
        <v>876</v>
      </c>
      <c r="O284" s="481"/>
      <c r="P284" s="606" t="s">
        <v>876</v>
      </c>
      <c r="Q284" s="481"/>
      <c r="R284" s="606" t="s">
        <v>876</v>
      </c>
      <c r="S284" s="481"/>
      <c r="T284" s="606" t="s">
        <v>876</v>
      </c>
      <c r="U284" s="481"/>
      <c r="V284" s="606" t="s">
        <v>876</v>
      </c>
      <c r="W284" s="481"/>
      <c r="X284" s="404"/>
      <c r="Y284" s="481"/>
      <c r="Z284" s="481"/>
      <c r="AA284" s="481"/>
      <c r="AB284" s="482"/>
      <c r="AC284" s="483"/>
      <c r="AD284" s="484"/>
    </row>
    <row r="285" spans="1:30" x14ac:dyDescent="0.45">
      <c r="A285" s="92"/>
      <c r="B285" s="480"/>
      <c r="C285" s="92"/>
      <c r="D285" s="606" t="s">
        <v>876</v>
      </c>
      <c r="E285" s="481"/>
      <c r="F285" s="606" t="s">
        <v>876</v>
      </c>
      <c r="G285" s="481"/>
      <c r="H285" s="606" t="s">
        <v>876</v>
      </c>
      <c r="I285" s="481"/>
      <c r="J285" s="606" t="s">
        <v>876</v>
      </c>
      <c r="K285" s="481"/>
      <c r="L285" s="606" t="s">
        <v>876</v>
      </c>
      <c r="M285" s="481"/>
      <c r="N285" s="606" t="s">
        <v>876</v>
      </c>
      <c r="O285" s="481"/>
      <c r="P285" s="606" t="s">
        <v>876</v>
      </c>
      <c r="Q285" s="481"/>
      <c r="R285" s="606" t="s">
        <v>876</v>
      </c>
      <c r="S285" s="481"/>
      <c r="T285" s="606" t="s">
        <v>876</v>
      </c>
      <c r="U285" s="481"/>
      <c r="V285" s="606" t="s">
        <v>876</v>
      </c>
      <c r="W285" s="481"/>
      <c r="X285" s="404"/>
      <c r="Y285" s="481"/>
      <c r="Z285" s="481"/>
      <c r="AA285" s="481"/>
      <c r="AB285" s="482"/>
      <c r="AC285" s="483"/>
      <c r="AD285" s="484"/>
    </row>
    <row r="286" spans="1:30" x14ac:dyDescent="0.45">
      <c r="A286" s="92"/>
      <c r="B286" s="480"/>
      <c r="C286" s="92"/>
      <c r="D286" s="606" t="s">
        <v>876</v>
      </c>
      <c r="E286" s="481"/>
      <c r="F286" s="606" t="s">
        <v>876</v>
      </c>
      <c r="G286" s="481"/>
      <c r="H286" s="606" t="s">
        <v>876</v>
      </c>
      <c r="I286" s="481"/>
      <c r="J286" s="606" t="s">
        <v>876</v>
      </c>
      <c r="K286" s="481"/>
      <c r="L286" s="606" t="s">
        <v>876</v>
      </c>
      <c r="M286" s="481"/>
      <c r="N286" s="606" t="s">
        <v>876</v>
      </c>
      <c r="O286" s="481"/>
      <c r="P286" s="606" t="s">
        <v>876</v>
      </c>
      <c r="Q286" s="481"/>
      <c r="R286" s="606" t="s">
        <v>876</v>
      </c>
      <c r="S286" s="481"/>
      <c r="T286" s="606" t="s">
        <v>876</v>
      </c>
      <c r="U286" s="481"/>
      <c r="V286" s="606" t="s">
        <v>876</v>
      </c>
      <c r="W286" s="481"/>
      <c r="X286" s="404"/>
      <c r="Y286" s="481"/>
      <c r="Z286" s="481"/>
      <c r="AA286" s="481"/>
      <c r="AB286" s="482"/>
      <c r="AC286" s="483"/>
      <c r="AD286" s="484"/>
    </row>
    <row r="287" spans="1:30" x14ac:dyDescent="0.45">
      <c r="A287" s="92"/>
      <c r="B287" s="480"/>
      <c r="C287" s="92"/>
      <c r="D287" s="606" t="s">
        <v>876</v>
      </c>
      <c r="E287" s="481"/>
      <c r="F287" s="606" t="s">
        <v>876</v>
      </c>
      <c r="G287" s="481"/>
      <c r="H287" s="606" t="s">
        <v>876</v>
      </c>
      <c r="I287" s="481"/>
      <c r="J287" s="606" t="s">
        <v>876</v>
      </c>
      <c r="K287" s="481"/>
      <c r="L287" s="606" t="s">
        <v>876</v>
      </c>
      <c r="M287" s="481"/>
      <c r="N287" s="606" t="s">
        <v>876</v>
      </c>
      <c r="O287" s="481"/>
      <c r="P287" s="606" t="s">
        <v>876</v>
      </c>
      <c r="Q287" s="481"/>
      <c r="R287" s="606" t="s">
        <v>876</v>
      </c>
      <c r="S287" s="481"/>
      <c r="T287" s="606" t="s">
        <v>876</v>
      </c>
      <c r="U287" s="481"/>
      <c r="V287" s="606" t="s">
        <v>876</v>
      </c>
      <c r="W287" s="481"/>
      <c r="X287" s="404"/>
      <c r="Y287" s="481"/>
      <c r="Z287" s="481"/>
      <c r="AA287" s="481"/>
      <c r="AB287" s="482"/>
      <c r="AC287" s="483"/>
      <c r="AD287" s="484"/>
    </row>
    <row r="288" spans="1:30" x14ac:dyDescent="0.45">
      <c r="A288" s="92"/>
      <c r="B288" s="480"/>
      <c r="C288" s="92"/>
      <c r="D288" s="606" t="s">
        <v>876</v>
      </c>
      <c r="E288" s="481"/>
      <c r="F288" s="606" t="s">
        <v>876</v>
      </c>
      <c r="G288" s="481"/>
      <c r="H288" s="606" t="s">
        <v>876</v>
      </c>
      <c r="I288" s="481"/>
      <c r="J288" s="606" t="s">
        <v>876</v>
      </c>
      <c r="K288" s="481"/>
      <c r="L288" s="606" t="s">
        <v>876</v>
      </c>
      <c r="M288" s="481"/>
      <c r="N288" s="606" t="s">
        <v>876</v>
      </c>
      <c r="O288" s="481"/>
      <c r="P288" s="606" t="s">
        <v>876</v>
      </c>
      <c r="Q288" s="481"/>
      <c r="R288" s="606" t="s">
        <v>876</v>
      </c>
      <c r="S288" s="481"/>
      <c r="T288" s="606" t="s">
        <v>876</v>
      </c>
      <c r="U288" s="481"/>
      <c r="V288" s="606" t="s">
        <v>876</v>
      </c>
      <c r="W288" s="481"/>
      <c r="X288" s="404"/>
      <c r="Y288" s="481"/>
      <c r="Z288" s="481"/>
      <c r="AA288" s="481"/>
      <c r="AB288" s="482"/>
      <c r="AC288" s="483"/>
      <c r="AD288" s="484"/>
    </row>
    <row r="289" spans="1:30" x14ac:dyDescent="0.45">
      <c r="A289" s="92"/>
      <c r="B289" s="480"/>
      <c r="C289" s="92"/>
      <c r="D289" s="606" t="s">
        <v>876</v>
      </c>
      <c r="E289" s="481"/>
      <c r="F289" s="606" t="s">
        <v>876</v>
      </c>
      <c r="G289" s="481"/>
      <c r="H289" s="606" t="s">
        <v>876</v>
      </c>
      <c r="I289" s="481"/>
      <c r="J289" s="606" t="s">
        <v>876</v>
      </c>
      <c r="K289" s="481"/>
      <c r="L289" s="606" t="s">
        <v>876</v>
      </c>
      <c r="M289" s="481"/>
      <c r="N289" s="606" t="s">
        <v>876</v>
      </c>
      <c r="O289" s="481"/>
      <c r="P289" s="606" t="s">
        <v>876</v>
      </c>
      <c r="Q289" s="481"/>
      <c r="R289" s="606" t="s">
        <v>876</v>
      </c>
      <c r="S289" s="481"/>
      <c r="T289" s="606" t="s">
        <v>876</v>
      </c>
      <c r="U289" s="481"/>
      <c r="V289" s="606" t="s">
        <v>876</v>
      </c>
      <c r="W289" s="481"/>
      <c r="X289" s="404"/>
      <c r="Y289" s="481"/>
      <c r="Z289" s="481"/>
      <c r="AA289" s="481"/>
      <c r="AB289" s="482"/>
      <c r="AC289" s="483"/>
      <c r="AD289" s="484"/>
    </row>
    <row r="290" spans="1:30" x14ac:dyDescent="0.45">
      <c r="A290" s="92"/>
      <c r="B290" s="480"/>
      <c r="C290" s="92"/>
      <c r="D290" s="606" t="s">
        <v>876</v>
      </c>
      <c r="E290" s="481"/>
      <c r="F290" s="606" t="s">
        <v>876</v>
      </c>
      <c r="G290" s="481"/>
      <c r="H290" s="606" t="s">
        <v>876</v>
      </c>
      <c r="I290" s="481"/>
      <c r="J290" s="606" t="s">
        <v>876</v>
      </c>
      <c r="K290" s="481"/>
      <c r="L290" s="606" t="s">
        <v>876</v>
      </c>
      <c r="M290" s="481"/>
      <c r="N290" s="606" t="s">
        <v>876</v>
      </c>
      <c r="O290" s="481"/>
      <c r="P290" s="606" t="s">
        <v>876</v>
      </c>
      <c r="Q290" s="481"/>
      <c r="R290" s="606" t="s">
        <v>876</v>
      </c>
      <c r="S290" s="481"/>
      <c r="T290" s="606" t="s">
        <v>876</v>
      </c>
      <c r="U290" s="481"/>
      <c r="V290" s="606" t="s">
        <v>876</v>
      </c>
      <c r="W290" s="481"/>
      <c r="X290" s="404"/>
      <c r="Y290" s="481"/>
      <c r="Z290" s="481"/>
      <c r="AA290" s="481"/>
      <c r="AB290" s="482"/>
      <c r="AC290" s="483"/>
      <c r="AD290" s="484"/>
    </row>
    <row r="291" spans="1:30" x14ac:dyDescent="0.45">
      <c r="A291" s="92"/>
      <c r="B291" s="480"/>
      <c r="C291" s="92"/>
      <c r="D291" s="606" t="s">
        <v>876</v>
      </c>
      <c r="E291" s="481"/>
      <c r="F291" s="606" t="s">
        <v>876</v>
      </c>
      <c r="G291" s="481"/>
      <c r="H291" s="606" t="s">
        <v>876</v>
      </c>
      <c r="I291" s="481"/>
      <c r="J291" s="606" t="s">
        <v>876</v>
      </c>
      <c r="K291" s="481"/>
      <c r="L291" s="606" t="s">
        <v>876</v>
      </c>
      <c r="M291" s="481"/>
      <c r="N291" s="606" t="s">
        <v>876</v>
      </c>
      <c r="O291" s="481"/>
      <c r="P291" s="606" t="s">
        <v>876</v>
      </c>
      <c r="Q291" s="481"/>
      <c r="R291" s="606" t="s">
        <v>876</v>
      </c>
      <c r="S291" s="481"/>
      <c r="T291" s="606" t="s">
        <v>876</v>
      </c>
      <c r="U291" s="481"/>
      <c r="V291" s="606" t="s">
        <v>876</v>
      </c>
      <c r="W291" s="481"/>
      <c r="X291" s="404"/>
      <c r="Y291" s="481"/>
      <c r="Z291" s="481"/>
      <c r="AA291" s="481"/>
      <c r="AB291" s="482"/>
      <c r="AC291" s="483"/>
      <c r="AD291" s="484"/>
    </row>
    <row r="292" spans="1:30" x14ac:dyDescent="0.45">
      <c r="A292" s="92"/>
      <c r="B292" s="480"/>
      <c r="C292" s="92"/>
      <c r="D292" s="606" t="s">
        <v>876</v>
      </c>
      <c r="E292" s="481"/>
      <c r="F292" s="606" t="s">
        <v>876</v>
      </c>
      <c r="G292" s="481"/>
      <c r="H292" s="606" t="s">
        <v>876</v>
      </c>
      <c r="I292" s="481"/>
      <c r="J292" s="606" t="s">
        <v>876</v>
      </c>
      <c r="K292" s="481"/>
      <c r="L292" s="606" t="s">
        <v>876</v>
      </c>
      <c r="M292" s="481"/>
      <c r="N292" s="606" t="s">
        <v>876</v>
      </c>
      <c r="O292" s="481"/>
      <c r="P292" s="606" t="s">
        <v>876</v>
      </c>
      <c r="Q292" s="481"/>
      <c r="R292" s="606" t="s">
        <v>876</v>
      </c>
      <c r="S292" s="481"/>
      <c r="T292" s="606" t="s">
        <v>876</v>
      </c>
      <c r="U292" s="481"/>
      <c r="V292" s="606" t="s">
        <v>876</v>
      </c>
      <c r="W292" s="481"/>
      <c r="X292" s="404"/>
      <c r="Y292" s="481"/>
      <c r="Z292" s="481"/>
      <c r="AA292" s="481"/>
      <c r="AB292" s="482"/>
      <c r="AC292" s="483"/>
      <c r="AD292" s="484"/>
    </row>
    <row r="293" spans="1:30" x14ac:dyDescent="0.45">
      <c r="A293" s="92"/>
      <c r="B293" s="480"/>
      <c r="C293" s="92"/>
      <c r="D293" s="606" t="s">
        <v>876</v>
      </c>
      <c r="E293" s="481"/>
      <c r="F293" s="606" t="s">
        <v>876</v>
      </c>
      <c r="G293" s="481"/>
      <c r="H293" s="606" t="s">
        <v>876</v>
      </c>
      <c r="I293" s="481"/>
      <c r="J293" s="606" t="s">
        <v>876</v>
      </c>
      <c r="K293" s="481"/>
      <c r="L293" s="606" t="s">
        <v>876</v>
      </c>
      <c r="M293" s="481"/>
      <c r="N293" s="606" t="s">
        <v>876</v>
      </c>
      <c r="O293" s="481"/>
      <c r="P293" s="606" t="s">
        <v>876</v>
      </c>
      <c r="Q293" s="481"/>
      <c r="R293" s="606" t="s">
        <v>876</v>
      </c>
      <c r="S293" s="481"/>
      <c r="T293" s="606" t="s">
        <v>876</v>
      </c>
      <c r="U293" s="481"/>
      <c r="V293" s="606" t="s">
        <v>876</v>
      </c>
      <c r="W293" s="481"/>
      <c r="X293" s="404"/>
      <c r="Y293" s="481"/>
      <c r="Z293" s="481"/>
      <c r="AA293" s="481"/>
      <c r="AB293" s="482"/>
      <c r="AC293" s="483"/>
      <c r="AD293" s="484"/>
    </row>
    <row r="294" spans="1:30" x14ac:dyDescent="0.45">
      <c r="A294" s="92"/>
      <c r="B294" s="480"/>
      <c r="C294" s="92"/>
      <c r="D294" s="606" t="s">
        <v>876</v>
      </c>
      <c r="E294" s="481"/>
      <c r="F294" s="606" t="s">
        <v>876</v>
      </c>
      <c r="G294" s="481"/>
      <c r="H294" s="606" t="s">
        <v>876</v>
      </c>
      <c r="I294" s="481"/>
      <c r="J294" s="606" t="s">
        <v>876</v>
      </c>
      <c r="K294" s="481"/>
      <c r="L294" s="606" t="s">
        <v>876</v>
      </c>
      <c r="M294" s="481"/>
      <c r="N294" s="606" t="s">
        <v>876</v>
      </c>
      <c r="O294" s="481"/>
      <c r="P294" s="606" t="s">
        <v>876</v>
      </c>
      <c r="Q294" s="481"/>
      <c r="R294" s="606" t="s">
        <v>876</v>
      </c>
      <c r="S294" s="481"/>
      <c r="T294" s="606" t="s">
        <v>876</v>
      </c>
      <c r="U294" s="481"/>
      <c r="V294" s="606" t="s">
        <v>876</v>
      </c>
      <c r="W294" s="481"/>
      <c r="X294" s="404"/>
      <c r="Y294" s="481"/>
      <c r="Z294" s="481"/>
      <c r="AA294" s="481"/>
      <c r="AB294" s="482"/>
      <c r="AC294" s="483"/>
      <c r="AD294" s="484"/>
    </row>
    <row r="295" spans="1:30" x14ac:dyDescent="0.45">
      <c r="A295" s="92"/>
      <c r="B295" s="480"/>
      <c r="C295" s="92"/>
      <c r="D295" s="606" t="s">
        <v>876</v>
      </c>
      <c r="E295" s="481"/>
      <c r="F295" s="606" t="s">
        <v>876</v>
      </c>
      <c r="G295" s="481"/>
      <c r="H295" s="606" t="s">
        <v>876</v>
      </c>
      <c r="I295" s="481"/>
      <c r="J295" s="606" t="s">
        <v>876</v>
      </c>
      <c r="K295" s="481"/>
      <c r="L295" s="606" t="s">
        <v>876</v>
      </c>
      <c r="M295" s="481"/>
      <c r="N295" s="606" t="s">
        <v>876</v>
      </c>
      <c r="O295" s="481"/>
      <c r="P295" s="606" t="s">
        <v>876</v>
      </c>
      <c r="Q295" s="481"/>
      <c r="R295" s="606" t="s">
        <v>876</v>
      </c>
      <c r="S295" s="481"/>
      <c r="T295" s="606" t="s">
        <v>876</v>
      </c>
      <c r="U295" s="481"/>
      <c r="V295" s="606" t="s">
        <v>876</v>
      </c>
      <c r="W295" s="481"/>
      <c r="X295" s="404"/>
      <c r="Y295" s="481"/>
      <c r="Z295" s="481"/>
      <c r="AA295" s="481"/>
      <c r="AB295" s="482"/>
      <c r="AC295" s="483"/>
      <c r="AD295" s="484"/>
    </row>
    <row r="296" spans="1:30" x14ac:dyDescent="0.45">
      <c r="A296" s="92"/>
      <c r="B296" s="480"/>
      <c r="C296" s="92"/>
      <c r="D296" s="606" t="s">
        <v>876</v>
      </c>
      <c r="E296" s="481"/>
      <c r="F296" s="606" t="s">
        <v>876</v>
      </c>
      <c r="G296" s="481"/>
      <c r="H296" s="606" t="s">
        <v>876</v>
      </c>
      <c r="I296" s="481"/>
      <c r="J296" s="606" t="s">
        <v>876</v>
      </c>
      <c r="K296" s="481"/>
      <c r="L296" s="606" t="s">
        <v>876</v>
      </c>
      <c r="M296" s="481"/>
      <c r="N296" s="606" t="s">
        <v>876</v>
      </c>
      <c r="O296" s="481"/>
      <c r="P296" s="606" t="s">
        <v>876</v>
      </c>
      <c r="Q296" s="481"/>
      <c r="R296" s="606" t="s">
        <v>876</v>
      </c>
      <c r="S296" s="481"/>
      <c r="T296" s="606" t="s">
        <v>876</v>
      </c>
      <c r="U296" s="481"/>
      <c r="V296" s="606" t="s">
        <v>876</v>
      </c>
      <c r="W296" s="481"/>
      <c r="X296" s="404"/>
      <c r="Y296" s="481"/>
      <c r="Z296" s="481"/>
      <c r="AA296" s="481"/>
      <c r="AB296" s="482"/>
      <c r="AC296" s="483"/>
      <c r="AD296" s="484"/>
    </row>
    <row r="297" spans="1:30" x14ac:dyDescent="0.45">
      <c r="A297" s="92"/>
      <c r="B297" s="480"/>
      <c r="C297" s="92"/>
      <c r="D297" s="606" t="s">
        <v>876</v>
      </c>
      <c r="E297" s="481"/>
      <c r="F297" s="606" t="s">
        <v>876</v>
      </c>
      <c r="G297" s="481"/>
      <c r="H297" s="606" t="s">
        <v>876</v>
      </c>
      <c r="I297" s="481"/>
      <c r="J297" s="606" t="s">
        <v>876</v>
      </c>
      <c r="K297" s="481"/>
      <c r="L297" s="606" t="s">
        <v>876</v>
      </c>
      <c r="M297" s="481"/>
      <c r="N297" s="606" t="s">
        <v>876</v>
      </c>
      <c r="O297" s="481"/>
      <c r="P297" s="606" t="s">
        <v>876</v>
      </c>
      <c r="Q297" s="481"/>
      <c r="R297" s="606" t="s">
        <v>876</v>
      </c>
      <c r="S297" s="481"/>
      <c r="T297" s="606" t="s">
        <v>876</v>
      </c>
      <c r="U297" s="481"/>
      <c r="V297" s="606" t="s">
        <v>876</v>
      </c>
      <c r="W297" s="481"/>
      <c r="X297" s="404"/>
      <c r="Y297" s="481"/>
      <c r="Z297" s="481"/>
      <c r="AA297" s="481"/>
      <c r="AB297" s="482"/>
      <c r="AC297" s="483"/>
      <c r="AD297" s="484"/>
    </row>
    <row r="298" spans="1:30" x14ac:dyDescent="0.45">
      <c r="A298" s="92"/>
      <c r="B298" s="480"/>
      <c r="C298" s="92"/>
      <c r="D298" s="606" t="s">
        <v>876</v>
      </c>
      <c r="E298" s="481"/>
      <c r="F298" s="606" t="s">
        <v>876</v>
      </c>
      <c r="G298" s="481"/>
      <c r="H298" s="606" t="s">
        <v>876</v>
      </c>
      <c r="I298" s="481"/>
      <c r="J298" s="606" t="s">
        <v>876</v>
      </c>
      <c r="K298" s="481"/>
      <c r="L298" s="606" t="s">
        <v>876</v>
      </c>
      <c r="M298" s="481"/>
      <c r="N298" s="606" t="s">
        <v>876</v>
      </c>
      <c r="O298" s="481"/>
      <c r="P298" s="606" t="s">
        <v>876</v>
      </c>
      <c r="Q298" s="481"/>
      <c r="R298" s="606" t="s">
        <v>876</v>
      </c>
      <c r="S298" s="481"/>
      <c r="T298" s="606" t="s">
        <v>876</v>
      </c>
      <c r="U298" s="481"/>
      <c r="V298" s="606" t="s">
        <v>876</v>
      </c>
      <c r="W298" s="481"/>
      <c r="X298" s="404"/>
      <c r="Y298" s="481"/>
      <c r="Z298" s="481"/>
      <c r="AA298" s="481"/>
      <c r="AB298" s="482"/>
      <c r="AC298" s="483"/>
      <c r="AD298" s="484"/>
    </row>
    <row r="299" spans="1:30" x14ac:dyDescent="0.45">
      <c r="A299" s="92"/>
      <c r="B299" s="480"/>
      <c r="C299" s="92"/>
      <c r="D299" s="606" t="s">
        <v>876</v>
      </c>
      <c r="E299" s="481"/>
      <c r="F299" s="606" t="s">
        <v>876</v>
      </c>
      <c r="G299" s="481"/>
      <c r="H299" s="606" t="s">
        <v>876</v>
      </c>
      <c r="I299" s="481"/>
      <c r="J299" s="606" t="s">
        <v>876</v>
      </c>
      <c r="K299" s="481"/>
      <c r="L299" s="606" t="s">
        <v>876</v>
      </c>
      <c r="M299" s="481"/>
      <c r="N299" s="606" t="s">
        <v>876</v>
      </c>
      <c r="O299" s="481"/>
      <c r="P299" s="606" t="s">
        <v>876</v>
      </c>
      <c r="Q299" s="481"/>
      <c r="R299" s="606" t="s">
        <v>876</v>
      </c>
      <c r="S299" s="481"/>
      <c r="T299" s="606" t="s">
        <v>876</v>
      </c>
      <c r="U299" s="481"/>
      <c r="V299" s="606" t="s">
        <v>876</v>
      </c>
      <c r="W299" s="481"/>
      <c r="X299" s="404"/>
      <c r="Y299" s="481"/>
      <c r="Z299" s="481"/>
      <c r="AA299" s="481"/>
      <c r="AB299" s="482"/>
      <c r="AC299" s="483"/>
      <c r="AD299" s="484"/>
    </row>
    <row r="300" spans="1:30" x14ac:dyDescent="0.45">
      <c r="A300" s="485"/>
      <c r="B300" s="604"/>
      <c r="C300" s="485"/>
      <c r="D300" s="606" t="s">
        <v>876</v>
      </c>
      <c r="E300" s="486"/>
      <c r="F300" s="606" t="s">
        <v>876</v>
      </c>
      <c r="G300" s="486"/>
      <c r="H300" s="606" t="s">
        <v>876</v>
      </c>
      <c r="I300" s="486"/>
      <c r="J300" s="606" t="s">
        <v>876</v>
      </c>
      <c r="K300" s="486"/>
      <c r="L300" s="606" t="s">
        <v>876</v>
      </c>
      <c r="M300" s="486"/>
      <c r="N300" s="606" t="s">
        <v>876</v>
      </c>
      <c r="O300" s="486"/>
      <c r="P300" s="606" t="s">
        <v>876</v>
      </c>
      <c r="Q300" s="486"/>
      <c r="R300" s="606" t="s">
        <v>876</v>
      </c>
      <c r="S300" s="486"/>
      <c r="T300" s="606" t="s">
        <v>876</v>
      </c>
      <c r="U300" s="486"/>
      <c r="V300" s="606" t="s">
        <v>876</v>
      </c>
      <c r="W300" s="486"/>
      <c r="X300" s="479"/>
      <c r="Y300" s="486"/>
      <c r="Z300" s="486"/>
      <c r="AA300" s="486"/>
      <c r="AB300" s="487"/>
      <c r="AC300" s="488"/>
      <c r="AD300" s="489"/>
    </row>
  </sheetData>
  <phoneticPr fontId="77" type="noConversion"/>
  <conditionalFormatting sqref="A2:A300">
    <cfRule type="expression" dxfId="58" priority="23">
      <formula>AND(ISNUMBER($A2),$A2&gt;0,$A2&lt;100)</formula>
    </cfRule>
  </conditionalFormatting>
  <conditionalFormatting sqref="A2:C300 E2:E300 G2:G300 I2:I300 K2:K300 M2:M300 O2:O300 Q2:Q300 S2:S300 U2:U300 W2:AD300">
    <cfRule type="expression" dxfId="57" priority="20">
      <formula>MOD(ROW(),2)=0</formula>
    </cfRule>
    <cfRule type="expression" dxfId="56" priority="21">
      <formula>$A2="Приход"</formula>
    </cfRule>
    <cfRule type="expression" dxfId="55" priority="22">
      <formula>$A2="Возврат"</formula>
    </cfRule>
  </conditionalFormatting>
  <conditionalFormatting sqref="D2:D300">
    <cfRule type="expression" dxfId="54" priority="10">
      <formula>$I2="Да"</formula>
    </cfRule>
  </conditionalFormatting>
  <conditionalFormatting sqref="F2:F300">
    <cfRule type="expression" dxfId="53" priority="9">
      <formula>$I2="Да"</formula>
    </cfRule>
  </conditionalFormatting>
  <conditionalFormatting sqref="H2:H300">
    <cfRule type="expression" dxfId="52" priority="8">
      <formula>$I2="Да"</formula>
    </cfRule>
  </conditionalFormatting>
  <conditionalFormatting sqref="J2:J300">
    <cfRule type="expression" dxfId="51" priority="7">
      <formula>$I2="Да"</formula>
    </cfRule>
  </conditionalFormatting>
  <conditionalFormatting sqref="L2:L300">
    <cfRule type="expression" dxfId="50" priority="6">
      <formula>$I2="Да"</formula>
    </cfRule>
  </conditionalFormatting>
  <conditionalFormatting sqref="N2:N300">
    <cfRule type="expression" dxfId="49" priority="5">
      <formula>$I2="Да"</formula>
    </cfRule>
  </conditionalFormatting>
  <conditionalFormatting sqref="P2:P300">
    <cfRule type="expression" dxfId="48" priority="4">
      <formula>$I2="Да"</formula>
    </cfRule>
  </conditionalFormatting>
  <conditionalFormatting sqref="R2:R300">
    <cfRule type="expression" dxfId="47" priority="3">
      <formula>$I2="Да"</formula>
    </cfRule>
  </conditionalFormatting>
  <conditionalFormatting sqref="T2:T300">
    <cfRule type="expression" dxfId="46" priority="2">
      <formula>$I2="Да"</formula>
    </cfRule>
  </conditionalFormatting>
  <conditionalFormatting sqref="V2:V300">
    <cfRule type="expression" dxfId="45" priority="1">
      <formula>$I2="Да"</formula>
    </cfRule>
  </conditionalFormatting>
  <dataValidations count="1">
    <dataValidation type="list" allowBlank="1" sqref="D2:D300 F2:F300 H2:H300 J2:J300 L2:L300 N2:N300 P2:P300 R2:R300 T2:T300 V2:V300" xr:uid="{6FAF4750-27B3-44B1-94AC-167DCD30A17A}">
      <formula1>"Да,Нет"</formula1>
      <formula2>0</formula2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2F8AE-EB4E-4EFE-9179-CD7A4622EFE0}">
  <dimension ref="A1:D14"/>
  <sheetViews>
    <sheetView topLeftCell="A6" workbookViewId="0">
      <selection activeCell="C4" sqref="C4:C13"/>
    </sheetView>
  </sheetViews>
  <sheetFormatPr defaultRowHeight="14.25" x14ac:dyDescent="0.45"/>
  <cols>
    <col min="1" max="1" width="12.265625" bestFit="1" customWidth="1"/>
    <col min="2" max="2" width="18.6640625" bestFit="1" customWidth="1"/>
    <col min="3" max="3" width="16" bestFit="1" customWidth="1"/>
    <col min="4" max="4" width="19.6640625" bestFit="1" customWidth="1"/>
  </cols>
  <sheetData>
    <row r="1" spans="1:4" ht="17.649999999999999" x14ac:dyDescent="0.5">
      <c r="A1" s="630" t="s">
        <v>877</v>
      </c>
      <c r="B1" s="630"/>
      <c r="C1" s="630"/>
      <c r="D1" s="630"/>
    </row>
    <row r="3" spans="1:4" x14ac:dyDescent="0.45">
      <c r="A3" s="607" t="s">
        <v>878</v>
      </c>
      <c r="B3" s="607" t="s">
        <v>879</v>
      </c>
      <c r="C3" s="607" t="s">
        <v>880</v>
      </c>
      <c r="D3" s="607" t="s">
        <v>884</v>
      </c>
    </row>
    <row r="4" spans="1:4" x14ac:dyDescent="0.45">
      <c r="A4" s="606" t="s">
        <v>130</v>
      </c>
      <c r="B4" s="606">
        <f>SUM('Арматура приход'!$E$2:$E$501,)</f>
        <v>68805</v>
      </c>
      <c r="C4" s="606">
        <f>SUMIFS('Арматура приход'!$E$2:$E$501,'Арматура приход'!$D$2:$D$501,"Нет")</f>
        <v>0</v>
      </c>
      <c r="D4" s="608">
        <f>B4-C4</f>
        <v>68805</v>
      </c>
    </row>
    <row r="5" spans="1:4" x14ac:dyDescent="0.45">
      <c r="A5" s="606">
        <v>8</v>
      </c>
      <c r="B5" s="606">
        <f>SUM('Арматура приход'!$G$2:$G$501,)</f>
        <v>1575</v>
      </c>
      <c r="C5" s="606">
        <f>SUMIFS('Арматура приход'!$G$2:$G$501,'Арматура приход'!$F$2:$F$501,"Нет")</f>
        <v>0</v>
      </c>
      <c r="D5" s="608">
        <f t="shared" ref="D5:D13" si="0">B5-C5</f>
        <v>1575</v>
      </c>
    </row>
    <row r="6" spans="1:4" x14ac:dyDescent="0.45">
      <c r="A6" s="606">
        <v>10</v>
      </c>
      <c r="B6" s="606">
        <f>SUM('Арматура приход'!$I$2:$I$501,)</f>
        <v>82145</v>
      </c>
      <c r="C6" s="606">
        <f>SUMIFS('Арматура приход'!$I$2:$I$501,'Арматура приход'!$H$2:$H$501,"Нет")</f>
        <v>0</v>
      </c>
      <c r="D6" s="608">
        <f t="shared" si="0"/>
        <v>82145</v>
      </c>
    </row>
    <row r="7" spans="1:4" x14ac:dyDescent="0.45">
      <c r="A7" s="606">
        <v>12</v>
      </c>
      <c r="B7" s="606">
        <f>SUM('Арматура приход'!$K$2:$K$501,)</f>
        <v>250200</v>
      </c>
      <c r="C7" s="606">
        <f>SUMIFS('Арматура приход'!$K$2:$K$501,'Арматура приход'!$J$2:$J$501,"Нет")</f>
        <v>0</v>
      </c>
      <c r="D7" s="608">
        <f t="shared" si="0"/>
        <v>250200</v>
      </c>
    </row>
    <row r="8" spans="1:4" x14ac:dyDescent="0.45">
      <c r="A8" s="606">
        <v>14</v>
      </c>
      <c r="B8" s="606">
        <f>SUM('Арматура приход'!$M$2:$M$501,)</f>
        <v>97237</v>
      </c>
      <c r="C8" s="606">
        <f>SUMIFS('Арматура приход'!$M$2:$M$501,'Арматура приход'!$L$2:$L$501,"Нет")</f>
        <v>0</v>
      </c>
      <c r="D8" s="608">
        <f t="shared" si="0"/>
        <v>97237</v>
      </c>
    </row>
    <row r="9" spans="1:4" x14ac:dyDescent="0.45">
      <c r="A9" s="606">
        <v>16</v>
      </c>
      <c r="B9" s="606">
        <f>SUM('Арматура приход'!$O$2:$O$501,)</f>
        <v>59240</v>
      </c>
      <c r="C9" s="606">
        <f>SUMIFS('Арматура приход'!$O$2:$O$501,'Арматура приход'!$N$2:$N$501,"Нет")</f>
        <v>0</v>
      </c>
      <c r="D9" s="608">
        <f t="shared" si="0"/>
        <v>59240</v>
      </c>
    </row>
    <row r="10" spans="1:4" x14ac:dyDescent="0.45">
      <c r="A10" s="606">
        <v>18</v>
      </c>
      <c r="B10" s="606">
        <f>SUM('Арматура приход'!$Q$2:$Q$501,)</f>
        <v>47678</v>
      </c>
      <c r="C10" s="606">
        <f>SUMIFS('Арматура приход'!$Q$2:$Q$501,'Арматура приход'!$P$2:$P$501,"Нет")</f>
        <v>0</v>
      </c>
      <c r="D10" s="608">
        <f t="shared" si="0"/>
        <v>47678</v>
      </c>
    </row>
    <row r="11" spans="1:4" x14ac:dyDescent="0.45">
      <c r="A11" s="606">
        <v>20</v>
      </c>
      <c r="B11" s="606">
        <f>SUM('Арматура приход'!$S$2:$S$501,)</f>
        <v>19667</v>
      </c>
      <c r="C11" s="606">
        <f>SUMIFS('Арматура приход'!$S$2:$S$501,'Арматура приход'!$R$2:$R$501,"Нет")</f>
        <v>0</v>
      </c>
      <c r="D11" s="608">
        <f t="shared" si="0"/>
        <v>19667</v>
      </c>
    </row>
    <row r="12" spans="1:4" x14ac:dyDescent="0.45">
      <c r="A12" s="606">
        <v>22</v>
      </c>
      <c r="B12" s="606">
        <f>SUM('Арматура приход'!$U$2:$U$501,)</f>
        <v>281381</v>
      </c>
      <c r="C12" s="606">
        <f>SUMIFS('Арматура приход'!$U$2:$U$501,'Арматура приход'!$T$2:$T$501,"Нет")</f>
        <v>0</v>
      </c>
      <c r="D12" s="608">
        <f t="shared" si="0"/>
        <v>281381</v>
      </c>
    </row>
    <row r="13" spans="1:4" x14ac:dyDescent="0.45">
      <c r="A13" s="606">
        <v>25</v>
      </c>
      <c r="B13" s="606">
        <f>SUM('Арматура приход'!$W$2:$W$501,)</f>
        <v>259861</v>
      </c>
      <c r="C13" s="606">
        <f>SUMIFS('Арматура приход'!$W$2:$W$501,'Арматура приход'!$V$2:$V$501,"Нет")</f>
        <v>0</v>
      </c>
      <c r="D13" s="608">
        <f t="shared" si="0"/>
        <v>259861</v>
      </c>
    </row>
    <row r="14" spans="1:4" x14ac:dyDescent="0.45">
      <c r="A14" s="609" t="s">
        <v>845</v>
      </c>
      <c r="B14" s="609">
        <f>SUM(B4:B13)</f>
        <v>1167789</v>
      </c>
      <c r="C14" s="610">
        <f>SUM(C4:C13)</f>
        <v>0</v>
      </c>
      <c r="D14" s="610">
        <f>SUM(D4:D13)</f>
        <v>1167789</v>
      </c>
    </row>
  </sheetData>
  <mergeCells count="1">
    <mergeCell ref="A1:D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DF7AF-D5F4-4CB3-B794-FAE1764B9BBC}">
  <sheetPr codeName="Worksheet____15" filterMode="1"/>
  <dimension ref="A1:H124"/>
  <sheetViews>
    <sheetView topLeftCell="A67" zoomScale="80" workbookViewId="0">
      <selection activeCell="B3" sqref="B3"/>
    </sheetView>
  </sheetViews>
  <sheetFormatPr defaultRowHeight="14.25" x14ac:dyDescent="0.45"/>
  <cols>
    <col min="1" max="1" width="7.1328125" customWidth="1"/>
    <col min="2" max="2" width="35.6640625" customWidth="1"/>
    <col min="3" max="3" width="10.73046875" customWidth="1"/>
    <col min="4" max="4" width="23.1328125" customWidth="1"/>
    <col min="5" max="5" width="16" customWidth="1"/>
    <col min="6" max="6" width="23.1328125" customWidth="1"/>
    <col min="7" max="7" width="32" customWidth="1"/>
    <col min="8" max="8" width="19.6640625" customWidth="1"/>
  </cols>
  <sheetData>
    <row r="1" spans="1:8" ht="30" customHeight="1" x14ac:dyDescent="0.55000000000000004">
      <c r="A1" s="631" t="s">
        <v>312</v>
      </c>
      <c r="B1" s="631"/>
      <c r="C1" s="631"/>
      <c r="D1" s="631"/>
      <c r="E1" s="631"/>
      <c r="F1" s="631"/>
      <c r="G1" s="631"/>
    </row>
    <row r="2" spans="1:8" x14ac:dyDescent="0.45">
      <c r="A2" s="463" t="s">
        <v>313</v>
      </c>
      <c r="B2" s="464"/>
      <c r="C2" s="465" t="s">
        <v>314</v>
      </c>
    </row>
    <row r="4" spans="1:8" x14ac:dyDescent="0.45">
      <c r="A4" s="466" t="s">
        <v>31</v>
      </c>
      <c r="B4" s="466" t="s">
        <v>54</v>
      </c>
      <c r="C4" s="466" t="s">
        <v>33</v>
      </c>
      <c r="D4" s="466" t="s">
        <v>1</v>
      </c>
      <c r="E4" s="467" t="s">
        <v>315</v>
      </c>
      <c r="F4" s="468" t="s">
        <v>316</v>
      </c>
      <c r="G4" s="466" t="s">
        <v>317</v>
      </c>
      <c r="H4" s="473" t="s">
        <v>318</v>
      </c>
    </row>
    <row r="5" spans="1:8" ht="15.75" hidden="1" x14ac:dyDescent="0.5">
      <c r="A5" s="469">
        <v>1</v>
      </c>
      <c r="B5" s="470" t="s">
        <v>286</v>
      </c>
      <c r="C5" s="469" t="s">
        <v>59</v>
      </c>
      <c r="D5" s="469" t="s">
        <v>187</v>
      </c>
      <c r="E5" s="471">
        <f>SUMIF(Снабжения!B:B,B5,Снабжения!E:E)-SUMIF(Снабжения!B:B,B5,Снабжения!F:F)</f>
        <v>125</v>
      </c>
      <c r="F5" s="472"/>
      <c r="G5" s="474"/>
      <c r="H5" s="475"/>
    </row>
    <row r="6" spans="1:8" ht="15.75" x14ac:dyDescent="0.5">
      <c r="A6" s="469">
        <v>2</v>
      </c>
      <c r="B6" s="470" t="s">
        <v>295</v>
      </c>
      <c r="C6" s="469" t="s">
        <v>69</v>
      </c>
      <c r="D6" s="469" t="s">
        <v>204</v>
      </c>
      <c r="E6" s="471">
        <f>SUMIF(Снабжения!B:B,B6,Снабжения!E:E)-SUMIF(Снабжения!B:B,B6,Снабжения!F:F)</f>
        <v>1</v>
      </c>
      <c r="F6" s="472"/>
      <c r="G6" s="474"/>
      <c r="H6" s="475"/>
    </row>
    <row r="7" spans="1:8" ht="15.75" hidden="1" x14ac:dyDescent="0.5">
      <c r="A7" s="469">
        <v>3</v>
      </c>
      <c r="B7" s="470" t="s">
        <v>188</v>
      </c>
      <c r="C7" s="469" t="s">
        <v>59</v>
      </c>
      <c r="D7" s="469" t="s">
        <v>187</v>
      </c>
      <c r="E7" s="471">
        <f>SUMIF(Снабжения!B:B,B7,Снабжения!E:E)-SUMIF(Снабжения!B:B,B7,Снабжения!F:F)</f>
        <v>20</v>
      </c>
      <c r="F7" s="472">
        <v>9500</v>
      </c>
      <c r="G7" s="474">
        <v>80</v>
      </c>
      <c r="H7" s="475"/>
    </row>
    <row r="8" spans="1:8" ht="15.75" hidden="1" x14ac:dyDescent="0.5">
      <c r="A8" s="469">
        <v>4</v>
      </c>
      <c r="B8" s="470" t="s">
        <v>207</v>
      </c>
      <c r="C8" s="469" t="s">
        <v>69</v>
      </c>
      <c r="D8" s="469" t="s">
        <v>173</v>
      </c>
      <c r="E8" s="471">
        <f>SUMIF(Снабжения!B:B,B8,Снабжения!E:E)-SUMIF(Снабжения!B:B,B8,Снабжения!F:F)</f>
        <v>9</v>
      </c>
      <c r="F8" s="472">
        <v>31691</v>
      </c>
      <c r="G8" s="474"/>
      <c r="H8" s="475"/>
    </row>
    <row r="9" spans="1:8" ht="15.75" x14ac:dyDescent="0.5">
      <c r="A9" s="469">
        <v>5</v>
      </c>
      <c r="B9" s="470" t="s">
        <v>213</v>
      </c>
      <c r="C9" s="469" t="s">
        <v>202</v>
      </c>
      <c r="D9" s="469" t="s">
        <v>204</v>
      </c>
      <c r="E9" s="471">
        <f>SUMIF(Снабжения!B:B,B9,Снабжения!E:E)-SUMIF(Снабжения!B:B,B9,Снабжения!F:F)</f>
        <v>0</v>
      </c>
      <c r="F9" s="472">
        <v>10163</v>
      </c>
      <c r="G9" s="474"/>
      <c r="H9" s="475"/>
    </row>
    <row r="10" spans="1:8" ht="15.75" x14ac:dyDescent="0.5">
      <c r="A10" s="469">
        <v>6</v>
      </c>
      <c r="B10" s="470" t="s">
        <v>216</v>
      </c>
      <c r="C10" s="469" t="s">
        <v>69</v>
      </c>
      <c r="D10" s="469" t="s">
        <v>204</v>
      </c>
      <c r="E10" s="471">
        <f>SUMIF(Снабжения!B:B,B10,Снабжения!E:E)-SUMIF(Снабжения!B:B,B10,Снабжения!F:F)</f>
        <v>0</v>
      </c>
      <c r="F10" s="472">
        <v>33000</v>
      </c>
      <c r="G10" s="474"/>
      <c r="H10" s="475"/>
    </row>
    <row r="11" spans="1:8" ht="15.75" x14ac:dyDescent="0.5">
      <c r="A11" s="469">
        <v>7</v>
      </c>
      <c r="B11" s="470" t="s">
        <v>218</v>
      </c>
      <c r="C11" s="469"/>
      <c r="D11" s="469"/>
      <c r="E11" s="471">
        <f>SUMIF(Снабжения!B:B,B11,Снабжения!E:E)-SUMIF(Снабжения!B:B,B11,Снабжения!F:F)</f>
        <v>0</v>
      </c>
      <c r="F11" s="472"/>
      <c r="G11" s="474"/>
      <c r="H11" s="475"/>
    </row>
    <row r="12" spans="1:8" ht="15.75" x14ac:dyDescent="0.5">
      <c r="A12" s="469">
        <v>8</v>
      </c>
      <c r="B12" s="470" t="s">
        <v>234</v>
      </c>
      <c r="C12" s="469" t="s">
        <v>217</v>
      </c>
      <c r="D12" s="469" t="s">
        <v>235</v>
      </c>
      <c r="E12" s="471">
        <f>SUMIF(Снабжения!B:B,B12,Снабжения!E:E)-SUMIF(Снабжения!B:B,B12,Снабжения!F:F)</f>
        <v>0</v>
      </c>
      <c r="F12" s="472"/>
      <c r="G12" s="474"/>
      <c r="H12" s="475"/>
    </row>
    <row r="13" spans="1:8" ht="15.75" x14ac:dyDescent="0.5">
      <c r="A13" s="469">
        <v>9</v>
      </c>
      <c r="B13" s="470" t="s">
        <v>237</v>
      </c>
      <c r="C13" s="469" t="s">
        <v>217</v>
      </c>
      <c r="D13" s="469" t="s">
        <v>235</v>
      </c>
      <c r="E13" s="471">
        <f>SUMIF(Снабжения!B:B,B13,Снабжения!E:E)-SUMIF(Снабжения!B:B,B13,Снабжения!F:F)</f>
        <v>0</v>
      </c>
      <c r="F13" s="472"/>
      <c r="G13" s="474"/>
      <c r="H13" s="475"/>
    </row>
    <row r="14" spans="1:8" ht="15.75" x14ac:dyDescent="0.5">
      <c r="A14" s="469">
        <v>10</v>
      </c>
      <c r="B14" s="470" t="s">
        <v>238</v>
      </c>
      <c r="C14" s="469" t="s">
        <v>69</v>
      </c>
      <c r="D14" s="469" t="s">
        <v>235</v>
      </c>
      <c r="E14" s="471">
        <f>SUMIF(Снабжения!B:B,B14,Снабжения!E:E)-SUMIF(Снабжения!B:B,B14,Снабжения!F:F)</f>
        <v>0</v>
      </c>
      <c r="F14" s="472"/>
      <c r="G14" s="474"/>
      <c r="H14" s="475"/>
    </row>
    <row r="15" spans="1:8" ht="15.75" x14ac:dyDescent="0.5">
      <c r="A15" s="469">
        <v>11</v>
      </c>
      <c r="B15" s="470" t="s">
        <v>239</v>
      </c>
      <c r="C15" s="469" t="s">
        <v>97</v>
      </c>
      <c r="D15" s="469" t="s">
        <v>235</v>
      </c>
      <c r="E15" s="471">
        <f>SUMIF(Снабжения!B:B,B15,Снабжения!E:E)-SUMIF(Снабжения!B:B,B15,Снабжения!F:F)</f>
        <v>0</v>
      </c>
      <c r="F15" s="472"/>
      <c r="G15" s="474"/>
      <c r="H15" s="475"/>
    </row>
    <row r="16" spans="1:8" ht="15.75" x14ac:dyDescent="0.5">
      <c r="A16" s="469">
        <v>12</v>
      </c>
      <c r="B16" s="470" t="s">
        <v>250</v>
      </c>
      <c r="C16" s="469" t="s">
        <v>85</v>
      </c>
      <c r="D16" s="469" t="s">
        <v>204</v>
      </c>
      <c r="E16" s="471">
        <f>SUMIF(Снабжения!B:B,B16,Снабжения!E:E)-SUMIF(Снабжения!B:B,B16,Снабжения!F:F)</f>
        <v>0</v>
      </c>
      <c r="F16" s="472">
        <v>23072</v>
      </c>
      <c r="G16" s="474"/>
      <c r="H16" s="475"/>
    </row>
    <row r="17" spans="1:8" ht="15.75" x14ac:dyDescent="0.5">
      <c r="A17" s="469">
        <v>13</v>
      </c>
      <c r="B17" s="470" t="s">
        <v>252</v>
      </c>
      <c r="C17" s="469" t="s">
        <v>69</v>
      </c>
      <c r="D17" s="469" t="s">
        <v>204</v>
      </c>
      <c r="E17" s="471">
        <f>SUMIF(Снабжения!B:B,B17,Снабжения!E:E)-SUMIF(Снабжения!B:B,B17,Снабжения!F:F)</f>
        <v>0</v>
      </c>
      <c r="F17" s="472">
        <v>129150</v>
      </c>
      <c r="G17" s="474"/>
      <c r="H17" s="475"/>
    </row>
    <row r="18" spans="1:8" ht="15.75" x14ac:dyDescent="0.5">
      <c r="A18" s="469">
        <v>14</v>
      </c>
      <c r="B18" s="470" t="s">
        <v>257</v>
      </c>
      <c r="C18" s="469" t="s">
        <v>69</v>
      </c>
      <c r="D18" s="469" t="s">
        <v>220</v>
      </c>
      <c r="E18" s="471">
        <f>SUMIF(Снабжения!B:B,B18,Снабжения!E:E)-SUMIF(Снабжения!B:B,B18,Снабжения!F:F)</f>
        <v>0</v>
      </c>
      <c r="F18" s="472">
        <v>32500</v>
      </c>
      <c r="G18" s="474"/>
      <c r="H18" s="475"/>
    </row>
    <row r="19" spans="1:8" ht="15.75" x14ac:dyDescent="0.5">
      <c r="A19" s="469">
        <v>15</v>
      </c>
      <c r="B19" s="470" t="s">
        <v>261</v>
      </c>
      <c r="C19" s="469" t="s">
        <v>69</v>
      </c>
      <c r="D19" s="469" t="s">
        <v>177</v>
      </c>
      <c r="E19" s="471">
        <f>SUMIF(Снабжения!B:B,B19,Снабжения!E:E)-SUMIF(Снабжения!B:B,B19,Снабжения!F:F)</f>
        <v>0</v>
      </c>
      <c r="F19" s="472">
        <v>30000</v>
      </c>
      <c r="G19" s="474"/>
      <c r="H19" s="475"/>
    </row>
    <row r="20" spans="1:8" ht="15.75" x14ac:dyDescent="0.5">
      <c r="A20" s="469">
        <v>16</v>
      </c>
      <c r="B20" s="470" t="s">
        <v>266</v>
      </c>
      <c r="C20" s="469" t="s">
        <v>69</v>
      </c>
      <c r="D20" s="469" t="s">
        <v>220</v>
      </c>
      <c r="E20" s="471">
        <f>SUMIF(Снабжения!B:B,B20,Снабжения!E:E)-SUMIF(Снабжения!B:B,B20,Снабжения!F:F)</f>
        <v>0</v>
      </c>
      <c r="F20" s="472">
        <v>603684</v>
      </c>
      <c r="G20" s="474"/>
      <c r="H20" s="475"/>
    </row>
    <row r="21" spans="1:8" ht="15.75" x14ac:dyDescent="0.5">
      <c r="A21" s="469">
        <v>17</v>
      </c>
      <c r="B21" s="470" t="s">
        <v>270</v>
      </c>
      <c r="C21" s="469" t="s">
        <v>69</v>
      </c>
      <c r="D21" s="469" t="s">
        <v>204</v>
      </c>
      <c r="E21" s="471">
        <f>SUMIF(Снабжения!B:B,B21,Снабжения!E:E)-SUMIF(Снабжения!B:B,B21,Снабжения!F:F)</f>
        <v>0</v>
      </c>
      <c r="F21" s="472">
        <v>11224</v>
      </c>
      <c r="G21" s="474"/>
      <c r="H21" s="475"/>
    </row>
    <row r="22" spans="1:8" ht="15.75" x14ac:dyDescent="0.5">
      <c r="A22" s="469">
        <v>18</v>
      </c>
      <c r="B22" s="470" t="s">
        <v>281</v>
      </c>
      <c r="C22" s="469" t="s">
        <v>85</v>
      </c>
      <c r="D22" s="469" t="s">
        <v>204</v>
      </c>
      <c r="E22" s="471">
        <f>SUMIF(Снабжения!B:B,B22,Снабжения!E:E)-SUMIF(Снабжения!B:B,B22,Снабжения!F:F)</f>
        <v>0</v>
      </c>
      <c r="F22" s="472">
        <v>74000</v>
      </c>
      <c r="G22" s="474"/>
      <c r="H22" s="475"/>
    </row>
    <row r="23" spans="1:8" ht="15.75" x14ac:dyDescent="0.5">
      <c r="A23" s="469">
        <v>19</v>
      </c>
      <c r="B23" s="470" t="s">
        <v>282</v>
      </c>
      <c r="C23" s="469" t="s">
        <v>69</v>
      </c>
      <c r="D23" s="469" t="s">
        <v>177</v>
      </c>
      <c r="E23" s="471">
        <f>SUMIF(Снабжения!B:B,B23,Снабжения!E:E)-SUMIF(Снабжения!B:B,B23,Снабжения!F:F)</f>
        <v>0</v>
      </c>
      <c r="F23" s="472">
        <v>410000</v>
      </c>
      <c r="G23" s="474"/>
      <c r="H23" s="475"/>
    </row>
    <row r="24" spans="1:8" ht="15.75" x14ac:dyDescent="0.5">
      <c r="A24" s="469">
        <v>20</v>
      </c>
      <c r="B24" s="470" t="s">
        <v>292</v>
      </c>
      <c r="C24" s="469" t="s">
        <v>59</v>
      </c>
      <c r="D24" s="469" t="s">
        <v>220</v>
      </c>
      <c r="E24" s="471">
        <f>SUMIF(Снабжения!B:B,B24,Снабжения!E:E)-SUMIF(Снабжения!B:B,B24,Снабжения!F:F)</f>
        <v>0</v>
      </c>
      <c r="F24" s="472">
        <v>80000</v>
      </c>
      <c r="G24" s="474"/>
      <c r="H24" s="475"/>
    </row>
    <row r="25" spans="1:8" ht="15.75" x14ac:dyDescent="0.5">
      <c r="A25" s="469">
        <v>21</v>
      </c>
      <c r="B25" s="470" t="s">
        <v>293</v>
      </c>
      <c r="C25" s="469" t="s">
        <v>69</v>
      </c>
      <c r="D25" s="469" t="s">
        <v>220</v>
      </c>
      <c r="E25" s="471">
        <f>SUMIF(Снабжения!B:B,B25,Снабжения!E:E)-SUMIF(Снабжения!B:B,B25,Снабжения!F:F)</f>
        <v>0</v>
      </c>
      <c r="F25" s="472">
        <v>300000</v>
      </c>
      <c r="G25" s="474"/>
      <c r="H25" s="475"/>
    </row>
    <row r="26" spans="1:8" ht="15.75" x14ac:dyDescent="0.5">
      <c r="A26" s="469">
        <v>22</v>
      </c>
      <c r="B26" s="470" t="s">
        <v>294</v>
      </c>
      <c r="C26" s="469" t="s">
        <v>85</v>
      </c>
      <c r="D26" s="469" t="s">
        <v>187</v>
      </c>
      <c r="E26" s="471">
        <f>SUMIF(Снабжения!B:B,B26,Снабжения!E:E)-SUMIF(Снабжения!B:B,B26,Снабжения!F:F)</f>
        <v>0</v>
      </c>
      <c r="F26" s="472"/>
      <c r="G26" s="474"/>
      <c r="H26" s="475"/>
    </row>
    <row r="27" spans="1:8" ht="15.75" x14ac:dyDescent="0.5">
      <c r="A27" s="469">
        <v>23</v>
      </c>
      <c r="B27" s="470" t="s">
        <v>300</v>
      </c>
      <c r="C27" s="469" t="s">
        <v>69</v>
      </c>
      <c r="D27" s="469"/>
      <c r="E27" s="471">
        <f>SUMIF(Снабжения!B:B,B27,Снабжения!E:E)-SUMIF(Снабжения!B:B,B27,Снабжения!F:F)</f>
        <v>0</v>
      </c>
      <c r="F27" s="472">
        <v>200000</v>
      </c>
      <c r="G27" s="474"/>
      <c r="H27" s="475"/>
    </row>
    <row r="28" spans="1:8" ht="15.75" x14ac:dyDescent="0.5">
      <c r="A28" s="469">
        <v>24</v>
      </c>
      <c r="B28" s="470" t="s">
        <v>301</v>
      </c>
      <c r="C28" s="469" t="s">
        <v>69</v>
      </c>
      <c r="D28" s="469" t="s">
        <v>204</v>
      </c>
      <c r="E28" s="471">
        <f>SUMIF(Снабжения!B:B,B28,Снабжения!E:E)-SUMIF(Снабжения!B:B,B28,Снабжения!F:F)</f>
        <v>0</v>
      </c>
      <c r="F28" s="472"/>
      <c r="G28" s="474"/>
      <c r="H28" s="475"/>
    </row>
    <row r="29" spans="1:8" ht="15.75" x14ac:dyDescent="0.5">
      <c r="A29" s="469">
        <v>25</v>
      </c>
      <c r="B29" s="470" t="s">
        <v>302</v>
      </c>
      <c r="C29" s="469" t="s">
        <v>85</v>
      </c>
      <c r="D29" s="469" t="s">
        <v>204</v>
      </c>
      <c r="E29" s="471">
        <f>SUMIF(Снабжения!B:B,B29,Снабжения!E:E)-SUMIF(Снабжения!B:B,B29,Снабжения!F:F)</f>
        <v>0</v>
      </c>
      <c r="F29" s="472"/>
      <c r="G29" s="474"/>
      <c r="H29" s="475"/>
    </row>
    <row r="30" spans="1:8" ht="15.75" x14ac:dyDescent="0.5">
      <c r="A30" s="469">
        <v>26</v>
      </c>
      <c r="B30" s="470" t="s">
        <v>303</v>
      </c>
      <c r="C30" s="469" t="s">
        <v>69</v>
      </c>
      <c r="D30" s="469" t="s">
        <v>204</v>
      </c>
      <c r="E30" s="471">
        <f>SUMIF(Снабжения!B:B,B30,Снабжения!E:E)-SUMIF(Снабжения!B:B,B30,Снабжения!F:F)</f>
        <v>0</v>
      </c>
      <c r="F30" s="472"/>
      <c r="G30" s="474"/>
      <c r="H30" s="475"/>
    </row>
    <row r="31" spans="1:8" ht="15.75" x14ac:dyDescent="0.5">
      <c r="A31" s="469">
        <v>27</v>
      </c>
      <c r="B31" s="470" t="s">
        <v>304</v>
      </c>
      <c r="C31" s="469" t="s">
        <v>69</v>
      </c>
      <c r="D31" s="469" t="s">
        <v>204</v>
      </c>
      <c r="E31" s="471">
        <f>SUMIF(Снабжения!B:B,B31,Снабжения!E:E)-SUMIF(Снабжения!B:B,B31,Снабжения!F:F)</f>
        <v>0</v>
      </c>
      <c r="F31" s="472"/>
      <c r="G31" s="474"/>
      <c r="H31" s="475"/>
    </row>
    <row r="32" spans="1:8" ht="15.75" x14ac:dyDescent="0.5">
      <c r="A32" s="469">
        <v>28</v>
      </c>
      <c r="B32" s="470" t="s">
        <v>305</v>
      </c>
      <c r="C32" s="469" t="s">
        <v>69</v>
      </c>
      <c r="D32" s="469" t="s">
        <v>204</v>
      </c>
      <c r="E32" s="471">
        <f>SUMIF(Снабжения!B:B,B32,Снабжения!E:E)-SUMIF(Снабжения!B:B,B32,Снабжения!F:F)</f>
        <v>0</v>
      </c>
      <c r="F32" s="472"/>
      <c r="G32" s="474"/>
      <c r="H32" s="475"/>
    </row>
    <row r="33" spans="1:8" ht="15.75" x14ac:dyDescent="0.5">
      <c r="A33" s="469">
        <v>29</v>
      </c>
      <c r="B33" s="470" t="s">
        <v>306</v>
      </c>
      <c r="C33" s="469" t="s">
        <v>69</v>
      </c>
      <c r="D33" s="469" t="s">
        <v>204</v>
      </c>
      <c r="E33" s="471">
        <f>SUMIF(Снабжения!B:B,B33,Снабжения!E:E)-SUMIF(Снабжения!B:B,B33,Снабжения!F:F)</f>
        <v>0</v>
      </c>
      <c r="F33" s="472"/>
      <c r="G33" s="474"/>
      <c r="H33" s="475"/>
    </row>
    <row r="34" spans="1:8" ht="15.75" x14ac:dyDescent="0.5">
      <c r="A34" s="469">
        <v>30</v>
      </c>
      <c r="B34" s="470" t="s">
        <v>307</v>
      </c>
      <c r="C34" s="469" t="s">
        <v>69</v>
      </c>
      <c r="D34" s="469" t="s">
        <v>204</v>
      </c>
      <c r="E34" s="471">
        <f>SUMIF(Снабжения!B:B,B34,Снабжения!E:E)-SUMIF(Снабжения!B:B,B34,Снабжения!F:F)</f>
        <v>0</v>
      </c>
      <c r="F34" s="472"/>
      <c r="G34" s="474"/>
      <c r="H34" s="475"/>
    </row>
    <row r="35" spans="1:8" ht="15.75" x14ac:dyDescent="0.5">
      <c r="A35" s="469">
        <v>31</v>
      </c>
      <c r="B35" s="470" t="s">
        <v>308</v>
      </c>
      <c r="C35" s="469" t="s">
        <v>69</v>
      </c>
      <c r="D35" s="469" t="s">
        <v>204</v>
      </c>
      <c r="E35" s="471">
        <f>SUMIF(Снабжения!B:B,B35,Снабжения!E:E)-SUMIF(Снабжения!B:B,B35,Снабжения!F:F)</f>
        <v>0</v>
      </c>
      <c r="F35" s="472"/>
      <c r="G35" s="474"/>
      <c r="H35" s="475"/>
    </row>
    <row r="36" spans="1:8" ht="15.75" x14ac:dyDescent="0.5">
      <c r="A36" s="469">
        <v>32</v>
      </c>
      <c r="B36" s="470" t="s">
        <v>309</v>
      </c>
      <c r="C36" s="469" t="s">
        <v>69</v>
      </c>
      <c r="D36" s="469" t="s">
        <v>204</v>
      </c>
      <c r="E36" s="471">
        <f>SUMIF(Снабжения!B:B,B36,Снабжения!E:E)-SUMIF(Снабжения!B:B,B36,Снабжения!F:F)</f>
        <v>0</v>
      </c>
      <c r="F36" s="472"/>
      <c r="G36" s="474"/>
      <c r="H36" s="475"/>
    </row>
    <row r="37" spans="1:8" ht="15.75" x14ac:dyDescent="0.5">
      <c r="A37" s="469">
        <v>33</v>
      </c>
      <c r="B37" s="470" t="s">
        <v>310</v>
      </c>
      <c r="C37" s="469" t="s">
        <v>69</v>
      </c>
      <c r="D37" s="469" t="s">
        <v>204</v>
      </c>
      <c r="E37" s="471">
        <f>SUMIF(Снабжения!B:B,B37,Снабжения!E:E)-SUMIF(Снабжения!B:B,B37,Снабжения!F:F)</f>
        <v>0</v>
      </c>
      <c r="F37" s="472"/>
      <c r="G37" s="474"/>
      <c r="H37" s="475"/>
    </row>
    <row r="38" spans="1:8" ht="15.75" x14ac:dyDescent="0.5">
      <c r="A38" s="469">
        <v>34</v>
      </c>
      <c r="B38" s="470" t="s">
        <v>311</v>
      </c>
      <c r="C38" s="469" t="s">
        <v>69</v>
      </c>
      <c r="D38" s="469" t="s">
        <v>204</v>
      </c>
      <c r="E38" s="471">
        <f>SUMIF(Снабжения!B:B,B38,Снабжения!E:E)-SUMIF(Снабжения!B:B,B38,Снабжения!F:F)</f>
        <v>0</v>
      </c>
      <c r="F38" s="472"/>
      <c r="G38" s="474"/>
      <c r="H38" s="475"/>
    </row>
    <row r="39" spans="1:8" ht="15.75" hidden="1" x14ac:dyDescent="0.5">
      <c r="A39" s="469">
        <v>35</v>
      </c>
      <c r="B39" s="470" t="s">
        <v>182</v>
      </c>
      <c r="C39" s="469" t="s">
        <v>69</v>
      </c>
      <c r="D39" s="469" t="s">
        <v>220</v>
      </c>
      <c r="E39" s="471">
        <f>SUMIF(Снабжения!B:B,B39,Снабжения!E:E)-SUMIF(Снабжения!B:B,B39,Снабжения!F:F)</f>
        <v>22</v>
      </c>
      <c r="F39" s="472">
        <v>4900</v>
      </c>
      <c r="G39" s="474">
        <v>5</v>
      </c>
      <c r="H39" s="475"/>
    </row>
    <row r="40" spans="1:8" ht="15.75" x14ac:dyDescent="0.5">
      <c r="A40" s="469">
        <v>36</v>
      </c>
      <c r="B40" s="470" t="s">
        <v>192</v>
      </c>
      <c r="C40" s="469" t="s">
        <v>69</v>
      </c>
      <c r="D40" s="469" t="s">
        <v>193</v>
      </c>
      <c r="E40" s="471">
        <f>SUMIF(Снабжения!B:B,B40,Снабжения!E:E)-SUMIF(Снабжения!B:B,B40,Снабжения!F:F)</f>
        <v>1</v>
      </c>
      <c r="F40" s="472">
        <v>748305</v>
      </c>
      <c r="G40" s="474"/>
      <c r="H40" s="475"/>
    </row>
    <row r="41" spans="1:8" ht="15.75" x14ac:dyDescent="0.5">
      <c r="A41" s="469">
        <v>37</v>
      </c>
      <c r="B41" s="470" t="s">
        <v>194</v>
      </c>
      <c r="C41" s="469" t="s">
        <v>69</v>
      </c>
      <c r="D41" s="469" t="s">
        <v>193</v>
      </c>
      <c r="E41" s="471">
        <f>SUMIF(Снабжения!B:B,B41,Снабжения!E:E)-SUMIF(Снабжения!B:B,B41,Снабжения!F:F)</f>
        <v>1</v>
      </c>
      <c r="F41" s="472">
        <v>526585</v>
      </c>
      <c r="G41" s="474"/>
      <c r="H41" s="475"/>
    </row>
    <row r="42" spans="1:8" ht="15.75" x14ac:dyDescent="0.5">
      <c r="A42" s="469">
        <v>38</v>
      </c>
      <c r="B42" s="470" t="s">
        <v>196</v>
      </c>
      <c r="C42" s="469" t="s">
        <v>69</v>
      </c>
      <c r="D42" s="469" t="s">
        <v>220</v>
      </c>
      <c r="E42" s="471">
        <f>SUMIF(Снабжения!B:B,B42,Снабжения!E:E)-SUMIF(Снабжения!B:B,B42,Снабжения!F:F)</f>
        <v>1</v>
      </c>
      <c r="F42" s="472">
        <v>515000</v>
      </c>
      <c r="G42" s="474"/>
      <c r="H42" s="475"/>
    </row>
    <row r="43" spans="1:8" ht="15.75" x14ac:dyDescent="0.5">
      <c r="A43" s="469">
        <v>39</v>
      </c>
      <c r="B43" s="470" t="s">
        <v>198</v>
      </c>
      <c r="C43" s="469" t="s">
        <v>69</v>
      </c>
      <c r="D43" s="469" t="s">
        <v>220</v>
      </c>
      <c r="E43" s="471">
        <f>SUMIF(Снабжения!B:B,B43,Снабжения!E:E)-SUMIF(Снабжения!B:B,B43,Снабжения!F:F)</f>
        <v>3</v>
      </c>
      <c r="F43" s="472">
        <v>51212.5</v>
      </c>
      <c r="G43" s="474"/>
      <c r="H43" s="475"/>
    </row>
    <row r="44" spans="1:8" ht="15.75" x14ac:dyDescent="0.5">
      <c r="A44" s="469">
        <v>40</v>
      </c>
      <c r="B44" s="470" t="s">
        <v>320</v>
      </c>
      <c r="C44" s="469" t="s">
        <v>59</v>
      </c>
      <c r="D44" s="469" t="s">
        <v>173</v>
      </c>
      <c r="E44" s="471">
        <f>SUMIF(Снабжения!B:B,B44,Снабжения!E:E)-SUMIF(Снабжения!B:B,B44,Снабжения!F:F)</f>
        <v>0</v>
      </c>
      <c r="F44" s="472">
        <v>9881</v>
      </c>
      <c r="G44" s="474"/>
      <c r="H44" s="475"/>
    </row>
    <row r="45" spans="1:8" ht="15.75" x14ac:dyDescent="0.5">
      <c r="A45" s="469">
        <v>41</v>
      </c>
      <c r="B45" s="470" t="s">
        <v>214</v>
      </c>
      <c r="C45" s="469" t="s">
        <v>69</v>
      </c>
      <c r="D45" s="469" t="s">
        <v>204</v>
      </c>
      <c r="E45" s="471">
        <f>SUMIF(Снабжения!B:B,B45,Снабжения!E:E)-SUMIF(Снабжения!B:B,B45,Снабжения!F:F)</f>
        <v>1</v>
      </c>
      <c r="F45" s="472">
        <v>14580.5</v>
      </c>
      <c r="G45" s="474"/>
      <c r="H45" s="475"/>
    </row>
    <row r="46" spans="1:8" ht="15.75" x14ac:dyDescent="0.5">
      <c r="A46" s="469">
        <v>42</v>
      </c>
      <c r="B46" s="470" t="s">
        <v>215</v>
      </c>
      <c r="C46" s="469" t="s">
        <v>69</v>
      </c>
      <c r="D46" s="469" t="s">
        <v>204</v>
      </c>
      <c r="E46" s="471">
        <f>SUMIF(Снабжения!B:B,B46,Снабжения!E:E)-SUMIF(Снабжения!B:B,B46,Снабжения!F:F)</f>
        <v>1</v>
      </c>
      <c r="F46" s="472">
        <v>17232</v>
      </c>
      <c r="G46" s="474"/>
      <c r="H46" s="475"/>
    </row>
    <row r="47" spans="1:8" ht="15.75" x14ac:dyDescent="0.5">
      <c r="A47" s="469">
        <v>43</v>
      </c>
      <c r="B47" s="470" t="s">
        <v>227</v>
      </c>
      <c r="C47" s="469" t="s">
        <v>69</v>
      </c>
      <c r="D47" s="469" t="s">
        <v>177</v>
      </c>
      <c r="E47" s="471">
        <f>SUMIF(Снабжения!B:B,B47,Снабжения!E:E)-SUMIF(Снабжения!B:B,B47,Снабжения!F:F)</f>
        <v>1</v>
      </c>
      <c r="F47" s="472">
        <v>263520</v>
      </c>
      <c r="G47" s="474"/>
      <c r="H47" s="475"/>
    </row>
    <row r="48" spans="1:8" ht="15.75" x14ac:dyDescent="0.5">
      <c r="A48" s="469">
        <v>44</v>
      </c>
      <c r="B48" s="470" t="s">
        <v>236</v>
      </c>
      <c r="C48" s="469" t="s">
        <v>69</v>
      </c>
      <c r="D48" s="469" t="s">
        <v>220</v>
      </c>
      <c r="E48" s="471">
        <f>SUMIF(Снабжения!B:B,B48,Снабжения!E:E)-SUMIF(Снабжения!B:B,B48,Снабжения!F:F)</f>
        <v>1</v>
      </c>
      <c r="F48" s="472">
        <v>5370000</v>
      </c>
      <c r="G48" s="474"/>
      <c r="H48" s="475"/>
    </row>
    <row r="49" spans="1:8" ht="15.75" x14ac:dyDescent="0.5">
      <c r="A49" s="469">
        <v>45</v>
      </c>
      <c r="B49" s="470" t="s">
        <v>244</v>
      </c>
      <c r="C49" s="469" t="s">
        <v>69</v>
      </c>
      <c r="D49" s="469"/>
      <c r="E49" s="471">
        <f>SUMIF(Снабжения!B:B,B49,Снабжения!E:E)-SUMIF(Снабжения!B:B,B49,Снабжения!F:F)</f>
        <v>1</v>
      </c>
      <c r="F49" s="472">
        <v>1961850</v>
      </c>
      <c r="G49" s="474"/>
      <c r="H49" s="475"/>
    </row>
    <row r="50" spans="1:8" ht="15.75" x14ac:dyDescent="0.5">
      <c r="A50" s="469">
        <v>46</v>
      </c>
      <c r="B50" s="470" t="s">
        <v>248</v>
      </c>
      <c r="C50" s="469" t="s">
        <v>69</v>
      </c>
      <c r="D50" s="469" t="s">
        <v>204</v>
      </c>
      <c r="E50" s="471">
        <f>SUMIF(Снабжения!B:B,B50,Снабжения!E:E)-SUMIF(Снабжения!B:B,B50,Снабжения!F:F)</f>
        <v>1</v>
      </c>
      <c r="F50" s="472">
        <v>52398</v>
      </c>
      <c r="G50" s="474"/>
      <c r="H50" s="475"/>
    </row>
    <row r="51" spans="1:8" ht="15.75" x14ac:dyDescent="0.5">
      <c r="A51" s="469">
        <v>47</v>
      </c>
      <c r="B51" s="470" t="s">
        <v>256</v>
      </c>
      <c r="C51" s="469" t="s">
        <v>69</v>
      </c>
      <c r="D51" s="469" t="s">
        <v>173</v>
      </c>
      <c r="E51" s="471">
        <f>SUMIF(Снабжения!B:B,B51,Снабжения!E:E)-SUMIF(Снабжения!B:B,B51,Снабжения!F:F)</f>
        <v>1</v>
      </c>
      <c r="F51" s="472">
        <v>32500</v>
      </c>
      <c r="G51" s="474"/>
      <c r="H51" s="475"/>
    </row>
    <row r="52" spans="1:8" ht="15.75" x14ac:dyDescent="0.5">
      <c r="A52" s="469">
        <v>48</v>
      </c>
      <c r="B52" s="470" t="s">
        <v>265</v>
      </c>
      <c r="C52" s="469" t="s">
        <v>69</v>
      </c>
      <c r="D52" s="469" t="s">
        <v>173</v>
      </c>
      <c r="E52" s="471">
        <f>SUMIF(Снабжения!B:B,B52,Снабжения!E:E)-SUMIF(Снабжения!B:B,B52,Снабжения!F:F)</f>
        <v>1</v>
      </c>
      <c r="F52" s="472">
        <v>250000</v>
      </c>
      <c r="G52" s="474"/>
      <c r="H52" s="475"/>
    </row>
    <row r="53" spans="1:8" ht="15.75" x14ac:dyDescent="0.5">
      <c r="A53" s="469">
        <v>49</v>
      </c>
      <c r="B53" s="470" t="s">
        <v>321</v>
      </c>
      <c r="C53" s="469" t="s">
        <v>69</v>
      </c>
      <c r="D53" s="469" t="s">
        <v>220</v>
      </c>
      <c r="E53" s="471">
        <f>SUMIF(Снабжения!B:B,B53,Снабжения!E:E)-SUMIF(Снабжения!B:B,B53,Снабжения!F:F)</f>
        <v>0</v>
      </c>
      <c r="F53" s="472">
        <v>29402</v>
      </c>
      <c r="G53" s="474"/>
      <c r="H53" s="475"/>
    </row>
    <row r="54" spans="1:8" ht="15.75" x14ac:dyDescent="0.5">
      <c r="A54" s="469">
        <v>50</v>
      </c>
      <c r="B54" s="470" t="s">
        <v>278</v>
      </c>
      <c r="C54" s="469" t="s">
        <v>69</v>
      </c>
      <c r="D54" s="469" t="s">
        <v>173</v>
      </c>
      <c r="E54" s="471">
        <f>SUMIF(Снабжения!B:B,B54,Снабжения!E:E)-SUMIF(Снабжения!B:B,B54,Снабжения!F:F)</f>
        <v>1</v>
      </c>
      <c r="F54" s="472">
        <v>1050000</v>
      </c>
      <c r="G54" s="474"/>
      <c r="H54" s="475"/>
    </row>
    <row r="55" spans="1:8" ht="15.75" x14ac:dyDescent="0.5">
      <c r="A55" s="469">
        <v>51</v>
      </c>
      <c r="B55" s="470" t="s">
        <v>279</v>
      </c>
      <c r="C55" s="469" t="s">
        <v>69</v>
      </c>
      <c r="D55" s="469" t="s">
        <v>193</v>
      </c>
      <c r="E55" s="471">
        <f>SUMIF(Снабжения!B:B,B55,Снабжения!E:E)-SUMIF(Снабжения!B:B,B55,Снабжения!F:F)</f>
        <v>1</v>
      </c>
      <c r="F55" s="472">
        <v>2900000</v>
      </c>
      <c r="G55" s="474"/>
      <c r="H55" s="475"/>
    </row>
    <row r="56" spans="1:8" ht="15.75" x14ac:dyDescent="0.5">
      <c r="A56" s="469">
        <v>52</v>
      </c>
      <c r="B56" s="470" t="s">
        <v>280</v>
      </c>
      <c r="C56" s="469" t="s">
        <v>69</v>
      </c>
      <c r="D56" s="469" t="s">
        <v>193</v>
      </c>
      <c r="E56" s="471">
        <f>SUMIF(Снабжения!B:B,B56,Снабжения!E:E)-SUMIF(Снабжения!B:B,B56,Снабжения!F:F)</f>
        <v>1</v>
      </c>
      <c r="F56" s="472">
        <v>900000</v>
      </c>
      <c r="G56" s="474"/>
      <c r="H56" s="475"/>
    </row>
    <row r="57" spans="1:8" ht="15.75" x14ac:dyDescent="0.5">
      <c r="A57" s="469">
        <v>53</v>
      </c>
      <c r="B57" s="470" t="s">
        <v>285</v>
      </c>
      <c r="C57" s="469" t="s">
        <v>69</v>
      </c>
      <c r="D57" s="469" t="s">
        <v>193</v>
      </c>
      <c r="E57" s="471">
        <f>SUMIF(Снабжения!B:B,B57,Снабжения!E:E)-SUMIF(Снабжения!B:B,B57,Снабжения!F:F)</f>
        <v>1</v>
      </c>
      <c r="F57" s="472">
        <v>698000</v>
      </c>
      <c r="G57" s="474"/>
      <c r="H57" s="475"/>
    </row>
    <row r="58" spans="1:8" ht="15.75" x14ac:dyDescent="0.5">
      <c r="A58" s="469">
        <v>54</v>
      </c>
      <c r="B58" s="470" t="s">
        <v>288</v>
      </c>
      <c r="C58" s="469" t="s">
        <v>217</v>
      </c>
      <c r="D58" s="469" t="s">
        <v>220</v>
      </c>
      <c r="E58" s="471">
        <f>SUMIF(Снабжения!B:B,B58,Снабжения!E:E)-SUMIF(Снабжения!B:B,B58,Снабжения!F:F)</f>
        <v>1</v>
      </c>
      <c r="F58" s="472">
        <v>964410</v>
      </c>
      <c r="G58" s="474"/>
      <c r="H58" s="475"/>
    </row>
    <row r="59" spans="1:8" ht="15.75" x14ac:dyDescent="0.5">
      <c r="A59" s="469">
        <v>55</v>
      </c>
      <c r="B59" s="470" t="s">
        <v>49</v>
      </c>
      <c r="C59" s="469" t="s">
        <v>69</v>
      </c>
      <c r="D59" s="469" t="s">
        <v>193</v>
      </c>
      <c r="E59" s="471">
        <f>SUMIF(Снабжения!B:B,B59,Снабжения!E:E)-SUMIF(Снабжения!B:B,B59,Снабжения!F:F)</f>
        <v>0</v>
      </c>
      <c r="F59" s="472">
        <v>4880000</v>
      </c>
      <c r="G59" s="474"/>
      <c r="H59" s="475"/>
    </row>
    <row r="60" spans="1:8" ht="15.75" x14ac:dyDescent="0.5">
      <c r="A60" s="469">
        <v>56</v>
      </c>
      <c r="B60" s="470" t="s">
        <v>183</v>
      </c>
      <c r="C60" s="469" t="s">
        <v>69</v>
      </c>
      <c r="D60" s="469" t="s">
        <v>177</v>
      </c>
      <c r="E60" s="471">
        <f>SUMIF(Снабжения!B:B,B60,Снабжения!E:E)-SUMIF(Снабжения!B:B,B60,Снабжения!F:F)</f>
        <v>2</v>
      </c>
      <c r="F60" s="472">
        <v>95700</v>
      </c>
      <c r="G60" s="474"/>
      <c r="H60" s="475"/>
    </row>
    <row r="61" spans="1:8" ht="15.75" x14ac:dyDescent="0.5">
      <c r="A61" s="469">
        <v>57</v>
      </c>
      <c r="B61" s="470" t="s">
        <v>184</v>
      </c>
      <c r="C61" s="469" t="s">
        <v>69</v>
      </c>
      <c r="D61" s="469" t="s">
        <v>177</v>
      </c>
      <c r="E61" s="471">
        <f>SUMIF(Снабжения!B:B,B61,Снабжения!E:E)-SUMIF(Снабжения!B:B,B61,Снабжения!F:F)</f>
        <v>2</v>
      </c>
      <c r="F61" s="472"/>
      <c r="G61" s="474"/>
      <c r="H61" s="475"/>
    </row>
    <row r="62" spans="1:8" ht="15.75" x14ac:dyDescent="0.5">
      <c r="A62" s="469">
        <v>58</v>
      </c>
      <c r="B62" s="470" t="s">
        <v>191</v>
      </c>
      <c r="C62" s="469" t="s">
        <v>69</v>
      </c>
      <c r="D62" s="469" t="s">
        <v>220</v>
      </c>
      <c r="E62" s="471">
        <f>SUMIF(Снабжения!B:B,B62,Снабжения!E:E)-SUMIF(Снабжения!B:B,B62,Снабжения!F:F)</f>
        <v>2</v>
      </c>
      <c r="F62" s="472">
        <v>11070</v>
      </c>
      <c r="G62" s="474"/>
      <c r="H62" s="475"/>
    </row>
    <row r="63" spans="1:8" ht="15.75" x14ac:dyDescent="0.5">
      <c r="A63" s="469">
        <v>59</v>
      </c>
      <c r="B63" s="470" t="s">
        <v>197</v>
      </c>
      <c r="C63" s="469" t="s">
        <v>69</v>
      </c>
      <c r="D63" s="469" t="s">
        <v>173</v>
      </c>
      <c r="E63" s="471">
        <f>SUMIF(Снабжения!B:B,B63,Снабжения!E:E)-SUMIF(Снабжения!B:B,B63,Снабжения!F:F)</f>
        <v>2</v>
      </c>
      <c r="F63" s="472">
        <v>60250</v>
      </c>
      <c r="G63" s="474"/>
      <c r="H63" s="475"/>
    </row>
    <row r="64" spans="1:8" ht="15.75" x14ac:dyDescent="0.5">
      <c r="A64" s="469">
        <v>60</v>
      </c>
      <c r="B64" s="470" t="s">
        <v>200</v>
      </c>
      <c r="C64" s="469" t="s">
        <v>69</v>
      </c>
      <c r="D64" s="469" t="s">
        <v>193</v>
      </c>
      <c r="E64" s="471">
        <f>SUMIF(Снабжения!B:B,B64,Снабжения!E:E)-SUMIF(Снабжения!B:B,B64,Снабжения!F:F)</f>
        <v>2</v>
      </c>
      <c r="F64" s="472">
        <v>1108600</v>
      </c>
      <c r="G64" s="474"/>
      <c r="H64" s="475"/>
    </row>
    <row r="65" spans="1:8" ht="15.75" x14ac:dyDescent="0.5">
      <c r="A65" s="469">
        <v>61</v>
      </c>
      <c r="B65" s="470" t="s">
        <v>201</v>
      </c>
      <c r="C65" s="469" t="s">
        <v>69</v>
      </c>
      <c r="D65" s="469" t="s">
        <v>193</v>
      </c>
      <c r="E65" s="471">
        <f>SUMIF(Снабжения!B:B,B65,Снабжения!E:E)-SUMIF(Снабжения!B:B,B65,Снабжения!F:F)</f>
        <v>2</v>
      </c>
      <c r="F65" s="472">
        <v>831450</v>
      </c>
      <c r="G65" s="474"/>
      <c r="H65" s="475"/>
    </row>
    <row r="66" spans="1:8" ht="15.75" x14ac:dyDescent="0.5">
      <c r="A66" s="469">
        <v>62</v>
      </c>
      <c r="B66" s="470" t="s">
        <v>242</v>
      </c>
      <c r="C66" s="469" t="s">
        <v>69</v>
      </c>
      <c r="D66" s="469" t="s">
        <v>177</v>
      </c>
      <c r="E66" s="471">
        <f>SUMIF(Снабжения!B:B,B66,Снабжения!E:E)-SUMIF(Снабжения!B:B,B66,Снабжения!F:F)</f>
        <v>2</v>
      </c>
      <c r="F66" s="472">
        <v>135300</v>
      </c>
      <c r="G66" s="474"/>
      <c r="H66" s="475"/>
    </row>
    <row r="67" spans="1:8" ht="15.75" x14ac:dyDescent="0.5">
      <c r="A67" s="469">
        <v>63</v>
      </c>
      <c r="B67" s="470" t="s">
        <v>243</v>
      </c>
      <c r="C67" s="469" t="s">
        <v>69</v>
      </c>
      <c r="D67" s="469" t="s">
        <v>177</v>
      </c>
      <c r="E67" s="471">
        <f>SUMIF(Снабжения!B:B,B67,Снабжения!E:E)-SUMIF(Снабжения!B:B,B67,Снабжения!F:F)</f>
        <v>2</v>
      </c>
      <c r="F67" s="472">
        <v>250920</v>
      </c>
      <c r="G67" s="474"/>
      <c r="H67" s="475"/>
    </row>
    <row r="68" spans="1:8" ht="15.75" x14ac:dyDescent="0.5">
      <c r="A68" s="469">
        <v>64</v>
      </c>
      <c r="B68" s="470" t="s">
        <v>245</v>
      </c>
      <c r="C68" s="469" t="s">
        <v>69</v>
      </c>
      <c r="D68" s="469"/>
      <c r="E68" s="471">
        <f>SUMIF(Снабжения!B:B,B68,Снабжения!E:E)-SUMIF(Снабжения!B:B,B68,Снабжения!F:F)</f>
        <v>2</v>
      </c>
      <c r="F68" s="472">
        <v>265000</v>
      </c>
      <c r="G68" s="474"/>
      <c r="H68" s="475"/>
    </row>
    <row r="69" spans="1:8" ht="15.75" x14ac:dyDescent="0.5">
      <c r="A69" s="469">
        <v>65</v>
      </c>
      <c r="B69" s="470" t="s">
        <v>247</v>
      </c>
      <c r="C69" s="469" t="s">
        <v>69</v>
      </c>
      <c r="D69" s="469" t="s">
        <v>204</v>
      </c>
      <c r="E69" s="471">
        <f>SUMIF(Снабжения!B:B,B69,Снабжения!E:E)-SUMIF(Снабжения!B:B,B69,Снабжения!F:F)</f>
        <v>2</v>
      </c>
      <c r="F69" s="472">
        <v>2460</v>
      </c>
      <c r="G69" s="474"/>
      <c r="H69" s="475"/>
    </row>
    <row r="70" spans="1:8" ht="15.75" x14ac:dyDescent="0.5">
      <c r="A70" s="469">
        <v>66</v>
      </c>
      <c r="B70" s="470" t="s">
        <v>262</v>
      </c>
      <c r="C70" s="469" t="s">
        <v>69</v>
      </c>
      <c r="D70" s="469" t="s">
        <v>193</v>
      </c>
      <c r="E70" s="471">
        <f>SUMIF(Снабжения!B:B,B70,Снабжения!E:E)-SUMIF(Снабжения!B:B,B70,Снабжения!F:F)</f>
        <v>2</v>
      </c>
      <c r="F70" s="472">
        <v>549000</v>
      </c>
      <c r="G70" s="474"/>
      <c r="H70" s="475"/>
    </row>
    <row r="71" spans="1:8" ht="15.75" x14ac:dyDescent="0.5">
      <c r="A71" s="469">
        <v>67</v>
      </c>
      <c r="B71" s="470" t="s">
        <v>264</v>
      </c>
      <c r="C71" s="469" t="s">
        <v>69</v>
      </c>
      <c r="D71" s="469" t="s">
        <v>173</v>
      </c>
      <c r="E71" s="471">
        <f>SUMIF(Снабжения!B:B,B71,Снабжения!E:E)-SUMIF(Снабжения!B:B,B71,Снабжения!F:F)</f>
        <v>2</v>
      </c>
      <c r="F71" s="472">
        <v>227500</v>
      </c>
      <c r="G71" s="474"/>
      <c r="H71" s="475"/>
    </row>
    <row r="72" spans="1:8" ht="15.75" hidden="1" x14ac:dyDescent="0.5">
      <c r="A72" s="469">
        <v>68</v>
      </c>
      <c r="B72" s="470" t="s">
        <v>271</v>
      </c>
      <c r="C72" s="469" t="s">
        <v>69</v>
      </c>
      <c r="D72" s="469" t="s">
        <v>220</v>
      </c>
      <c r="E72" s="471">
        <f>SUMIF(Снабжения!B:B,B72,Снабжения!E:E)-SUMIF(Снабжения!B:B,B72,Снабжения!F:F)</f>
        <v>42</v>
      </c>
      <c r="F72" s="472">
        <v>9150</v>
      </c>
      <c r="G72" s="474"/>
      <c r="H72" s="475"/>
    </row>
    <row r="73" spans="1:8" ht="15.75" x14ac:dyDescent="0.5">
      <c r="A73" s="469">
        <v>69</v>
      </c>
      <c r="B73" s="470" t="s">
        <v>273</v>
      </c>
      <c r="C73" s="469" t="s">
        <v>69</v>
      </c>
      <c r="D73" s="469" t="s">
        <v>220</v>
      </c>
      <c r="E73" s="471">
        <f>SUMIF(Снабжения!B:B,B73,Снабжения!E:E)-SUMIF(Снабжения!B:B,B73,Снабжения!F:F)</f>
        <v>2</v>
      </c>
      <c r="F73" s="472">
        <v>133346</v>
      </c>
      <c r="G73" s="474"/>
      <c r="H73" s="475"/>
    </row>
    <row r="74" spans="1:8" ht="15.75" x14ac:dyDescent="0.5">
      <c r="A74" s="469">
        <v>70</v>
      </c>
      <c r="B74" s="470" t="s">
        <v>322</v>
      </c>
      <c r="C74" s="469" t="s">
        <v>69</v>
      </c>
      <c r="D74" s="469" t="s">
        <v>177</v>
      </c>
      <c r="E74" s="471">
        <f>SUMIF(Снабжения!B:B,B74,Снабжения!E:E)-SUMIF(Снабжения!B:B,B74,Снабжения!F:F)</f>
        <v>0</v>
      </c>
      <c r="F74" s="472">
        <v>135000</v>
      </c>
      <c r="G74" s="474"/>
      <c r="H74" s="475"/>
    </row>
    <row r="75" spans="1:8" ht="15.75" hidden="1" x14ac:dyDescent="0.5">
      <c r="A75" s="469">
        <v>71</v>
      </c>
      <c r="B75" s="470" t="s">
        <v>296</v>
      </c>
      <c r="C75" s="469" t="s">
        <v>127</v>
      </c>
      <c r="D75" s="469" t="s">
        <v>220</v>
      </c>
      <c r="E75" s="471">
        <f>SUMIF(Снабжения!B:B,B75,Снабжения!E:E)-SUMIF(Снабжения!B:B,B75,Снабжения!F:F)</f>
        <v>20</v>
      </c>
      <c r="F75" s="472"/>
      <c r="G75" s="474"/>
      <c r="H75" s="475"/>
    </row>
    <row r="76" spans="1:8" ht="15.75" x14ac:dyDescent="0.5">
      <c r="A76" s="469">
        <v>72</v>
      </c>
      <c r="B76" s="470" t="s">
        <v>297</v>
      </c>
      <c r="C76" s="469" t="s">
        <v>69</v>
      </c>
      <c r="D76" s="469" t="s">
        <v>220</v>
      </c>
      <c r="E76" s="471">
        <f>SUMIF(Снабжения!B:B,B76,Снабжения!E:E)-SUMIF(Снабжения!B:B,B76,Снабжения!F:F)</f>
        <v>2</v>
      </c>
      <c r="F76" s="472">
        <v>14000</v>
      </c>
      <c r="G76" s="474"/>
      <c r="H76" s="475"/>
    </row>
    <row r="77" spans="1:8" ht="15.75" x14ac:dyDescent="0.5">
      <c r="A77" s="469">
        <v>73</v>
      </c>
      <c r="B77" s="470" t="s">
        <v>181</v>
      </c>
      <c r="C77" s="469" t="s">
        <v>69</v>
      </c>
      <c r="D77" s="469" t="s">
        <v>177</v>
      </c>
      <c r="E77" s="471">
        <f>SUMIF(Снабжения!B:B,B77,Снабжения!E:E)-SUMIF(Снабжения!B:B,B77,Снабжения!F:F)</f>
        <v>3</v>
      </c>
      <c r="F77" s="472">
        <v>8000</v>
      </c>
      <c r="G77" s="474"/>
      <c r="H77" s="475"/>
    </row>
    <row r="78" spans="1:8" ht="15.75" x14ac:dyDescent="0.5">
      <c r="A78" s="469">
        <v>74</v>
      </c>
      <c r="B78" s="470" t="s">
        <v>195</v>
      </c>
      <c r="C78" s="469" t="s">
        <v>69</v>
      </c>
      <c r="D78" s="469" t="s">
        <v>193</v>
      </c>
      <c r="E78" s="471">
        <f>SUMIF(Снабжения!B:B,B78,Снабжения!E:E)-SUMIF(Снабжения!B:B,B78,Снабжения!F:F)</f>
        <v>3</v>
      </c>
      <c r="F78" s="472">
        <v>738000</v>
      </c>
      <c r="G78" s="474"/>
      <c r="H78" s="475"/>
    </row>
    <row r="79" spans="1:8" ht="15.75" x14ac:dyDescent="0.5">
      <c r="A79" s="469">
        <v>75</v>
      </c>
      <c r="B79" s="470" t="s">
        <v>64</v>
      </c>
      <c r="C79" s="469" t="s">
        <v>69</v>
      </c>
      <c r="D79" s="469" t="s">
        <v>173</v>
      </c>
      <c r="E79" s="471">
        <f>SUMIF(Снабжения!B:B,B79,Снабжения!E:E)-SUMIF(Снабжения!B:B,B79,Снабжения!F:F)</f>
        <v>4</v>
      </c>
      <c r="F79" s="472">
        <v>690000</v>
      </c>
      <c r="G79" s="474"/>
      <c r="H79" s="475"/>
    </row>
    <row r="80" spans="1:8" ht="15.75" hidden="1" x14ac:dyDescent="0.5">
      <c r="A80" s="469">
        <v>76</v>
      </c>
      <c r="B80" s="470" t="s">
        <v>208</v>
      </c>
      <c r="C80" s="469" t="s">
        <v>69</v>
      </c>
      <c r="D80" s="469" t="s">
        <v>220</v>
      </c>
      <c r="E80" s="471">
        <f>SUMIF(Снабжения!B:B,B80,Снабжения!E:E)-SUMIF(Снабжения!B:B,B80,Снабжения!F:F)</f>
        <v>10</v>
      </c>
      <c r="F80" s="472">
        <v>17000</v>
      </c>
      <c r="G80" s="474"/>
      <c r="H80" s="475"/>
    </row>
    <row r="81" spans="1:8" ht="15.75" x14ac:dyDescent="0.5">
      <c r="A81" s="469">
        <v>77</v>
      </c>
      <c r="B81" s="470" t="s">
        <v>178</v>
      </c>
      <c r="C81" s="469" t="s">
        <v>69</v>
      </c>
      <c r="D81" s="469" t="s">
        <v>220</v>
      </c>
      <c r="E81" s="471">
        <f>SUMIF(Снабжения!B:B,B81,Снабжения!E:E)-SUMIF(Снабжения!B:B,B81,Снабжения!F:F)</f>
        <v>5</v>
      </c>
      <c r="F81" s="472">
        <v>17739</v>
      </c>
      <c r="G81" s="474"/>
      <c r="H81" s="475"/>
    </row>
    <row r="82" spans="1:8" ht="15.75" hidden="1" x14ac:dyDescent="0.5">
      <c r="A82" s="469">
        <v>78</v>
      </c>
      <c r="B82" s="470" t="s">
        <v>91</v>
      </c>
      <c r="C82" s="469" t="s">
        <v>65</v>
      </c>
      <c r="D82" s="469"/>
      <c r="E82" s="471">
        <f>SUMIF(Снабжения!B:B,B82,Снабжения!E:E)-SUMIF(Снабжения!B:B,B82,Снабжения!F:F)</f>
        <v>8</v>
      </c>
      <c r="F82" s="472">
        <v>130000</v>
      </c>
      <c r="G82" s="474"/>
      <c r="H82" s="475" t="s">
        <v>319</v>
      </c>
    </row>
    <row r="83" spans="1:8" ht="15.75" x14ac:dyDescent="0.5">
      <c r="A83" s="469">
        <v>79</v>
      </c>
      <c r="B83" s="470" t="s">
        <v>258</v>
      </c>
      <c r="C83" s="469" t="s">
        <v>69</v>
      </c>
      <c r="D83" s="469" t="s">
        <v>220</v>
      </c>
      <c r="E83" s="471">
        <f>SUMIF(Снабжения!B:B,B83,Снабжения!E:E)-SUMIF(Снабжения!B:B,B83,Снабжения!F:F)</f>
        <v>4</v>
      </c>
      <c r="F83" s="472">
        <v>395200</v>
      </c>
      <c r="G83" s="474"/>
      <c r="H83" s="475"/>
    </row>
    <row r="84" spans="1:8" ht="15.75" x14ac:dyDescent="0.5">
      <c r="A84" s="469">
        <v>80</v>
      </c>
      <c r="B84" s="470" t="s">
        <v>323</v>
      </c>
      <c r="C84" s="469" t="s">
        <v>69</v>
      </c>
      <c r="D84" s="469" t="s">
        <v>220</v>
      </c>
      <c r="E84" s="471">
        <f>SUMIF(Снабжения!B:B,B84,Снабжения!E:E)-SUMIF(Снабжения!B:B,B84,Снабжения!F:F)</f>
        <v>0</v>
      </c>
      <c r="F84" s="472">
        <v>26000</v>
      </c>
      <c r="G84" s="474"/>
      <c r="H84" s="475"/>
    </row>
    <row r="85" spans="1:8" ht="15.75" hidden="1" x14ac:dyDescent="0.5">
      <c r="A85" s="469">
        <v>81</v>
      </c>
      <c r="B85" s="470" t="s">
        <v>249</v>
      </c>
      <c r="C85" s="469" t="s">
        <v>69</v>
      </c>
      <c r="D85" s="469" t="s">
        <v>220</v>
      </c>
      <c r="E85" s="471">
        <f>SUMIF(Снабжения!B:B,B85,Снабжения!E:E)-SUMIF(Снабжения!B:B,B85,Снабжения!F:F)</f>
        <v>6</v>
      </c>
      <c r="F85" s="472">
        <v>16000</v>
      </c>
      <c r="G85" s="474"/>
      <c r="H85" s="475"/>
    </row>
    <row r="86" spans="1:8" ht="15.75" hidden="1" x14ac:dyDescent="0.5">
      <c r="A86" s="469">
        <v>82</v>
      </c>
      <c r="B86" s="470" t="s">
        <v>224</v>
      </c>
      <c r="C86" s="469" t="s">
        <v>69</v>
      </c>
      <c r="D86" s="469" t="s">
        <v>220</v>
      </c>
      <c r="E86" s="471">
        <f>SUMIF(Снабжения!B:B,B86,Снабжения!E:E)-SUMIF(Снабжения!B:B,B86,Снабжения!F:F)</f>
        <v>8</v>
      </c>
      <c r="F86" s="472">
        <v>9037.5</v>
      </c>
      <c r="G86" s="474"/>
      <c r="H86" s="475"/>
    </row>
    <row r="87" spans="1:8" ht="15.75" hidden="1" x14ac:dyDescent="0.5">
      <c r="A87" s="469">
        <v>83</v>
      </c>
      <c r="B87" s="470" t="s">
        <v>274</v>
      </c>
      <c r="C87" s="469" t="s">
        <v>69</v>
      </c>
      <c r="D87" s="469" t="s">
        <v>220</v>
      </c>
      <c r="E87" s="471">
        <f>SUMIF(Снабжения!B:B,B87,Снабжения!E:E)-SUMIF(Снабжения!B:B,B87,Снабжения!F:F)</f>
        <v>7</v>
      </c>
      <c r="F87" s="472">
        <v>28548</v>
      </c>
      <c r="G87" s="474"/>
      <c r="H87" s="475"/>
    </row>
    <row r="88" spans="1:8" ht="15.75" hidden="1" x14ac:dyDescent="0.5">
      <c r="A88" s="469">
        <v>84</v>
      </c>
      <c r="B88" s="470" t="s">
        <v>176</v>
      </c>
      <c r="C88" s="469" t="s">
        <v>69</v>
      </c>
      <c r="D88" s="469" t="s">
        <v>177</v>
      </c>
      <c r="E88" s="471">
        <f>SUMIF(Снабжения!B:B,B88,Снабжения!E:E)-SUMIF(Снабжения!B:B,B88,Снабжения!F:F)</f>
        <v>10</v>
      </c>
      <c r="F88" s="472">
        <v>17739</v>
      </c>
      <c r="G88" s="474"/>
      <c r="H88" s="475"/>
    </row>
    <row r="89" spans="1:8" ht="15.75" hidden="1" x14ac:dyDescent="0.5">
      <c r="A89" s="469">
        <v>85</v>
      </c>
      <c r="B89" s="470" t="s">
        <v>179</v>
      </c>
      <c r="C89" s="469" t="s">
        <v>69</v>
      </c>
      <c r="D89" s="469" t="s">
        <v>177</v>
      </c>
      <c r="E89" s="471">
        <f>SUMIF(Снабжения!B:B,B89,Снабжения!E:E)-SUMIF(Снабжения!B:B,B89,Снабжения!F:F)</f>
        <v>10</v>
      </c>
      <c r="F89" s="472">
        <v>32562</v>
      </c>
      <c r="G89" s="474"/>
      <c r="H89" s="475"/>
    </row>
    <row r="90" spans="1:8" ht="15.75" hidden="1" x14ac:dyDescent="0.5">
      <c r="A90" s="469">
        <v>86</v>
      </c>
      <c r="B90" s="470" t="s">
        <v>185</v>
      </c>
      <c r="C90" s="469" t="s">
        <v>69</v>
      </c>
      <c r="D90" s="469" t="s">
        <v>220</v>
      </c>
      <c r="E90" s="471">
        <f>SUMIF(Снабжения!B:B,B90,Снабжения!E:E)-SUMIF(Снабжения!B:B,B90,Снабжения!F:F)</f>
        <v>10</v>
      </c>
      <c r="F90" s="472">
        <v>79666</v>
      </c>
      <c r="G90" s="474"/>
      <c r="H90" s="475"/>
    </row>
    <row r="91" spans="1:8" ht="15.75" hidden="1" x14ac:dyDescent="0.5">
      <c r="A91" s="469">
        <v>87</v>
      </c>
      <c r="B91" s="470" t="s">
        <v>253</v>
      </c>
      <c r="C91" s="469" t="s">
        <v>69</v>
      </c>
      <c r="D91" s="469" t="s">
        <v>204</v>
      </c>
      <c r="E91" s="471">
        <f>SUMIF(Снабжения!B:B,B91,Снабжения!E:E)-SUMIF(Снабжения!B:B,B91,Снабжения!F:F)</f>
        <v>8</v>
      </c>
      <c r="F91" s="472">
        <v>3904</v>
      </c>
      <c r="G91" s="474"/>
      <c r="H91" s="475"/>
    </row>
    <row r="92" spans="1:8" ht="15.75" x14ac:dyDescent="0.5">
      <c r="A92" s="469">
        <v>88</v>
      </c>
      <c r="B92" s="470" t="s">
        <v>324</v>
      </c>
      <c r="C92" s="469" t="s">
        <v>69</v>
      </c>
      <c r="D92" s="469" t="s">
        <v>220</v>
      </c>
      <c r="E92" s="471">
        <f>SUMIF(Снабжения!B:B,B92,Снабжения!E:E)-SUMIF(Снабжения!B:B,B92,Снабжения!F:F)</f>
        <v>0</v>
      </c>
      <c r="F92" s="472">
        <v>15000</v>
      </c>
      <c r="G92" s="474"/>
      <c r="H92" s="475"/>
    </row>
    <row r="93" spans="1:8" ht="15.75" hidden="1" x14ac:dyDescent="0.5">
      <c r="A93" s="469">
        <v>89</v>
      </c>
      <c r="B93" s="470" t="s">
        <v>240</v>
      </c>
      <c r="C93" s="469" t="s">
        <v>69</v>
      </c>
      <c r="D93" s="469" t="s">
        <v>220</v>
      </c>
      <c r="E93" s="471">
        <f>SUMIF(Снабжения!B:B,B93,Снабжения!E:E)-SUMIF(Снабжения!B:B,B93,Снабжения!F:F)</f>
        <v>9</v>
      </c>
      <c r="F93" s="472">
        <v>13800</v>
      </c>
      <c r="G93" s="474"/>
      <c r="H93" s="475"/>
    </row>
    <row r="94" spans="1:8" ht="15.75" hidden="1" x14ac:dyDescent="0.5">
      <c r="A94" s="469">
        <v>90</v>
      </c>
      <c r="B94" s="470" t="s">
        <v>203</v>
      </c>
      <c r="C94" s="469" t="s">
        <v>69</v>
      </c>
      <c r="D94" s="469" t="s">
        <v>220</v>
      </c>
      <c r="E94" s="471">
        <f>SUMIF(Снабжения!B:B,B94,Снабжения!E:E)-SUMIF(Снабжения!B:B,B94,Снабжения!F:F)</f>
        <v>11</v>
      </c>
      <c r="F94" s="472">
        <v>10200</v>
      </c>
      <c r="G94" s="474">
        <v>12</v>
      </c>
      <c r="H94" s="475"/>
    </row>
    <row r="95" spans="1:8" ht="15.75" hidden="1" x14ac:dyDescent="0.5">
      <c r="A95" s="469">
        <v>91</v>
      </c>
      <c r="B95" s="470" t="s">
        <v>180</v>
      </c>
      <c r="C95" s="469" t="s">
        <v>69</v>
      </c>
      <c r="D95" s="469" t="s">
        <v>177</v>
      </c>
      <c r="E95" s="471">
        <f>SUMIF(Снабжения!B:B,B95,Снабжения!E:E)-SUMIF(Снабжения!B:B,B95,Снабжения!F:F)</f>
        <v>13</v>
      </c>
      <c r="F95" s="472">
        <v>8000</v>
      </c>
      <c r="G95" s="474">
        <v>6</v>
      </c>
      <c r="H95" s="475"/>
    </row>
    <row r="96" spans="1:8" ht="15.75" hidden="1" x14ac:dyDescent="0.5">
      <c r="A96" s="469">
        <v>92</v>
      </c>
      <c r="B96" s="470" t="s">
        <v>272</v>
      </c>
      <c r="C96" s="469" t="s">
        <v>69</v>
      </c>
      <c r="D96" s="469" t="s">
        <v>220</v>
      </c>
      <c r="E96" s="471">
        <f>SUMIF(Снабжения!B:B,B96,Снабжения!E:E)-SUMIF(Снабжения!B:B,B96,Снабжения!F:F)</f>
        <v>87</v>
      </c>
      <c r="F96" s="472">
        <v>12078</v>
      </c>
      <c r="G96" s="474"/>
      <c r="H96" s="475"/>
    </row>
    <row r="97" spans="1:8" ht="15.75" hidden="1" x14ac:dyDescent="0.5">
      <c r="A97" s="469">
        <v>93</v>
      </c>
      <c r="B97" s="470" t="s">
        <v>254</v>
      </c>
      <c r="C97" s="469" t="s">
        <v>69</v>
      </c>
      <c r="D97" s="469" t="s">
        <v>220</v>
      </c>
      <c r="E97" s="471">
        <f>SUMIF(Снабжения!B:B,B97,Снабжения!E:E)-SUMIF(Снабжения!B:B,B97,Снабжения!F:F)</f>
        <v>33</v>
      </c>
      <c r="F97" s="472">
        <v>45000</v>
      </c>
      <c r="G97" s="474">
        <v>47</v>
      </c>
      <c r="H97" s="475"/>
    </row>
    <row r="98" spans="1:8" ht="15.75" x14ac:dyDescent="0.5">
      <c r="A98" s="469">
        <v>94</v>
      </c>
      <c r="B98" s="470" t="s">
        <v>325</v>
      </c>
      <c r="C98" s="469" t="s">
        <v>69</v>
      </c>
      <c r="D98" s="469" t="s">
        <v>220</v>
      </c>
      <c r="E98" s="471">
        <f>SUMIF(Снабжения!B:B,B98,Снабжения!E:E)-SUMIF(Снабжения!B:B,B98,Снабжения!F:F)</f>
        <v>0</v>
      </c>
      <c r="F98" s="472">
        <v>5000</v>
      </c>
      <c r="G98" s="474"/>
      <c r="H98" s="475"/>
    </row>
    <row r="99" spans="1:8" ht="15.75" hidden="1" x14ac:dyDescent="0.5">
      <c r="A99" s="469">
        <v>95</v>
      </c>
      <c r="B99" s="470" t="s">
        <v>219</v>
      </c>
      <c r="C99" s="469" t="s">
        <v>59</v>
      </c>
      <c r="D99" s="469" t="s">
        <v>220</v>
      </c>
      <c r="E99" s="471">
        <f>SUMIF(Снабжения!B:B,B99,Снабжения!E:E)-SUMIF(Снабжения!B:B,B99,Снабжения!F:F)</f>
        <v>41.5</v>
      </c>
      <c r="F99" s="472">
        <v>34000</v>
      </c>
      <c r="G99" s="474">
        <v>10</v>
      </c>
      <c r="H99" s="475"/>
    </row>
    <row r="100" spans="1:8" ht="15.75" hidden="1" x14ac:dyDescent="0.5">
      <c r="A100" s="469">
        <v>96</v>
      </c>
      <c r="B100" s="470" t="s">
        <v>205</v>
      </c>
      <c r="C100" s="469" t="s">
        <v>69</v>
      </c>
      <c r="D100" s="469" t="s">
        <v>220</v>
      </c>
      <c r="E100" s="471">
        <f>SUMIF(Снабжения!B:B,B100,Снабжения!E:E)-SUMIF(Снабжения!B:B,B100,Снабжения!F:F)</f>
        <v>8</v>
      </c>
      <c r="F100" s="472">
        <v>5600</v>
      </c>
      <c r="G100" s="474">
        <v>6</v>
      </c>
      <c r="H100" s="475"/>
    </row>
    <row r="101" spans="1:8" ht="15.75" hidden="1" x14ac:dyDescent="0.5">
      <c r="A101" s="469">
        <v>97</v>
      </c>
      <c r="B101" s="470" t="s">
        <v>263</v>
      </c>
      <c r="C101" s="469" t="s">
        <v>69</v>
      </c>
      <c r="D101" s="469" t="s">
        <v>220</v>
      </c>
      <c r="E101" s="471">
        <f>SUMIF(Снабжения!B:B,B101,Снабжения!E:E)-SUMIF(Снабжения!B:B,B101,Снабжения!F:F)</f>
        <v>18</v>
      </c>
      <c r="F101" s="472">
        <v>24000</v>
      </c>
      <c r="G101" s="474"/>
      <c r="H101" s="475"/>
    </row>
    <row r="102" spans="1:8" ht="15.75" hidden="1" x14ac:dyDescent="0.5">
      <c r="A102" s="469">
        <v>98</v>
      </c>
      <c r="B102" s="470" t="s">
        <v>206</v>
      </c>
      <c r="C102" s="469" t="s">
        <v>69</v>
      </c>
      <c r="D102" s="469" t="s">
        <v>173</v>
      </c>
      <c r="E102" s="471">
        <f>SUMIF(Снабжения!B:B,B102,Снабжения!E:E)-SUMIF(Снабжения!B:B,B102,Снабжения!F:F)</f>
        <v>19</v>
      </c>
      <c r="F102" s="472">
        <v>55000</v>
      </c>
      <c r="G102" s="474"/>
      <c r="H102" s="475"/>
    </row>
    <row r="103" spans="1:8" ht="15.75" x14ac:dyDescent="0.5">
      <c r="A103" s="469">
        <v>99</v>
      </c>
      <c r="B103" s="470" t="s">
        <v>241</v>
      </c>
      <c r="C103" s="469" t="s">
        <v>69</v>
      </c>
      <c r="D103" s="469" t="s">
        <v>204</v>
      </c>
      <c r="E103" s="471">
        <f>SUMIF(Снабжения!B:B,B103,Снабжения!E:E)-SUMIF(Снабжения!B:B,B103,Снабжения!F:F)</f>
        <v>1</v>
      </c>
      <c r="F103" s="472">
        <v>91512</v>
      </c>
      <c r="G103" s="474">
        <v>2</v>
      </c>
      <c r="H103" s="475"/>
    </row>
    <row r="104" spans="1:8" ht="15.75" hidden="1" x14ac:dyDescent="0.5">
      <c r="A104" s="469">
        <v>100</v>
      </c>
      <c r="B104" s="470" t="s">
        <v>283</v>
      </c>
      <c r="C104" s="469" t="s">
        <v>127</v>
      </c>
      <c r="D104" s="469" t="s">
        <v>220</v>
      </c>
      <c r="E104" s="471">
        <f>SUMIF(Снабжения!B:B,B104,Снабжения!E:E)-SUMIF(Снабжения!B:B,B104,Снабжения!F:F)</f>
        <v>18</v>
      </c>
      <c r="F104" s="472">
        <v>430000</v>
      </c>
      <c r="G104" s="474"/>
      <c r="H104" s="475"/>
    </row>
    <row r="105" spans="1:8" ht="15.75" hidden="1" x14ac:dyDescent="0.5">
      <c r="A105" s="469">
        <v>101</v>
      </c>
      <c r="B105" s="470" t="s">
        <v>225</v>
      </c>
      <c r="C105" s="469" t="s">
        <v>69</v>
      </c>
      <c r="D105" s="469" t="s">
        <v>220</v>
      </c>
      <c r="E105" s="471">
        <f>SUMIF(Снабжения!B:B,B105,Снабжения!E:E)-SUMIF(Снабжения!B:B,B105,Снабжения!F:F)</f>
        <v>20</v>
      </c>
      <c r="F105" s="472">
        <v>19803</v>
      </c>
      <c r="G105" s="474"/>
      <c r="H105" s="475"/>
    </row>
    <row r="106" spans="1:8" ht="15.75" hidden="1" x14ac:dyDescent="0.5">
      <c r="A106" s="469">
        <v>102</v>
      </c>
      <c r="B106" s="470" t="s">
        <v>276</v>
      </c>
      <c r="C106" s="469" t="s">
        <v>69</v>
      </c>
      <c r="D106" s="469" t="s">
        <v>220</v>
      </c>
      <c r="E106" s="471">
        <f>SUMIF(Снабжения!B:B,B106,Снабжения!E:E)-SUMIF(Снабжения!B:B,B106,Снабжения!F:F)</f>
        <v>20</v>
      </c>
      <c r="F106" s="472">
        <v>15616</v>
      </c>
      <c r="G106" s="474"/>
      <c r="H106" s="475"/>
    </row>
    <row r="107" spans="1:8" ht="15.75" hidden="1" x14ac:dyDescent="0.5">
      <c r="A107" s="469">
        <v>103</v>
      </c>
      <c r="B107" s="470" t="s">
        <v>223</v>
      </c>
      <c r="C107" s="469" t="s">
        <v>69</v>
      </c>
      <c r="D107" s="469" t="s">
        <v>220</v>
      </c>
      <c r="E107" s="471">
        <f>SUMIF(Снабжения!B:B,B107,Снабжения!E:E)-SUMIF(Снабжения!B:B,B107,Снабжения!F:F)</f>
        <v>8</v>
      </c>
      <c r="F107" s="472">
        <v>84000</v>
      </c>
      <c r="G107" s="474"/>
      <c r="H107" s="475"/>
    </row>
    <row r="108" spans="1:8" ht="15.75" hidden="1" x14ac:dyDescent="0.5">
      <c r="A108" s="469">
        <v>104</v>
      </c>
      <c r="B108" s="470" t="s">
        <v>222</v>
      </c>
      <c r="C108" s="469" t="s">
        <v>69</v>
      </c>
      <c r="D108" s="469" t="s">
        <v>220</v>
      </c>
      <c r="E108" s="471">
        <f>SUMIF(Снабжения!B:B,B108,Снабжения!E:E)-SUMIF(Снабжения!B:B,B108,Снабжения!F:F)</f>
        <v>42</v>
      </c>
      <c r="F108" s="472">
        <v>9225</v>
      </c>
      <c r="G108" s="474"/>
      <c r="H108" s="475"/>
    </row>
    <row r="109" spans="1:8" ht="15.75" hidden="1" x14ac:dyDescent="0.5">
      <c r="A109" s="469">
        <v>105</v>
      </c>
      <c r="B109" s="470" t="s">
        <v>186</v>
      </c>
      <c r="C109" s="469" t="s">
        <v>59</v>
      </c>
      <c r="D109" s="469" t="s">
        <v>187</v>
      </c>
      <c r="E109" s="471">
        <f>SUMIF(Снабжения!B:B,B109,Снабжения!E:E)-SUMIF(Снабжения!B:B,B109,Снабжения!F:F)</f>
        <v>40</v>
      </c>
      <c r="F109" s="472">
        <v>9736</v>
      </c>
      <c r="G109" s="474">
        <v>98</v>
      </c>
      <c r="H109" s="475"/>
    </row>
    <row r="110" spans="1:8" ht="15.75" hidden="1" x14ac:dyDescent="0.5">
      <c r="A110" s="469">
        <v>106</v>
      </c>
      <c r="B110" s="470" t="s">
        <v>259</v>
      </c>
      <c r="C110" s="469" t="s">
        <v>62</v>
      </c>
      <c r="D110" s="469" t="s">
        <v>220</v>
      </c>
      <c r="E110" s="471">
        <f>SUMIF(Снабжения!B:B,B110,Снабжения!E:E)-SUMIF(Снабжения!B:B,B110,Снабжения!F:F)</f>
        <v>40</v>
      </c>
      <c r="F110" s="472">
        <v>12000</v>
      </c>
      <c r="G110" s="474"/>
      <c r="H110" s="475"/>
    </row>
    <row r="111" spans="1:8" ht="15.75" hidden="1" x14ac:dyDescent="0.5">
      <c r="A111" s="469">
        <v>107</v>
      </c>
      <c r="B111" s="470" t="s">
        <v>226</v>
      </c>
      <c r="C111" s="469" t="s">
        <v>69</v>
      </c>
      <c r="D111" s="469" t="s">
        <v>187</v>
      </c>
      <c r="E111" s="471">
        <f>SUMIF(Снабжения!B:B,B111,Снабжения!E:E)-SUMIF(Снабжения!B:B,B111,Снабжения!F:F)</f>
        <v>43</v>
      </c>
      <c r="F111" s="472">
        <v>4338</v>
      </c>
      <c r="G111" s="474">
        <v>20</v>
      </c>
      <c r="H111" s="475"/>
    </row>
    <row r="112" spans="1:8" ht="15.75" hidden="1" x14ac:dyDescent="0.5">
      <c r="A112" s="469">
        <v>108</v>
      </c>
      <c r="B112" s="470" t="s">
        <v>221</v>
      </c>
      <c r="C112" s="469" t="s">
        <v>69</v>
      </c>
      <c r="D112" s="469" t="s">
        <v>220</v>
      </c>
      <c r="E112" s="471">
        <f>SUMIF(Снабжения!B:B,B112,Снабжения!E:E)-SUMIF(Снабжения!B:B,B112,Снабжения!F:F)</f>
        <v>87</v>
      </c>
      <c r="F112" s="472">
        <v>14000</v>
      </c>
      <c r="G112" s="474"/>
      <c r="H112" s="475"/>
    </row>
    <row r="113" spans="1:8" ht="15.75" hidden="1" x14ac:dyDescent="0.5">
      <c r="A113" s="469">
        <v>109</v>
      </c>
      <c r="B113" s="470" t="s">
        <v>212</v>
      </c>
      <c r="C113" s="469" t="s">
        <v>85</v>
      </c>
      <c r="D113" s="469" t="s">
        <v>204</v>
      </c>
      <c r="E113" s="471">
        <f>SUMIF(Снабжения!B:B,B113,Снабжения!E:E)-SUMIF(Снабжения!B:B,B113,Снабжения!F:F)</f>
        <v>74.5</v>
      </c>
      <c r="F113" s="472">
        <v>13944</v>
      </c>
      <c r="G113" s="474"/>
      <c r="H113" s="475"/>
    </row>
    <row r="114" spans="1:8" ht="15.75" hidden="1" x14ac:dyDescent="0.5">
      <c r="A114" s="469">
        <v>110</v>
      </c>
      <c r="B114" s="470" t="s">
        <v>190</v>
      </c>
      <c r="C114" s="469" t="s">
        <v>59</v>
      </c>
      <c r="D114" s="469" t="s">
        <v>187</v>
      </c>
      <c r="E114" s="471">
        <f>SUMIF(Снабжения!B:B,B114,Снабжения!E:E)-SUMIF(Снабжения!B:B,B114,Снабжения!F:F)</f>
        <v>80</v>
      </c>
      <c r="F114" s="472">
        <v>26300</v>
      </c>
      <c r="G114" s="474"/>
      <c r="H114" s="475"/>
    </row>
    <row r="115" spans="1:8" ht="15.75" hidden="1" x14ac:dyDescent="0.5">
      <c r="A115" s="469">
        <v>111</v>
      </c>
      <c r="B115" s="470" t="s">
        <v>229</v>
      </c>
      <c r="C115" s="469" t="s">
        <v>59</v>
      </c>
      <c r="D115" s="469" t="s">
        <v>187</v>
      </c>
      <c r="E115" s="471">
        <f>SUMIF(Снабжения!B:B,B115,Снабжения!E:E)-SUMIF(Снабжения!B:B,B115,Снабжения!F:F)</f>
        <v>100</v>
      </c>
      <c r="F115" s="472">
        <v>9760.5</v>
      </c>
      <c r="G115" s="474"/>
      <c r="H115" s="475"/>
    </row>
    <row r="116" spans="1:8" ht="15.75" hidden="1" x14ac:dyDescent="0.5">
      <c r="A116" s="469">
        <v>112</v>
      </c>
      <c r="B116" s="470" t="s">
        <v>209</v>
      </c>
      <c r="C116" s="469" t="s">
        <v>69</v>
      </c>
      <c r="D116" s="469" t="s">
        <v>220</v>
      </c>
      <c r="E116" s="471">
        <f>SUMIF(Снабжения!B:B,B116,Снабжения!E:E)-SUMIF(Снабжения!B:B,B116,Снабжения!F:F)</f>
        <v>128</v>
      </c>
      <c r="F116" s="472">
        <v>1200</v>
      </c>
      <c r="G116" s="474">
        <v>30</v>
      </c>
      <c r="H116" s="475"/>
    </row>
    <row r="117" spans="1:8" ht="15.75" hidden="1" x14ac:dyDescent="0.5">
      <c r="A117" s="469">
        <v>113</v>
      </c>
      <c r="B117" s="470" t="s">
        <v>251</v>
      </c>
      <c r="C117" s="469" t="s">
        <v>85</v>
      </c>
      <c r="D117" s="469" t="s">
        <v>204</v>
      </c>
      <c r="E117" s="471">
        <f>SUMIF(Снабжения!B:B,B117,Снабжения!E:E)-SUMIF(Снабжения!B:B,B117,Снабжения!F:F)</f>
        <v>150</v>
      </c>
      <c r="F117" s="472">
        <v>25522</v>
      </c>
      <c r="G117" s="474"/>
      <c r="H117" s="475"/>
    </row>
    <row r="118" spans="1:8" ht="15.75" hidden="1" x14ac:dyDescent="0.5">
      <c r="A118" s="469">
        <v>114</v>
      </c>
      <c r="B118" s="470" t="s">
        <v>246</v>
      </c>
      <c r="C118" s="469" t="s">
        <v>202</v>
      </c>
      <c r="D118" s="469" t="s">
        <v>204</v>
      </c>
      <c r="E118" s="471">
        <f>SUMIF(Снабжения!B:B,B118,Снабжения!E:E)-SUMIF(Снабжения!B:B,B118,Снабжения!F:F)</f>
        <v>200</v>
      </c>
      <c r="F118" s="472">
        <v>13440</v>
      </c>
      <c r="G118" s="474"/>
      <c r="H118" s="475"/>
    </row>
    <row r="119" spans="1:8" ht="15.75" hidden="1" x14ac:dyDescent="0.5">
      <c r="A119" s="469">
        <v>115</v>
      </c>
      <c r="B119" s="470" t="s">
        <v>299</v>
      </c>
      <c r="C119" s="469" t="s">
        <v>85</v>
      </c>
      <c r="D119" s="469"/>
      <c r="E119" s="471">
        <f>SUMIF(Снабжения!B:B,B119,Снабжения!E:E)-SUMIF(Снабжения!B:B,B119,Снабжения!F:F)</f>
        <v>400</v>
      </c>
      <c r="F119" s="472">
        <v>5000</v>
      </c>
      <c r="G119" s="474"/>
      <c r="H119" s="475"/>
    </row>
    <row r="120" spans="1:8" ht="15.75" hidden="1" x14ac:dyDescent="0.5">
      <c r="A120" s="469">
        <v>116</v>
      </c>
      <c r="B120" s="470" t="s">
        <v>210</v>
      </c>
      <c r="C120" s="469" t="s">
        <v>69</v>
      </c>
      <c r="D120" s="469" t="s">
        <v>220</v>
      </c>
      <c r="E120" s="471">
        <f>SUMIF(Снабжения!B:B,B120,Снабжения!E:E)-SUMIF(Снабжения!B:B,B120,Снабжения!F:F)</f>
        <v>405</v>
      </c>
      <c r="F120" s="472">
        <v>344.44</v>
      </c>
      <c r="G120" s="474">
        <v>525</v>
      </c>
      <c r="H120" s="475"/>
    </row>
    <row r="121" spans="1:8" ht="15.75" hidden="1" x14ac:dyDescent="0.5">
      <c r="A121" s="469">
        <v>117</v>
      </c>
      <c r="B121" s="470" t="s">
        <v>189</v>
      </c>
      <c r="C121" s="469" t="s">
        <v>69</v>
      </c>
      <c r="D121" s="469" t="s">
        <v>220</v>
      </c>
      <c r="E121" s="471">
        <f>SUMIF(Снабжения!B:B,B121,Снабжения!E:E)-SUMIF(Снабжения!B:B,B121,Снабжения!F:F)</f>
        <v>309</v>
      </c>
      <c r="F121" s="472">
        <v>3550</v>
      </c>
      <c r="G121" s="474">
        <v>162</v>
      </c>
      <c r="H121" s="475"/>
    </row>
    <row r="122" spans="1:8" ht="15.75" hidden="1" x14ac:dyDescent="0.5">
      <c r="A122" s="469">
        <v>118</v>
      </c>
      <c r="B122" s="470" t="s">
        <v>230</v>
      </c>
      <c r="C122" s="469" t="s">
        <v>85</v>
      </c>
      <c r="D122" s="469" t="s">
        <v>220</v>
      </c>
      <c r="E122" s="471">
        <f>SUMIF(Снабжения!B:B,B122,Снабжения!E:E)-SUMIF(Снабжения!B:B,B122,Снабжения!F:F)</f>
        <v>400</v>
      </c>
      <c r="F122" s="472">
        <v>3000</v>
      </c>
      <c r="G122" s="474">
        <v>200</v>
      </c>
      <c r="H122" s="475"/>
    </row>
    <row r="123" spans="1:8" ht="15.75" hidden="1" x14ac:dyDescent="0.5">
      <c r="A123" s="469">
        <v>119</v>
      </c>
      <c r="B123" s="470" t="s">
        <v>228</v>
      </c>
      <c r="C123" s="469" t="s">
        <v>59</v>
      </c>
      <c r="D123" s="469" t="s">
        <v>187</v>
      </c>
      <c r="E123" s="471">
        <f>SUMIF(Снабжения!B:B,B123,Снабжения!E:E)-SUMIF(Снабжения!B:B,B123,Снабжения!F:F)</f>
        <v>125</v>
      </c>
      <c r="F123" s="472">
        <v>9500</v>
      </c>
      <c r="G123" s="474">
        <v>825</v>
      </c>
      <c r="H123" s="475"/>
    </row>
    <row r="124" spans="1:8" ht="15.75" hidden="1" x14ac:dyDescent="0.5">
      <c r="A124" s="469">
        <v>120</v>
      </c>
      <c r="B124" s="470" t="s">
        <v>232</v>
      </c>
      <c r="C124" s="469" t="s">
        <v>59</v>
      </c>
      <c r="D124" s="469" t="s">
        <v>187</v>
      </c>
      <c r="E124" s="471">
        <f>SUMIF(Снабжения!B:B,B124,Снабжения!E:E)-SUMIF(Снабжения!B:B,B124,Снабжения!F:F)</f>
        <v>2000</v>
      </c>
      <c r="F124" s="472"/>
      <c r="G124" s="474"/>
      <c r="H124" s="475"/>
    </row>
  </sheetData>
  <autoFilter ref="A4:H124" xr:uid="{5B6DF7AF-D5F4-4CB3-B794-FAE1764B9BBC}">
    <filterColumn colId="4">
      <customFilters>
        <customFilter operator="lessThanOrEqual" val="5"/>
      </customFilters>
    </filterColumn>
  </autoFilter>
  <mergeCells count="1">
    <mergeCell ref="A1:G1"/>
  </mergeCells>
  <conditionalFormatting sqref="A5:G124">
    <cfRule type="expression" dxfId="44" priority="1">
      <formula>$E5&lt;=0</formula>
    </cfRule>
    <cfRule type="expression" dxfId="43" priority="2">
      <formula>AND($E5&gt;0,$E5&lt;=$B$2)</formula>
    </cfRule>
    <cfRule type="expression" dxfId="42" priority="3">
      <formula>$E5&gt;$B$2</formula>
    </cfRule>
  </conditionalFormatting>
  <conditionalFormatting sqref="A5:H124">
    <cfRule type="expression" dxfId="41" priority="4">
      <formula>$H5="✓"</formula>
    </cfRule>
  </conditionalFormatting>
  <dataValidations count="1">
    <dataValidation type="list" allowBlank="1" showInputMessage="1" showErrorMessage="1" promptTitle="Не заказывать" prompt="Поставьте ✓ — товар скроется из списка" sqref="H5:H124" xr:uid="{ECB6D891-B15F-410C-BF98-DE7C97CC1916}">
      <formula1>"✓"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FB34B-24F0-4B8F-828D-71D432934195}">
  <sheetPr codeName="Worksheet____16"/>
  <dimension ref="A1:F53"/>
  <sheetViews>
    <sheetView zoomScale="97" zoomScaleNormal="115" workbookViewId="0">
      <pane ySplit="3" topLeftCell="A4" activePane="bottomLeft" state="frozen"/>
      <selection pane="bottomLeft" activeCell="B25" sqref="B25"/>
    </sheetView>
  </sheetViews>
  <sheetFormatPr defaultRowHeight="14.25" x14ac:dyDescent="0.45"/>
  <cols>
    <col min="1" max="1" width="7.1328125" style="551" customWidth="1"/>
    <col min="2" max="2" width="28.3984375" style="551" customWidth="1"/>
    <col min="3" max="3" width="42.796875" style="551" customWidth="1"/>
    <col min="4" max="4" width="24.86328125" style="551" customWidth="1"/>
    <col min="5" max="5" width="35.6640625" style="551" customWidth="1"/>
    <col min="6" max="6" width="39.1328125" style="551" customWidth="1"/>
  </cols>
  <sheetData>
    <row r="1" spans="1:6" ht="32.1" customHeight="1" x14ac:dyDescent="0.85">
      <c r="A1" s="632" t="s">
        <v>787</v>
      </c>
      <c r="B1" s="632"/>
      <c r="C1" s="632"/>
      <c r="D1" s="632"/>
      <c r="E1" s="632"/>
      <c r="F1" s="632"/>
    </row>
    <row r="2" spans="1:6" x14ac:dyDescent="0.45">
      <c r="A2"/>
      <c r="B2"/>
      <c r="C2"/>
      <c r="D2"/>
      <c r="E2"/>
      <c r="F2"/>
    </row>
    <row r="3" spans="1:6" ht="16.149999999999999" thickBot="1" x14ac:dyDescent="0.55000000000000004">
      <c r="A3" s="541" t="s">
        <v>31</v>
      </c>
      <c r="B3" s="541" t="s">
        <v>788</v>
      </c>
      <c r="C3" s="541" t="s">
        <v>789</v>
      </c>
      <c r="D3" s="541" t="s">
        <v>790</v>
      </c>
      <c r="E3" s="541" t="s">
        <v>791</v>
      </c>
      <c r="F3" s="541" t="s">
        <v>792</v>
      </c>
    </row>
    <row r="4" spans="1:6" ht="16.899999999999999" thickTop="1" x14ac:dyDescent="0.45">
      <c r="A4" s="542">
        <f>ROW()-3</f>
        <v>1</v>
      </c>
      <c r="B4" s="542" t="s">
        <v>585</v>
      </c>
      <c r="C4" s="542" t="s">
        <v>793</v>
      </c>
      <c r="D4" s="543" t="s">
        <v>794</v>
      </c>
      <c r="E4" s="542" t="s">
        <v>795</v>
      </c>
      <c r="F4" s="544"/>
    </row>
    <row r="5" spans="1:6" ht="16.5" x14ac:dyDescent="0.45">
      <c r="A5" s="545">
        <f t="shared" ref="A5:A53" si="0">ROW()-3</f>
        <v>2</v>
      </c>
      <c r="B5" s="545" t="s">
        <v>796</v>
      </c>
      <c r="C5" s="545" t="s">
        <v>797</v>
      </c>
      <c r="D5" s="546" t="s">
        <v>798</v>
      </c>
      <c r="E5" s="545" t="s">
        <v>233</v>
      </c>
      <c r="F5" s="547"/>
    </row>
    <row r="6" spans="1:6" ht="16.5" x14ac:dyDescent="0.45">
      <c r="A6" s="548">
        <f t="shared" si="0"/>
        <v>3</v>
      </c>
      <c r="B6" s="548" t="s">
        <v>799</v>
      </c>
      <c r="C6" s="548" t="s">
        <v>51</v>
      </c>
      <c r="D6" s="549" t="s">
        <v>800</v>
      </c>
      <c r="E6" s="548" t="s">
        <v>795</v>
      </c>
      <c r="F6" s="550"/>
    </row>
    <row r="7" spans="1:6" ht="16.5" x14ac:dyDescent="0.45">
      <c r="A7" s="545">
        <f t="shared" si="0"/>
        <v>4</v>
      </c>
      <c r="B7" s="545" t="s">
        <v>801</v>
      </c>
      <c r="C7" s="545" t="s">
        <v>22</v>
      </c>
      <c r="D7" s="546" t="s">
        <v>802</v>
      </c>
      <c r="E7" s="545" t="s">
        <v>803</v>
      </c>
      <c r="F7" s="547"/>
    </row>
    <row r="8" spans="1:6" ht="16.5" x14ac:dyDescent="0.45">
      <c r="A8" s="548">
        <f t="shared" si="0"/>
        <v>5</v>
      </c>
      <c r="B8" s="548" t="s">
        <v>679</v>
      </c>
      <c r="C8" s="548" t="s">
        <v>584</v>
      </c>
      <c r="D8" s="549" t="s">
        <v>804</v>
      </c>
      <c r="E8" s="548" t="s">
        <v>795</v>
      </c>
      <c r="F8" s="550"/>
    </row>
    <row r="9" spans="1:6" ht="16.5" x14ac:dyDescent="0.45">
      <c r="A9" s="545">
        <f t="shared" si="0"/>
        <v>6</v>
      </c>
      <c r="B9" s="545" t="s">
        <v>595</v>
      </c>
      <c r="C9" s="545" t="s">
        <v>805</v>
      </c>
      <c r="D9" s="549" t="s">
        <v>806</v>
      </c>
      <c r="E9" s="545" t="s">
        <v>795</v>
      </c>
      <c r="F9" s="547"/>
    </row>
    <row r="10" spans="1:6" ht="16.5" x14ac:dyDescent="0.45">
      <c r="A10" s="548">
        <f t="shared" si="0"/>
        <v>7</v>
      </c>
      <c r="B10" s="548" t="s">
        <v>590</v>
      </c>
      <c r="C10" s="548" t="s">
        <v>807</v>
      </c>
      <c r="D10" s="549" t="s">
        <v>808</v>
      </c>
      <c r="E10" s="548" t="s">
        <v>795</v>
      </c>
      <c r="F10" s="550"/>
    </row>
    <row r="11" spans="1:6" ht="16.5" x14ac:dyDescent="0.45">
      <c r="A11" s="545">
        <f t="shared" si="0"/>
        <v>8</v>
      </c>
      <c r="B11" s="545" t="s">
        <v>583</v>
      </c>
      <c r="C11" s="545" t="s">
        <v>793</v>
      </c>
      <c r="D11" s="549" t="s">
        <v>809</v>
      </c>
      <c r="E11" s="545" t="s">
        <v>795</v>
      </c>
      <c r="F11" s="547"/>
    </row>
    <row r="12" spans="1:6" ht="16.5" x14ac:dyDescent="0.45">
      <c r="A12" s="548">
        <f t="shared" si="0"/>
        <v>9</v>
      </c>
      <c r="B12" s="548" t="s">
        <v>810</v>
      </c>
      <c r="C12" s="548" t="s">
        <v>811</v>
      </c>
      <c r="D12" s="549" t="s">
        <v>812</v>
      </c>
      <c r="E12" s="548" t="s">
        <v>795</v>
      </c>
      <c r="F12" s="550"/>
    </row>
    <row r="13" spans="1:6" ht="16.5" x14ac:dyDescent="0.45">
      <c r="A13" s="545">
        <f t="shared" si="0"/>
        <v>10</v>
      </c>
      <c r="B13" s="545" t="s">
        <v>813</v>
      </c>
      <c r="C13" s="545" t="s">
        <v>814</v>
      </c>
      <c r="D13" s="549" t="s">
        <v>815</v>
      </c>
      <c r="E13" s="545" t="s">
        <v>233</v>
      </c>
      <c r="F13" s="547"/>
    </row>
    <row r="14" spans="1:6" ht="16.5" x14ac:dyDescent="0.45">
      <c r="A14" s="548">
        <f t="shared" si="0"/>
        <v>11</v>
      </c>
      <c r="B14" s="548" t="s">
        <v>816</v>
      </c>
      <c r="C14" s="548" t="s">
        <v>817</v>
      </c>
      <c r="D14" s="549" t="s">
        <v>818</v>
      </c>
      <c r="E14" s="548" t="s">
        <v>233</v>
      </c>
      <c r="F14" s="550"/>
    </row>
    <row r="15" spans="1:6" ht="16.5" x14ac:dyDescent="0.45">
      <c r="A15" s="545">
        <f t="shared" si="0"/>
        <v>12</v>
      </c>
      <c r="B15" s="545" t="s">
        <v>233</v>
      </c>
      <c r="C15" s="545" t="s">
        <v>819</v>
      </c>
      <c r="D15" s="549" t="s">
        <v>820</v>
      </c>
      <c r="E15" s="545" t="s">
        <v>233</v>
      </c>
      <c r="F15" s="547"/>
    </row>
    <row r="16" spans="1:6" ht="16.5" x14ac:dyDescent="0.45">
      <c r="A16" s="548">
        <f t="shared" si="0"/>
        <v>13</v>
      </c>
      <c r="B16" s="548" t="s">
        <v>821</v>
      </c>
      <c r="C16" s="548" t="s">
        <v>822</v>
      </c>
      <c r="D16" s="549" t="s">
        <v>823</v>
      </c>
      <c r="E16" s="548" t="s">
        <v>233</v>
      </c>
      <c r="F16" s="550"/>
    </row>
    <row r="17" spans="1:6" ht="16.5" x14ac:dyDescent="0.45">
      <c r="A17" s="545">
        <f t="shared" si="0"/>
        <v>14</v>
      </c>
      <c r="B17" s="545" t="s">
        <v>824</v>
      </c>
      <c r="C17" s="545" t="s">
        <v>825</v>
      </c>
      <c r="D17" s="549" t="s">
        <v>826</v>
      </c>
      <c r="E17" s="545" t="s">
        <v>233</v>
      </c>
      <c r="F17" s="547"/>
    </row>
    <row r="18" spans="1:6" ht="16.5" x14ac:dyDescent="0.45">
      <c r="A18" s="548">
        <f t="shared" si="0"/>
        <v>15</v>
      </c>
      <c r="B18" s="548" t="s">
        <v>827</v>
      </c>
      <c r="C18" s="548" t="s">
        <v>828</v>
      </c>
      <c r="D18" s="549" t="s">
        <v>829</v>
      </c>
      <c r="E18" s="548" t="s">
        <v>228</v>
      </c>
      <c r="F18" s="550"/>
    </row>
    <row r="19" spans="1:6" ht="16.5" x14ac:dyDescent="0.45">
      <c r="A19" s="545">
        <f t="shared" si="0"/>
        <v>16</v>
      </c>
      <c r="B19" s="545" t="s">
        <v>799</v>
      </c>
      <c r="C19" s="545" t="s">
        <v>830</v>
      </c>
      <c r="D19" s="549" t="s">
        <v>831</v>
      </c>
      <c r="E19" s="545" t="s">
        <v>795</v>
      </c>
      <c r="F19" s="547"/>
    </row>
    <row r="20" spans="1:6" ht="16.5" x14ac:dyDescent="0.45">
      <c r="A20" s="548">
        <f t="shared" si="0"/>
        <v>17</v>
      </c>
      <c r="B20" s="548" t="s">
        <v>832</v>
      </c>
      <c r="C20" s="548" t="s">
        <v>47</v>
      </c>
      <c r="D20" s="549" t="s">
        <v>833</v>
      </c>
      <c r="E20" s="548" t="s">
        <v>795</v>
      </c>
      <c r="F20" s="550"/>
    </row>
    <row r="21" spans="1:6" ht="16.5" x14ac:dyDescent="0.45">
      <c r="A21" s="545">
        <f t="shared" si="0"/>
        <v>18</v>
      </c>
      <c r="B21" s="545" t="s">
        <v>834</v>
      </c>
      <c r="C21" s="545" t="s">
        <v>45</v>
      </c>
      <c r="D21" s="549" t="s">
        <v>835</v>
      </c>
      <c r="E21" s="545" t="s">
        <v>795</v>
      </c>
      <c r="F21" s="547"/>
    </row>
    <row r="22" spans="1:6" ht="16.5" x14ac:dyDescent="0.45">
      <c r="A22" s="548">
        <f t="shared" si="0"/>
        <v>19</v>
      </c>
      <c r="B22" s="548" t="s">
        <v>836</v>
      </c>
      <c r="C22" s="548" t="s">
        <v>837</v>
      </c>
      <c r="D22" s="549" t="s">
        <v>838</v>
      </c>
      <c r="E22" s="548" t="s">
        <v>233</v>
      </c>
      <c r="F22" s="550"/>
    </row>
    <row r="23" spans="1:6" ht="16.5" x14ac:dyDescent="0.45">
      <c r="A23" s="545">
        <f t="shared" si="0"/>
        <v>20</v>
      </c>
      <c r="B23" s="545" t="s">
        <v>839</v>
      </c>
      <c r="C23" s="545" t="s">
        <v>840</v>
      </c>
      <c r="D23" s="549" t="s">
        <v>841</v>
      </c>
      <c r="E23" s="545" t="s">
        <v>233</v>
      </c>
      <c r="F23" s="547"/>
    </row>
    <row r="24" spans="1:6" ht="16.5" x14ac:dyDescent="0.45">
      <c r="A24" s="548">
        <f t="shared" si="0"/>
        <v>21</v>
      </c>
      <c r="B24" s="548" t="s">
        <v>896</v>
      </c>
      <c r="C24" s="548" t="s">
        <v>822</v>
      </c>
      <c r="D24" s="549" t="s">
        <v>897</v>
      </c>
      <c r="E24" s="548"/>
      <c r="F24" s="550"/>
    </row>
    <row r="25" spans="1:6" ht="16.5" x14ac:dyDescent="0.45">
      <c r="A25" s="545">
        <f t="shared" si="0"/>
        <v>22</v>
      </c>
      <c r="B25" s="545"/>
      <c r="C25" s="545"/>
      <c r="D25" s="549" t="s">
        <v>842</v>
      </c>
      <c r="E25" s="545"/>
      <c r="F25" s="547"/>
    </row>
    <row r="26" spans="1:6" ht="16.5" x14ac:dyDescent="0.45">
      <c r="A26" s="548">
        <f t="shared" si="0"/>
        <v>23</v>
      </c>
      <c r="B26" s="548"/>
      <c r="C26" s="548"/>
      <c r="D26" s="549" t="s">
        <v>842</v>
      </c>
      <c r="E26" s="548"/>
      <c r="F26" s="550"/>
    </row>
    <row r="27" spans="1:6" ht="16.5" x14ac:dyDescent="0.45">
      <c r="A27" s="545">
        <f t="shared" si="0"/>
        <v>24</v>
      </c>
      <c r="B27" s="545"/>
      <c r="C27" s="545"/>
      <c r="D27" s="549" t="s">
        <v>842</v>
      </c>
      <c r="E27" s="545"/>
      <c r="F27" s="547"/>
    </row>
    <row r="28" spans="1:6" ht="16.5" x14ac:dyDescent="0.45">
      <c r="A28" s="548">
        <f t="shared" si="0"/>
        <v>25</v>
      </c>
      <c r="B28" s="548"/>
      <c r="C28" s="548"/>
      <c r="D28" s="549" t="s">
        <v>842</v>
      </c>
      <c r="E28" s="548"/>
      <c r="F28" s="550"/>
    </row>
    <row r="29" spans="1:6" ht="16.5" x14ac:dyDescent="0.45">
      <c r="A29" s="545">
        <f t="shared" si="0"/>
        <v>26</v>
      </c>
      <c r="B29" s="545"/>
      <c r="C29" s="545"/>
      <c r="D29" s="549" t="s">
        <v>842</v>
      </c>
      <c r="E29" s="545"/>
      <c r="F29" s="547"/>
    </row>
    <row r="30" spans="1:6" ht="16.5" x14ac:dyDescent="0.45">
      <c r="A30" s="548">
        <f t="shared" si="0"/>
        <v>27</v>
      </c>
      <c r="B30" s="548"/>
      <c r="C30" s="548"/>
      <c r="D30" s="549" t="s">
        <v>842</v>
      </c>
      <c r="E30" s="548"/>
      <c r="F30" s="550"/>
    </row>
    <row r="31" spans="1:6" ht="16.5" x14ac:dyDescent="0.45">
      <c r="A31" s="545">
        <f t="shared" si="0"/>
        <v>28</v>
      </c>
      <c r="B31" s="545"/>
      <c r="C31" s="545"/>
      <c r="D31" s="549" t="s">
        <v>842</v>
      </c>
      <c r="E31" s="545"/>
      <c r="F31" s="547"/>
    </row>
    <row r="32" spans="1:6" ht="16.5" x14ac:dyDescent="0.45">
      <c r="A32" s="548">
        <f t="shared" si="0"/>
        <v>29</v>
      </c>
      <c r="B32" s="548"/>
      <c r="C32" s="548"/>
      <c r="D32" s="549" t="s">
        <v>842</v>
      </c>
      <c r="E32" s="548"/>
      <c r="F32" s="550"/>
    </row>
    <row r="33" spans="1:6" ht="16.5" x14ac:dyDescent="0.45">
      <c r="A33" s="545">
        <f t="shared" si="0"/>
        <v>30</v>
      </c>
      <c r="B33" s="545"/>
      <c r="C33" s="545"/>
      <c r="D33" s="549" t="s">
        <v>842</v>
      </c>
      <c r="E33" s="545"/>
      <c r="F33" s="547"/>
    </row>
    <row r="34" spans="1:6" ht="16.5" x14ac:dyDescent="0.45">
      <c r="A34" s="548">
        <f t="shared" si="0"/>
        <v>31</v>
      </c>
      <c r="B34" s="548"/>
      <c r="C34" s="548"/>
      <c r="D34" s="549" t="s">
        <v>842</v>
      </c>
      <c r="E34" s="548"/>
      <c r="F34" s="550"/>
    </row>
    <row r="35" spans="1:6" ht="16.5" x14ac:dyDescent="0.45">
      <c r="A35" s="545">
        <f t="shared" si="0"/>
        <v>32</v>
      </c>
      <c r="B35" s="545"/>
      <c r="C35" s="545"/>
      <c r="D35" s="549" t="s">
        <v>842</v>
      </c>
      <c r="E35" s="545"/>
      <c r="F35" s="547"/>
    </row>
    <row r="36" spans="1:6" ht="16.5" x14ac:dyDescent="0.45">
      <c r="A36" s="548">
        <f t="shared" si="0"/>
        <v>33</v>
      </c>
      <c r="B36" s="548"/>
      <c r="C36" s="548"/>
      <c r="D36" s="549" t="s">
        <v>842</v>
      </c>
      <c r="E36" s="548"/>
      <c r="F36" s="550"/>
    </row>
    <row r="37" spans="1:6" ht="16.5" x14ac:dyDescent="0.45">
      <c r="A37" s="545">
        <f t="shared" si="0"/>
        <v>34</v>
      </c>
      <c r="B37" s="545"/>
      <c r="C37" s="545"/>
      <c r="D37" s="549" t="s">
        <v>842</v>
      </c>
      <c r="E37" s="545"/>
      <c r="F37" s="547"/>
    </row>
    <row r="38" spans="1:6" ht="16.5" x14ac:dyDescent="0.45">
      <c r="A38" s="548">
        <f t="shared" si="0"/>
        <v>35</v>
      </c>
      <c r="B38" s="548"/>
      <c r="C38" s="548"/>
      <c r="D38" s="549" t="s">
        <v>842</v>
      </c>
      <c r="E38" s="548"/>
      <c r="F38" s="550"/>
    </row>
    <row r="39" spans="1:6" ht="16.5" x14ac:dyDescent="0.45">
      <c r="A39" s="545">
        <f t="shared" si="0"/>
        <v>36</v>
      </c>
      <c r="B39" s="545"/>
      <c r="C39" s="545"/>
      <c r="D39" s="549" t="s">
        <v>842</v>
      </c>
      <c r="E39" s="545"/>
      <c r="F39" s="547"/>
    </row>
    <row r="40" spans="1:6" ht="16.5" x14ac:dyDescent="0.45">
      <c r="A40" s="548">
        <f t="shared" si="0"/>
        <v>37</v>
      </c>
      <c r="B40" s="548"/>
      <c r="C40" s="548"/>
      <c r="D40" s="549" t="s">
        <v>842</v>
      </c>
      <c r="E40" s="548"/>
      <c r="F40" s="550"/>
    </row>
    <row r="41" spans="1:6" ht="16.5" x14ac:dyDescent="0.45">
      <c r="A41" s="545">
        <f t="shared" si="0"/>
        <v>38</v>
      </c>
      <c r="B41" s="545"/>
      <c r="C41" s="545"/>
      <c r="D41" s="549" t="s">
        <v>842</v>
      </c>
      <c r="E41" s="545"/>
      <c r="F41" s="547"/>
    </row>
    <row r="42" spans="1:6" ht="16.5" x14ac:dyDescent="0.45">
      <c r="A42" s="548">
        <f t="shared" si="0"/>
        <v>39</v>
      </c>
      <c r="B42" s="548"/>
      <c r="C42" s="548"/>
      <c r="D42" s="549" t="s">
        <v>842</v>
      </c>
      <c r="E42" s="548"/>
      <c r="F42" s="550"/>
    </row>
    <row r="43" spans="1:6" ht="16.5" x14ac:dyDescent="0.45">
      <c r="A43" s="545">
        <f t="shared" si="0"/>
        <v>40</v>
      </c>
      <c r="B43" s="545"/>
      <c r="C43" s="545"/>
      <c r="D43" s="549" t="s">
        <v>842</v>
      </c>
      <c r="E43" s="545"/>
      <c r="F43" s="547"/>
    </row>
    <row r="44" spans="1:6" ht="16.5" x14ac:dyDescent="0.45">
      <c r="A44" s="548">
        <f t="shared" si="0"/>
        <v>41</v>
      </c>
      <c r="B44" s="548"/>
      <c r="C44" s="548"/>
      <c r="D44" s="549" t="s">
        <v>842</v>
      </c>
      <c r="E44" s="548"/>
      <c r="F44" s="550"/>
    </row>
    <row r="45" spans="1:6" ht="16.5" x14ac:dyDescent="0.45">
      <c r="A45" s="545">
        <f t="shared" si="0"/>
        <v>42</v>
      </c>
      <c r="B45" s="545"/>
      <c r="C45" s="545"/>
      <c r="D45" s="549" t="s">
        <v>842</v>
      </c>
      <c r="E45" s="545"/>
      <c r="F45" s="547"/>
    </row>
    <row r="46" spans="1:6" ht="16.5" x14ac:dyDescent="0.45">
      <c r="A46" s="548">
        <f t="shared" si="0"/>
        <v>43</v>
      </c>
      <c r="B46" s="548"/>
      <c r="C46" s="548"/>
      <c r="D46" s="549" t="s">
        <v>842</v>
      </c>
      <c r="E46" s="548"/>
      <c r="F46" s="550"/>
    </row>
    <row r="47" spans="1:6" ht="16.5" x14ac:dyDescent="0.45">
      <c r="A47" s="545">
        <f t="shared" si="0"/>
        <v>44</v>
      </c>
      <c r="B47" s="545"/>
      <c r="C47" s="545"/>
      <c r="D47" s="549" t="s">
        <v>842</v>
      </c>
      <c r="E47" s="545"/>
      <c r="F47" s="547"/>
    </row>
    <row r="48" spans="1:6" ht="16.5" x14ac:dyDescent="0.45">
      <c r="A48" s="548">
        <f t="shared" si="0"/>
        <v>45</v>
      </c>
      <c r="B48" s="548"/>
      <c r="C48" s="548"/>
      <c r="D48" s="549" t="s">
        <v>842</v>
      </c>
      <c r="E48" s="548"/>
      <c r="F48" s="550"/>
    </row>
    <row r="49" spans="1:6" ht="16.5" x14ac:dyDescent="0.45">
      <c r="A49" s="545">
        <f t="shared" si="0"/>
        <v>46</v>
      </c>
      <c r="B49" s="545"/>
      <c r="C49" s="545"/>
      <c r="D49" s="549" t="s">
        <v>842</v>
      </c>
      <c r="E49" s="545"/>
      <c r="F49" s="547"/>
    </row>
    <row r="50" spans="1:6" ht="16.5" x14ac:dyDescent="0.45">
      <c r="A50" s="548">
        <f t="shared" si="0"/>
        <v>47</v>
      </c>
      <c r="B50" s="548"/>
      <c r="C50" s="548"/>
      <c r="D50" s="549" t="s">
        <v>842</v>
      </c>
      <c r="E50" s="548"/>
      <c r="F50" s="550"/>
    </row>
    <row r="51" spans="1:6" ht="16.5" x14ac:dyDescent="0.45">
      <c r="A51" s="545">
        <f t="shared" si="0"/>
        <v>48</v>
      </c>
      <c r="B51" s="545"/>
      <c r="C51" s="545"/>
      <c r="D51" s="549" t="s">
        <v>842</v>
      </c>
      <c r="E51" s="545"/>
      <c r="F51" s="547"/>
    </row>
    <row r="52" spans="1:6" ht="16.5" x14ac:dyDescent="0.45">
      <c r="A52" s="548">
        <f t="shared" si="0"/>
        <v>49</v>
      </c>
      <c r="B52" s="548"/>
      <c r="C52" s="548"/>
      <c r="D52" s="549" t="s">
        <v>842</v>
      </c>
      <c r="E52" s="548"/>
      <c r="F52" s="550"/>
    </row>
    <row r="53" spans="1:6" ht="16.5" x14ac:dyDescent="0.45">
      <c r="A53" s="545">
        <f t="shared" si="0"/>
        <v>50</v>
      </c>
      <c r="B53" s="545"/>
      <c r="C53" s="545"/>
      <c r="D53" s="549" t="s">
        <v>842</v>
      </c>
      <c r="E53" s="545"/>
      <c r="F53" s="547"/>
    </row>
  </sheetData>
  <mergeCells count="1">
    <mergeCell ref="A1:F1"/>
  </mergeCells>
  <phoneticPr fontId="77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B1AD9-CD2F-4AC8-90C4-0AC7FE3DAE3E}">
  <sheetPr codeName="Worksheet____7"/>
  <dimension ref="A1:G700"/>
  <sheetViews>
    <sheetView workbookViewId="0">
      <pane ySplit="1" topLeftCell="A655" activePane="bottomLeft" state="frozen"/>
      <selection pane="bottomLeft" activeCell="A667" sqref="A667"/>
    </sheetView>
  </sheetViews>
  <sheetFormatPr defaultRowHeight="14.25" outlineLevelRow="2" x14ac:dyDescent="0.45"/>
  <cols>
    <col min="1" max="1" width="19.6640625" customWidth="1"/>
    <col min="2" max="2" width="42.796875" customWidth="1"/>
    <col min="3" max="3" width="23.1328125" customWidth="1"/>
    <col min="4" max="4" width="16" customWidth="1"/>
    <col min="5" max="5" width="13.33203125" customWidth="1"/>
    <col min="6" max="6" width="24.86328125" style="104" customWidth="1"/>
    <col min="7" max="7" width="19.6640625" customWidth="1"/>
  </cols>
  <sheetData>
    <row r="1" spans="1:7" ht="34.15" customHeight="1" thickBot="1" x14ac:dyDescent="0.5">
      <c r="A1" s="198" t="s">
        <v>26</v>
      </c>
      <c r="B1" s="199" t="s">
        <v>326</v>
      </c>
      <c r="C1" s="199" t="s">
        <v>327</v>
      </c>
      <c r="D1" s="199" t="s">
        <v>328</v>
      </c>
      <c r="E1" s="199" t="s">
        <v>34</v>
      </c>
      <c r="F1" s="200" t="s">
        <v>35</v>
      </c>
      <c r="G1" s="201" t="s">
        <v>329</v>
      </c>
    </row>
    <row r="2" spans="1:7" ht="14.65" outlineLevel="2" thickTop="1" x14ac:dyDescent="0.45">
      <c r="A2" s="193">
        <v>45978</v>
      </c>
      <c r="B2" s="194" t="s">
        <v>330</v>
      </c>
      <c r="C2" s="195" t="s">
        <v>331</v>
      </c>
      <c r="D2" s="195" t="s">
        <v>332</v>
      </c>
      <c r="E2" s="202">
        <v>9</v>
      </c>
      <c r="F2" s="196">
        <f>IF(D2="М400", E2*740000, IF(D2="M150", E2*600000, IF(D2="M300", E2*670000, IF(D2="M350", E2*700000, 0))))</f>
        <v>6660000</v>
      </c>
      <c r="G2" s="197">
        <f>IF(A2&lt;&gt;"", F2/ VLOOKUP(A2, '[1]Курс валют'!$A:$D, 4, 0), "")</f>
        <v>564.40677966101691</v>
      </c>
    </row>
    <row r="3" spans="1:7" outlineLevel="2" x14ac:dyDescent="0.45">
      <c r="A3" s="189">
        <v>45978</v>
      </c>
      <c r="B3" s="182" t="s">
        <v>330</v>
      </c>
      <c r="C3" s="183" t="s">
        <v>333</v>
      </c>
      <c r="D3" s="183" t="s">
        <v>332</v>
      </c>
      <c r="E3" s="203">
        <v>10</v>
      </c>
      <c r="F3" s="184">
        <f t="shared" ref="F3:F66" si="0">IF(D3="М400", E3*740000, IF(D3="M150", E3*600000, IF(D3="M300", E3*670000, IF(D3="M350", E3*700000, 0))))</f>
        <v>7400000</v>
      </c>
      <c r="G3" s="191">
        <f>IF(A3&lt;&gt;"", F3/ VLOOKUP(A3, '[1]Курс валют'!$A:$D, 4, 0), "")</f>
        <v>627.11864406779659</v>
      </c>
    </row>
    <row r="4" spans="1:7" outlineLevel="2" x14ac:dyDescent="0.45">
      <c r="A4" s="189">
        <v>45978</v>
      </c>
      <c r="B4" s="182" t="s">
        <v>330</v>
      </c>
      <c r="C4" s="183" t="s">
        <v>334</v>
      </c>
      <c r="D4" s="183" t="s">
        <v>332</v>
      </c>
      <c r="E4" s="203">
        <v>9</v>
      </c>
      <c r="F4" s="184">
        <f t="shared" si="0"/>
        <v>6660000</v>
      </c>
      <c r="G4" s="191">
        <f>IF(A4&lt;&gt;"", F4/ VLOOKUP(A4, '[1]Курс валют'!$A:$D, 4, 0), "")</f>
        <v>564.40677966101691</v>
      </c>
    </row>
    <row r="5" spans="1:7" outlineLevel="2" x14ac:dyDescent="0.45">
      <c r="A5" s="189">
        <v>45978</v>
      </c>
      <c r="B5" s="182" t="s">
        <v>330</v>
      </c>
      <c r="C5" s="183" t="s">
        <v>335</v>
      </c>
      <c r="D5" s="183" t="s">
        <v>332</v>
      </c>
      <c r="E5" s="203">
        <v>10</v>
      </c>
      <c r="F5" s="184">
        <f t="shared" si="0"/>
        <v>7400000</v>
      </c>
      <c r="G5" s="191">
        <f>IF(A5&lt;&gt;"", F5/ VLOOKUP(A5, '[1]Курс валют'!$A:$D, 4, 0), "")</f>
        <v>627.11864406779659</v>
      </c>
    </row>
    <row r="6" spans="1:7" outlineLevel="2" x14ac:dyDescent="0.45">
      <c r="A6" s="189">
        <v>45978</v>
      </c>
      <c r="B6" s="182" t="s">
        <v>330</v>
      </c>
      <c r="C6" s="183" t="s">
        <v>336</v>
      </c>
      <c r="D6" s="183" t="s">
        <v>332</v>
      </c>
      <c r="E6" s="203">
        <v>10</v>
      </c>
      <c r="F6" s="184">
        <f t="shared" si="0"/>
        <v>7400000</v>
      </c>
      <c r="G6" s="191">
        <f>IF(A6&lt;&gt;"", F6/ VLOOKUP(A6, '[1]Курс валют'!$A:$D, 4, 0), "")</f>
        <v>627.11864406779659</v>
      </c>
    </row>
    <row r="7" spans="1:7" outlineLevel="2" x14ac:dyDescent="0.45">
      <c r="A7" s="189">
        <v>45978</v>
      </c>
      <c r="B7" s="182" t="s">
        <v>330</v>
      </c>
      <c r="C7" s="183" t="s">
        <v>337</v>
      </c>
      <c r="D7" s="183" t="s">
        <v>332</v>
      </c>
      <c r="E7" s="203">
        <v>10</v>
      </c>
      <c r="F7" s="184">
        <f t="shared" si="0"/>
        <v>7400000</v>
      </c>
      <c r="G7" s="191">
        <f>IF(A7&lt;&gt;"", F7/ VLOOKUP(A7, '[1]Курс валют'!$A:$D, 4, 0), "")</f>
        <v>627.11864406779659</v>
      </c>
    </row>
    <row r="8" spans="1:7" outlineLevel="2" x14ac:dyDescent="0.45">
      <c r="A8" s="189">
        <v>45978</v>
      </c>
      <c r="B8" s="182" t="s">
        <v>330</v>
      </c>
      <c r="C8" s="183" t="s">
        <v>338</v>
      </c>
      <c r="D8" s="183" t="s">
        <v>332</v>
      </c>
      <c r="E8" s="203">
        <v>10</v>
      </c>
      <c r="F8" s="184">
        <f t="shared" si="0"/>
        <v>7400000</v>
      </c>
      <c r="G8" s="191">
        <f>IF(A8&lt;&gt;"", F8/ VLOOKUP(A8, '[1]Курс валют'!$A:$D, 4, 0), "")</f>
        <v>627.11864406779659</v>
      </c>
    </row>
    <row r="9" spans="1:7" outlineLevel="2" x14ac:dyDescent="0.45">
      <c r="A9" s="189">
        <v>45978</v>
      </c>
      <c r="B9" s="182" t="s">
        <v>330</v>
      </c>
      <c r="C9" s="183" t="s">
        <v>339</v>
      </c>
      <c r="D9" s="183" t="s">
        <v>332</v>
      </c>
      <c r="E9" s="203">
        <v>12</v>
      </c>
      <c r="F9" s="184">
        <f t="shared" si="0"/>
        <v>8880000</v>
      </c>
      <c r="G9" s="191">
        <f>IF(A9&lt;&gt;"", F9/ VLOOKUP(A9, '[1]Курс валют'!$A:$D, 4, 0), "")</f>
        <v>752.54237288135596</v>
      </c>
    </row>
    <row r="10" spans="1:7" outlineLevel="2" x14ac:dyDescent="0.45">
      <c r="A10" s="189">
        <v>45978</v>
      </c>
      <c r="B10" s="182" t="s">
        <v>330</v>
      </c>
      <c r="C10" s="183" t="s">
        <v>340</v>
      </c>
      <c r="D10" s="183" t="s">
        <v>332</v>
      </c>
      <c r="E10" s="203">
        <v>10</v>
      </c>
      <c r="F10" s="184">
        <f t="shared" si="0"/>
        <v>7400000</v>
      </c>
      <c r="G10" s="191">
        <f>IF(A10&lt;&gt;"", F10/ VLOOKUP(A10, '[1]Курс валют'!$A:$D, 4, 0), "")</f>
        <v>627.11864406779659</v>
      </c>
    </row>
    <row r="11" spans="1:7" outlineLevel="2" x14ac:dyDescent="0.45">
      <c r="A11" s="189">
        <v>45978</v>
      </c>
      <c r="B11" s="182" t="s">
        <v>330</v>
      </c>
      <c r="C11" s="183" t="s">
        <v>341</v>
      </c>
      <c r="D11" s="183" t="s">
        <v>332</v>
      </c>
      <c r="E11" s="203">
        <v>10</v>
      </c>
      <c r="F11" s="184">
        <f t="shared" si="0"/>
        <v>7400000</v>
      </c>
      <c r="G11" s="191">
        <f>IF(A11&lt;&gt;"", F11/ VLOOKUP(A11, '[1]Курс валют'!$A:$D, 4, 0), "")</f>
        <v>627.11864406779659</v>
      </c>
    </row>
    <row r="12" spans="1:7" outlineLevel="2" x14ac:dyDescent="0.45">
      <c r="A12" s="189">
        <v>45978</v>
      </c>
      <c r="B12" s="182" t="s">
        <v>330</v>
      </c>
      <c r="C12" s="183" t="s">
        <v>342</v>
      </c>
      <c r="D12" s="183" t="s">
        <v>332</v>
      </c>
      <c r="E12" s="203">
        <v>10</v>
      </c>
      <c r="F12" s="184">
        <f t="shared" si="0"/>
        <v>7400000</v>
      </c>
      <c r="G12" s="191">
        <f>IF(A12&lt;&gt;"", F12/ VLOOKUP(A12, '[1]Курс валют'!$A:$D, 4, 0), "")</f>
        <v>627.11864406779659</v>
      </c>
    </row>
    <row r="13" spans="1:7" outlineLevel="2" x14ac:dyDescent="0.45">
      <c r="A13" s="189">
        <v>45978</v>
      </c>
      <c r="B13" s="182" t="s">
        <v>330</v>
      </c>
      <c r="C13" s="183" t="s">
        <v>343</v>
      </c>
      <c r="D13" s="183" t="s">
        <v>332</v>
      </c>
      <c r="E13" s="203">
        <v>10</v>
      </c>
      <c r="F13" s="184">
        <f t="shared" si="0"/>
        <v>7400000</v>
      </c>
      <c r="G13" s="191">
        <f>IF(A13&lt;&gt;"", F13/ VLOOKUP(A13, '[1]Курс валют'!$A:$D, 4, 0), "")</f>
        <v>627.11864406779659</v>
      </c>
    </row>
    <row r="14" spans="1:7" outlineLevel="1" x14ac:dyDescent="0.45">
      <c r="A14" s="189" t="s">
        <v>344</v>
      </c>
      <c r="B14" s="182"/>
      <c r="C14" s="183"/>
      <c r="D14" s="183"/>
      <c r="E14" s="203">
        <f>SUBTOTAL(9,E2:E13)</f>
        <v>120</v>
      </c>
      <c r="F14" s="184">
        <f>SUBTOTAL(9,F2:F13)</f>
        <v>88800000</v>
      </c>
      <c r="G14" s="191"/>
    </row>
    <row r="15" spans="1:7" outlineLevel="2" x14ac:dyDescent="0.45">
      <c r="A15" s="189">
        <v>45990</v>
      </c>
      <c r="B15" s="182" t="s">
        <v>330</v>
      </c>
      <c r="C15" s="183" t="s">
        <v>345</v>
      </c>
      <c r="D15" s="183" t="s">
        <v>332</v>
      </c>
      <c r="E15" s="203">
        <v>8.5</v>
      </c>
      <c r="F15" s="184">
        <f t="shared" si="0"/>
        <v>6290000</v>
      </c>
      <c r="G15" s="191">
        <f>IF(A15&lt;&gt;"", F15/ VLOOKUP(A15, '[1]Курс валют'!$A:$D, 4, 0), "")</f>
        <v>542.24137931034488</v>
      </c>
    </row>
    <row r="16" spans="1:7" outlineLevel="1" x14ac:dyDescent="0.45">
      <c r="A16" s="189" t="s">
        <v>346</v>
      </c>
      <c r="B16" s="182"/>
      <c r="C16" s="183"/>
      <c r="D16" s="183"/>
      <c r="E16" s="203">
        <f>SUBTOTAL(9,E15:E15)</f>
        <v>8.5</v>
      </c>
      <c r="F16" s="184">
        <f>SUBTOTAL(9,F15:F15)</f>
        <v>6290000</v>
      </c>
      <c r="G16" s="191"/>
    </row>
    <row r="17" spans="1:7" outlineLevel="2" x14ac:dyDescent="0.45">
      <c r="A17" s="189">
        <v>46058</v>
      </c>
      <c r="B17" s="182" t="s">
        <v>330</v>
      </c>
      <c r="C17" s="183" t="s">
        <v>347</v>
      </c>
      <c r="D17" s="183" t="s">
        <v>348</v>
      </c>
      <c r="E17" s="203">
        <v>12</v>
      </c>
      <c r="F17" s="184">
        <f t="shared" si="0"/>
        <v>7200000</v>
      </c>
      <c r="G17" s="191">
        <f>IF(A17&lt;&gt;"", F17/ VLOOKUP(A17, '[1]Курс валют'!$A:$D, 4, 0), "")</f>
        <v>590.1639344262295</v>
      </c>
    </row>
    <row r="18" spans="1:7" outlineLevel="2" x14ac:dyDescent="0.45">
      <c r="A18" s="189">
        <v>46058</v>
      </c>
      <c r="B18" s="182" t="s">
        <v>330</v>
      </c>
      <c r="C18" s="183" t="s">
        <v>349</v>
      </c>
      <c r="D18" s="183" t="s">
        <v>348</v>
      </c>
      <c r="E18" s="203">
        <v>12</v>
      </c>
      <c r="F18" s="184">
        <f t="shared" si="0"/>
        <v>7200000</v>
      </c>
      <c r="G18" s="191">
        <f>IF(A18&lt;&gt;"", F18/ VLOOKUP(A18, '[1]Курс валют'!$A:$D, 4, 0), "")</f>
        <v>590.1639344262295</v>
      </c>
    </row>
    <row r="19" spans="1:7" outlineLevel="2" x14ac:dyDescent="0.45">
      <c r="A19" s="189">
        <v>46058</v>
      </c>
      <c r="B19" s="182" t="s">
        <v>330</v>
      </c>
      <c r="C19" s="183" t="s">
        <v>350</v>
      </c>
      <c r="D19" s="183" t="s">
        <v>348</v>
      </c>
      <c r="E19" s="203">
        <v>9</v>
      </c>
      <c r="F19" s="184">
        <f t="shared" si="0"/>
        <v>5400000</v>
      </c>
      <c r="G19" s="191">
        <f>IF(A19&lt;&gt;"", F19/ VLOOKUP(A19, '[1]Курс валют'!$A:$D, 4, 0), "")</f>
        <v>442.62295081967216</v>
      </c>
    </row>
    <row r="20" spans="1:7" outlineLevel="2" x14ac:dyDescent="0.45">
      <c r="A20" s="189">
        <v>46058</v>
      </c>
      <c r="B20" s="182" t="s">
        <v>330</v>
      </c>
      <c r="C20" s="183" t="s">
        <v>351</v>
      </c>
      <c r="D20" s="183" t="s">
        <v>348</v>
      </c>
      <c r="E20" s="203">
        <v>12</v>
      </c>
      <c r="F20" s="184">
        <f t="shared" si="0"/>
        <v>7200000</v>
      </c>
      <c r="G20" s="191">
        <f>IF(A20&lt;&gt;"", F20/ VLOOKUP(A20, '[1]Курс валют'!$A:$D, 4, 0), "")</f>
        <v>590.1639344262295</v>
      </c>
    </row>
    <row r="21" spans="1:7" outlineLevel="2" x14ac:dyDescent="0.45">
      <c r="A21" s="189">
        <v>46058</v>
      </c>
      <c r="B21" s="182" t="s">
        <v>330</v>
      </c>
      <c r="C21" s="183" t="s">
        <v>336</v>
      </c>
      <c r="D21" s="183" t="s">
        <v>348</v>
      </c>
      <c r="E21" s="203">
        <v>10</v>
      </c>
      <c r="F21" s="184">
        <f t="shared" si="0"/>
        <v>6000000</v>
      </c>
      <c r="G21" s="191">
        <f>IF(A21&lt;&gt;"", F21/ VLOOKUP(A21, '[1]Курс валют'!$A:$D, 4, 0), "")</f>
        <v>491.80327868852459</v>
      </c>
    </row>
    <row r="22" spans="1:7" outlineLevel="2" x14ac:dyDescent="0.45">
      <c r="A22" s="189">
        <v>46058</v>
      </c>
      <c r="B22" s="182" t="s">
        <v>330</v>
      </c>
      <c r="C22" s="183" t="s">
        <v>331</v>
      </c>
      <c r="D22" s="183" t="s">
        <v>348</v>
      </c>
      <c r="E22" s="203">
        <v>9</v>
      </c>
      <c r="F22" s="184">
        <f t="shared" si="0"/>
        <v>5400000</v>
      </c>
      <c r="G22" s="191">
        <f>IF(A22&lt;&gt;"", F22/ VLOOKUP(A22, '[1]Курс валют'!$A:$D, 4, 0), "")</f>
        <v>442.62295081967216</v>
      </c>
    </row>
    <row r="23" spans="1:7" outlineLevel="2" x14ac:dyDescent="0.45">
      <c r="A23" s="189">
        <v>46058</v>
      </c>
      <c r="B23" s="182" t="s">
        <v>330</v>
      </c>
      <c r="C23" s="183" t="s">
        <v>352</v>
      </c>
      <c r="D23" s="183" t="s">
        <v>348</v>
      </c>
      <c r="E23" s="203">
        <v>9</v>
      </c>
      <c r="F23" s="184">
        <f t="shared" si="0"/>
        <v>5400000</v>
      </c>
      <c r="G23" s="191">
        <f>IF(A23&lt;&gt;"", F23/ VLOOKUP(A23, '[1]Курс валют'!$A:$D, 4, 0), "")</f>
        <v>442.62295081967216</v>
      </c>
    </row>
    <row r="24" spans="1:7" outlineLevel="2" x14ac:dyDescent="0.45">
      <c r="A24" s="189">
        <v>46058</v>
      </c>
      <c r="B24" s="182" t="s">
        <v>330</v>
      </c>
      <c r="C24" s="183" t="s">
        <v>340</v>
      </c>
      <c r="D24" s="183" t="s">
        <v>348</v>
      </c>
      <c r="E24" s="203">
        <v>10</v>
      </c>
      <c r="F24" s="184">
        <f t="shared" si="0"/>
        <v>6000000</v>
      </c>
      <c r="G24" s="191">
        <f>IF(A24&lt;&gt;"", F24/ VLOOKUP(A24, '[1]Курс валют'!$A:$D, 4, 0), "")</f>
        <v>491.80327868852459</v>
      </c>
    </row>
    <row r="25" spans="1:7" outlineLevel="2" x14ac:dyDescent="0.45">
      <c r="A25" s="189">
        <v>46058</v>
      </c>
      <c r="B25" s="182" t="s">
        <v>330</v>
      </c>
      <c r="C25" s="183" t="s">
        <v>353</v>
      </c>
      <c r="D25" s="183" t="s">
        <v>348</v>
      </c>
      <c r="E25" s="203">
        <v>10</v>
      </c>
      <c r="F25" s="184">
        <f t="shared" si="0"/>
        <v>6000000</v>
      </c>
      <c r="G25" s="191">
        <f>IF(A25&lt;&gt;"", F25/ VLOOKUP(A25, '[1]Курс валют'!$A:$D, 4, 0), "")</f>
        <v>491.80327868852459</v>
      </c>
    </row>
    <row r="26" spans="1:7" outlineLevel="2" x14ac:dyDescent="0.45">
      <c r="A26" s="189">
        <v>46058</v>
      </c>
      <c r="B26" s="182" t="s">
        <v>330</v>
      </c>
      <c r="C26" s="183" t="s">
        <v>354</v>
      </c>
      <c r="D26" s="183" t="s">
        <v>348</v>
      </c>
      <c r="E26" s="203">
        <v>9</v>
      </c>
      <c r="F26" s="184">
        <f t="shared" si="0"/>
        <v>5400000</v>
      </c>
      <c r="G26" s="191">
        <f>IF(A26&lt;&gt;"", F26/ VLOOKUP(A26, '[1]Курс валют'!$A:$D, 4, 0), "")</f>
        <v>442.62295081967216</v>
      </c>
    </row>
    <row r="27" spans="1:7" outlineLevel="2" x14ac:dyDescent="0.45">
      <c r="A27" s="189">
        <v>46058</v>
      </c>
      <c r="B27" s="182" t="s">
        <v>330</v>
      </c>
      <c r="C27" s="183" t="s">
        <v>355</v>
      </c>
      <c r="D27" s="183" t="s">
        <v>348</v>
      </c>
      <c r="E27" s="203">
        <v>10</v>
      </c>
      <c r="F27" s="184">
        <f t="shared" si="0"/>
        <v>6000000</v>
      </c>
      <c r="G27" s="191">
        <f>IF(A27&lt;&gt;"", F27/ VLOOKUP(A27, '[1]Курс валют'!$A:$D, 4, 0), "")</f>
        <v>491.80327868852459</v>
      </c>
    </row>
    <row r="28" spans="1:7" outlineLevel="2" x14ac:dyDescent="0.45">
      <c r="A28" s="189">
        <v>46058</v>
      </c>
      <c r="B28" s="182" t="s">
        <v>330</v>
      </c>
      <c r="C28" s="183" t="s">
        <v>356</v>
      </c>
      <c r="D28" s="183" t="s">
        <v>348</v>
      </c>
      <c r="E28" s="203">
        <v>9</v>
      </c>
      <c r="F28" s="184">
        <f t="shared" si="0"/>
        <v>5400000</v>
      </c>
      <c r="G28" s="191">
        <f>IF(A28&lt;&gt;"", F28/ VLOOKUP(A28, '[1]Курс валют'!$A:$D, 4, 0), "")</f>
        <v>442.62295081967216</v>
      </c>
    </row>
    <row r="29" spans="1:7" outlineLevel="2" x14ac:dyDescent="0.45">
      <c r="A29" s="189">
        <v>46058</v>
      </c>
      <c r="B29" s="182" t="s">
        <v>330</v>
      </c>
      <c r="C29" s="183" t="s">
        <v>334</v>
      </c>
      <c r="D29" s="183" t="s">
        <v>348</v>
      </c>
      <c r="E29" s="203">
        <v>9</v>
      </c>
      <c r="F29" s="184">
        <f t="shared" si="0"/>
        <v>5400000</v>
      </c>
      <c r="G29" s="191">
        <f>IF(A29&lt;&gt;"", F29/ VLOOKUP(A29, '[1]Курс валют'!$A:$D, 4, 0), "")</f>
        <v>442.62295081967216</v>
      </c>
    </row>
    <row r="30" spans="1:7" outlineLevel="2" x14ac:dyDescent="0.45">
      <c r="A30" s="189">
        <v>46058</v>
      </c>
      <c r="B30" s="182" t="s">
        <v>330</v>
      </c>
      <c r="C30" s="183" t="s">
        <v>357</v>
      </c>
      <c r="D30" s="183" t="s">
        <v>348</v>
      </c>
      <c r="E30" s="203">
        <v>9</v>
      </c>
      <c r="F30" s="184">
        <f t="shared" si="0"/>
        <v>5400000</v>
      </c>
      <c r="G30" s="191">
        <f>IF(A30&lt;&gt;"", F30/ VLOOKUP(A30, '[1]Курс валют'!$A:$D, 4, 0), "")</f>
        <v>442.62295081967216</v>
      </c>
    </row>
    <row r="31" spans="1:7" outlineLevel="2" x14ac:dyDescent="0.45">
      <c r="A31" s="189">
        <v>46058</v>
      </c>
      <c r="B31" s="182" t="s">
        <v>330</v>
      </c>
      <c r="C31" s="183" t="s">
        <v>345</v>
      </c>
      <c r="D31" s="183" t="s">
        <v>348</v>
      </c>
      <c r="E31" s="203">
        <v>10</v>
      </c>
      <c r="F31" s="184">
        <f t="shared" si="0"/>
        <v>6000000</v>
      </c>
      <c r="G31" s="191">
        <f>IF(A31&lt;&gt;"", F31/ VLOOKUP(A31, '[1]Курс валют'!$A:$D, 4, 0), "")</f>
        <v>491.80327868852459</v>
      </c>
    </row>
    <row r="32" spans="1:7" outlineLevel="2" x14ac:dyDescent="0.45">
      <c r="A32" s="189">
        <v>46058</v>
      </c>
      <c r="B32" s="182" t="s">
        <v>330</v>
      </c>
      <c r="C32" s="183" t="s">
        <v>358</v>
      </c>
      <c r="D32" s="183" t="s">
        <v>348</v>
      </c>
      <c r="E32" s="203">
        <v>9</v>
      </c>
      <c r="F32" s="184">
        <f t="shared" si="0"/>
        <v>5400000</v>
      </c>
      <c r="G32" s="191">
        <f>IF(A32&lt;&gt;"", F32/ VLOOKUP(A32, '[1]Курс валют'!$A:$D, 4, 0), "")</f>
        <v>442.62295081967216</v>
      </c>
    </row>
    <row r="33" spans="1:7" outlineLevel="2" x14ac:dyDescent="0.45">
      <c r="A33" s="189">
        <v>46058</v>
      </c>
      <c r="B33" s="182" t="s">
        <v>330</v>
      </c>
      <c r="C33" s="183" t="s">
        <v>359</v>
      </c>
      <c r="D33" s="183" t="s">
        <v>348</v>
      </c>
      <c r="E33" s="203">
        <v>12</v>
      </c>
      <c r="F33" s="184">
        <f t="shared" si="0"/>
        <v>7200000</v>
      </c>
      <c r="G33" s="191">
        <f>IF(A33&lt;&gt;"", F33/ VLOOKUP(A33, '[1]Курс валют'!$A:$D, 4, 0), "")</f>
        <v>590.1639344262295</v>
      </c>
    </row>
    <row r="34" spans="1:7" outlineLevel="2" x14ac:dyDescent="0.45">
      <c r="A34" s="189">
        <v>46058</v>
      </c>
      <c r="B34" s="182" t="s">
        <v>330</v>
      </c>
      <c r="C34" s="183" t="s">
        <v>360</v>
      </c>
      <c r="D34" s="183" t="s">
        <v>348</v>
      </c>
      <c r="E34" s="203">
        <v>9</v>
      </c>
      <c r="F34" s="184">
        <f t="shared" si="0"/>
        <v>5400000</v>
      </c>
      <c r="G34" s="191">
        <f>IF(A34&lt;&gt;"", F34/ VLOOKUP(A34, '[1]Курс валют'!$A:$D, 4, 0), "")</f>
        <v>442.62295081967216</v>
      </c>
    </row>
    <row r="35" spans="1:7" outlineLevel="2" x14ac:dyDescent="0.45">
      <c r="A35" s="189">
        <v>46058</v>
      </c>
      <c r="B35" s="182" t="s">
        <v>330</v>
      </c>
      <c r="C35" s="183" t="s">
        <v>361</v>
      </c>
      <c r="D35" s="183" t="s">
        <v>348</v>
      </c>
      <c r="E35" s="203">
        <v>9</v>
      </c>
      <c r="F35" s="184">
        <f t="shared" si="0"/>
        <v>5400000</v>
      </c>
      <c r="G35" s="191">
        <f>IF(A35&lt;&gt;"", F35/ VLOOKUP(A35, '[1]Курс валют'!$A:$D, 4, 0), "")</f>
        <v>442.62295081967216</v>
      </c>
    </row>
    <row r="36" spans="1:7" outlineLevel="2" x14ac:dyDescent="0.45">
      <c r="A36" s="189">
        <v>46058</v>
      </c>
      <c r="B36" s="182" t="s">
        <v>330</v>
      </c>
      <c r="C36" s="183" t="s">
        <v>362</v>
      </c>
      <c r="D36" s="183" t="s">
        <v>348</v>
      </c>
      <c r="E36" s="203">
        <v>9</v>
      </c>
      <c r="F36" s="184">
        <f t="shared" si="0"/>
        <v>5400000</v>
      </c>
      <c r="G36" s="191">
        <f>IF(A36&lt;&gt;"", F36/ VLOOKUP(A36, '[1]Курс валют'!$A:$D, 4, 0), "")</f>
        <v>442.62295081967216</v>
      </c>
    </row>
    <row r="37" spans="1:7" outlineLevel="2" x14ac:dyDescent="0.45">
      <c r="A37" s="189">
        <v>46058</v>
      </c>
      <c r="B37" s="182" t="s">
        <v>330</v>
      </c>
      <c r="C37" s="183" t="s">
        <v>363</v>
      </c>
      <c r="D37" s="183" t="s">
        <v>348</v>
      </c>
      <c r="E37" s="203">
        <v>10</v>
      </c>
      <c r="F37" s="184">
        <f t="shared" si="0"/>
        <v>6000000</v>
      </c>
      <c r="G37" s="191">
        <f>IF(A37&lt;&gt;"", F37/ VLOOKUP(A37, '[1]Курс валют'!$A:$D, 4, 0), "")</f>
        <v>491.80327868852459</v>
      </c>
    </row>
    <row r="38" spans="1:7" outlineLevel="2" x14ac:dyDescent="0.45">
      <c r="A38" s="189">
        <v>46058</v>
      </c>
      <c r="B38" s="182" t="s">
        <v>330</v>
      </c>
      <c r="C38" s="183" t="s">
        <v>364</v>
      </c>
      <c r="D38" s="183" t="s">
        <v>348</v>
      </c>
      <c r="E38" s="203">
        <v>12</v>
      </c>
      <c r="F38" s="184">
        <f t="shared" si="0"/>
        <v>7200000</v>
      </c>
      <c r="G38" s="191">
        <f>IF(A38&lt;&gt;"", F38/ VLOOKUP(A38, '[1]Курс валют'!$A:$D, 4, 0), "")</f>
        <v>590.1639344262295</v>
      </c>
    </row>
    <row r="39" spans="1:7" outlineLevel="2" x14ac:dyDescent="0.45">
      <c r="A39" s="189">
        <v>46058</v>
      </c>
      <c r="B39" s="182" t="s">
        <v>330</v>
      </c>
      <c r="C39" s="183" t="s">
        <v>365</v>
      </c>
      <c r="D39" s="183" t="s">
        <v>348</v>
      </c>
      <c r="E39" s="203">
        <v>10</v>
      </c>
      <c r="F39" s="184">
        <f t="shared" si="0"/>
        <v>6000000</v>
      </c>
      <c r="G39" s="191">
        <f>IF(A39&lt;&gt;"", F39/ VLOOKUP(A39, '[1]Курс валют'!$A:$D, 4, 0), "")</f>
        <v>491.80327868852459</v>
      </c>
    </row>
    <row r="40" spans="1:7" outlineLevel="2" x14ac:dyDescent="0.45">
      <c r="A40" s="189">
        <v>46058</v>
      </c>
      <c r="B40" s="182" t="s">
        <v>330</v>
      </c>
      <c r="C40" s="183" t="s">
        <v>366</v>
      </c>
      <c r="D40" s="183" t="s">
        <v>348</v>
      </c>
      <c r="E40" s="203">
        <v>10</v>
      </c>
      <c r="F40" s="184">
        <f t="shared" si="0"/>
        <v>6000000</v>
      </c>
      <c r="G40" s="191">
        <f>IF(A40&lt;&gt;"", F40/ VLOOKUP(A40, '[1]Курс валют'!$A:$D, 4, 0), "")</f>
        <v>491.80327868852459</v>
      </c>
    </row>
    <row r="41" spans="1:7" outlineLevel="2" x14ac:dyDescent="0.45">
      <c r="A41" s="189">
        <v>46058</v>
      </c>
      <c r="B41" s="182" t="s">
        <v>330</v>
      </c>
      <c r="C41" s="183" t="s">
        <v>367</v>
      </c>
      <c r="D41" s="183" t="s">
        <v>348</v>
      </c>
      <c r="E41" s="203">
        <v>10</v>
      </c>
      <c r="F41" s="184">
        <f t="shared" si="0"/>
        <v>6000000</v>
      </c>
      <c r="G41" s="191">
        <f>IF(A41&lt;&gt;"", F41/ VLOOKUP(A41, '[1]Курс валют'!$A:$D, 4, 0), "")</f>
        <v>491.80327868852459</v>
      </c>
    </row>
    <row r="42" spans="1:7" outlineLevel="2" x14ac:dyDescent="0.45">
      <c r="A42" s="189">
        <v>46058</v>
      </c>
      <c r="B42" s="182" t="s">
        <v>330</v>
      </c>
      <c r="C42" s="183" t="s">
        <v>331</v>
      </c>
      <c r="D42" s="183" t="s">
        <v>348</v>
      </c>
      <c r="E42" s="203">
        <v>9</v>
      </c>
      <c r="F42" s="184">
        <f t="shared" si="0"/>
        <v>5400000</v>
      </c>
      <c r="G42" s="191">
        <f>IF(A42&lt;&gt;"", F42/ VLOOKUP(A42, '[1]Курс валют'!$A:$D, 4, 0), "")</f>
        <v>442.62295081967216</v>
      </c>
    </row>
    <row r="43" spans="1:7" outlineLevel="2" x14ac:dyDescent="0.45">
      <c r="A43" s="189">
        <v>46058</v>
      </c>
      <c r="B43" s="182" t="s">
        <v>330</v>
      </c>
      <c r="C43" s="183" t="s">
        <v>336</v>
      </c>
      <c r="D43" s="183" t="s">
        <v>348</v>
      </c>
      <c r="E43" s="203">
        <v>10</v>
      </c>
      <c r="F43" s="184">
        <f t="shared" si="0"/>
        <v>6000000</v>
      </c>
      <c r="G43" s="191">
        <f>IF(A43&lt;&gt;"", F43/ VLOOKUP(A43, '[1]Курс валют'!$A:$D, 4, 0), "")</f>
        <v>491.80327868852459</v>
      </c>
    </row>
    <row r="44" spans="1:7" outlineLevel="2" x14ac:dyDescent="0.45">
      <c r="A44" s="189">
        <v>46058</v>
      </c>
      <c r="B44" s="182" t="s">
        <v>330</v>
      </c>
      <c r="C44" s="183" t="s">
        <v>352</v>
      </c>
      <c r="D44" s="183" t="s">
        <v>348</v>
      </c>
      <c r="E44" s="203">
        <v>9</v>
      </c>
      <c r="F44" s="184">
        <f t="shared" si="0"/>
        <v>5400000</v>
      </c>
      <c r="G44" s="191">
        <f>IF(A44&lt;&gt;"", F44/ VLOOKUP(A44, '[1]Курс валют'!$A:$D, 4, 0), "")</f>
        <v>442.62295081967216</v>
      </c>
    </row>
    <row r="45" spans="1:7" outlineLevel="2" x14ac:dyDescent="0.45">
      <c r="A45" s="189">
        <v>46058</v>
      </c>
      <c r="B45" s="182" t="s">
        <v>330</v>
      </c>
      <c r="C45" s="183" t="s">
        <v>341</v>
      </c>
      <c r="D45" s="183" t="s">
        <v>348</v>
      </c>
      <c r="E45" s="203">
        <v>11</v>
      </c>
      <c r="F45" s="184">
        <f t="shared" si="0"/>
        <v>6600000</v>
      </c>
      <c r="G45" s="191">
        <f>IF(A45&lt;&gt;"", F45/ VLOOKUP(A45, '[1]Курс валют'!$A:$D, 4, 0), "")</f>
        <v>540.98360655737702</v>
      </c>
    </row>
    <row r="46" spans="1:7" outlineLevel="2" x14ac:dyDescent="0.45">
      <c r="A46" s="189">
        <v>46058</v>
      </c>
      <c r="B46" s="182" t="s">
        <v>330</v>
      </c>
      <c r="C46" s="183" t="s">
        <v>349</v>
      </c>
      <c r="D46" s="183" t="s">
        <v>348</v>
      </c>
      <c r="E46" s="203">
        <v>12</v>
      </c>
      <c r="F46" s="184">
        <f t="shared" si="0"/>
        <v>7200000</v>
      </c>
      <c r="G46" s="191">
        <f>IF(A46&lt;&gt;"", F46/ VLOOKUP(A46, '[1]Курс валют'!$A:$D, 4, 0), "")</f>
        <v>590.1639344262295</v>
      </c>
    </row>
    <row r="47" spans="1:7" outlineLevel="2" x14ac:dyDescent="0.45">
      <c r="A47" s="189">
        <v>46058</v>
      </c>
      <c r="B47" s="182" t="s">
        <v>330</v>
      </c>
      <c r="C47" s="183" t="s">
        <v>355</v>
      </c>
      <c r="D47" s="183" t="s">
        <v>348</v>
      </c>
      <c r="E47" s="203">
        <v>10</v>
      </c>
      <c r="F47" s="184">
        <f t="shared" si="0"/>
        <v>6000000</v>
      </c>
      <c r="G47" s="191">
        <f>IF(A47&lt;&gt;"", F47/ VLOOKUP(A47, '[1]Курс валют'!$A:$D, 4, 0), "")</f>
        <v>491.80327868852459</v>
      </c>
    </row>
    <row r="48" spans="1:7" outlineLevel="1" x14ac:dyDescent="0.45">
      <c r="A48" s="189" t="s">
        <v>368</v>
      </c>
      <c r="B48" s="182"/>
      <c r="C48" s="183"/>
      <c r="D48" s="183"/>
      <c r="E48" s="203">
        <f>SUBTOTAL(9,E17:E47)</f>
        <v>310</v>
      </c>
      <c r="F48" s="184">
        <f>SUBTOTAL(9,F17:F47)</f>
        <v>186000000</v>
      </c>
      <c r="G48" s="191"/>
    </row>
    <row r="49" spans="1:7" outlineLevel="2" x14ac:dyDescent="0.45">
      <c r="A49" s="189">
        <v>46067</v>
      </c>
      <c r="B49" s="182" t="s">
        <v>330</v>
      </c>
      <c r="C49" s="183" t="s">
        <v>365</v>
      </c>
      <c r="D49" s="183" t="s">
        <v>369</v>
      </c>
      <c r="E49" s="203">
        <v>10</v>
      </c>
      <c r="F49" s="184">
        <f t="shared" si="0"/>
        <v>6700000</v>
      </c>
      <c r="G49" s="191">
        <f>IF(A49&lt;&gt;"", F49/ VLOOKUP(A49, '[1]Курс валют'!$A:$D, 4, 0), "")</f>
        <v>550.08210180623973</v>
      </c>
    </row>
    <row r="50" spans="1:7" outlineLevel="2" x14ac:dyDescent="0.45">
      <c r="A50" s="189">
        <v>46067</v>
      </c>
      <c r="B50" s="182" t="s">
        <v>330</v>
      </c>
      <c r="C50" s="183" t="s">
        <v>367</v>
      </c>
      <c r="D50" s="183" t="s">
        <v>369</v>
      </c>
      <c r="E50" s="203">
        <v>10</v>
      </c>
      <c r="F50" s="184">
        <f t="shared" si="0"/>
        <v>6700000</v>
      </c>
      <c r="G50" s="191">
        <f>IF(A50&lt;&gt;"", F50/ VLOOKUP(A50, '[1]Курс валют'!$A:$D, 4, 0), "")</f>
        <v>550.08210180623973</v>
      </c>
    </row>
    <row r="51" spans="1:7" outlineLevel="2" x14ac:dyDescent="0.45">
      <c r="A51" s="189">
        <v>46067</v>
      </c>
      <c r="B51" s="182" t="s">
        <v>330</v>
      </c>
      <c r="C51" s="183" t="s">
        <v>336</v>
      </c>
      <c r="D51" s="183" t="s">
        <v>369</v>
      </c>
      <c r="E51" s="203">
        <v>10</v>
      </c>
      <c r="F51" s="184">
        <f t="shared" si="0"/>
        <v>6700000</v>
      </c>
      <c r="G51" s="191">
        <f>IF(A51&lt;&gt;"", F51/ VLOOKUP(A51, '[1]Курс валют'!$A:$D, 4, 0), "")</f>
        <v>550.08210180623973</v>
      </c>
    </row>
    <row r="52" spans="1:7" outlineLevel="2" x14ac:dyDescent="0.45">
      <c r="A52" s="189">
        <v>46067</v>
      </c>
      <c r="B52" s="182" t="s">
        <v>330</v>
      </c>
      <c r="C52" s="183" t="s">
        <v>347</v>
      </c>
      <c r="D52" s="183" t="s">
        <v>369</v>
      </c>
      <c r="E52" s="203">
        <v>12</v>
      </c>
      <c r="F52" s="184">
        <f t="shared" si="0"/>
        <v>8040000</v>
      </c>
      <c r="G52" s="191">
        <f>IF(A52&lt;&gt;"", F52/ VLOOKUP(A52, '[1]Курс валют'!$A:$D, 4, 0), "")</f>
        <v>660.09852216748766</v>
      </c>
    </row>
    <row r="53" spans="1:7" outlineLevel="2" x14ac:dyDescent="0.45">
      <c r="A53" s="189">
        <v>46067</v>
      </c>
      <c r="B53" s="182" t="s">
        <v>330</v>
      </c>
      <c r="C53" s="183" t="s">
        <v>349</v>
      </c>
      <c r="D53" s="183" t="s">
        <v>369</v>
      </c>
      <c r="E53" s="203">
        <v>12</v>
      </c>
      <c r="F53" s="184">
        <f t="shared" si="0"/>
        <v>8040000</v>
      </c>
      <c r="G53" s="191">
        <f>IF(A53&lt;&gt;"", F53/ VLOOKUP(A53, '[1]Курс валют'!$A:$D, 4, 0), "")</f>
        <v>660.09852216748766</v>
      </c>
    </row>
    <row r="54" spans="1:7" outlineLevel="2" x14ac:dyDescent="0.45">
      <c r="A54" s="189">
        <v>46067</v>
      </c>
      <c r="B54" s="182" t="s">
        <v>330</v>
      </c>
      <c r="C54" s="183" t="s">
        <v>345</v>
      </c>
      <c r="D54" s="183" t="s">
        <v>369</v>
      </c>
      <c r="E54" s="203">
        <v>10</v>
      </c>
      <c r="F54" s="184">
        <f t="shared" si="0"/>
        <v>6700000</v>
      </c>
      <c r="G54" s="191">
        <f>IF(A54&lt;&gt;"", F54/ VLOOKUP(A54, '[1]Курс валют'!$A:$D, 4, 0), "")</f>
        <v>550.08210180623973</v>
      </c>
    </row>
    <row r="55" spans="1:7" outlineLevel="2" x14ac:dyDescent="0.45">
      <c r="A55" s="189">
        <v>46067</v>
      </c>
      <c r="B55" s="182" t="s">
        <v>330</v>
      </c>
      <c r="C55" s="183" t="s">
        <v>352</v>
      </c>
      <c r="D55" s="183" t="s">
        <v>369</v>
      </c>
      <c r="E55" s="203">
        <v>9</v>
      </c>
      <c r="F55" s="184">
        <f t="shared" si="0"/>
        <v>6030000</v>
      </c>
      <c r="G55" s="191">
        <f>IF(A55&lt;&gt;"", F55/ VLOOKUP(A55, '[1]Курс валют'!$A:$D, 4, 0), "")</f>
        <v>495.07389162561577</v>
      </c>
    </row>
    <row r="56" spans="1:7" outlineLevel="2" x14ac:dyDescent="0.45">
      <c r="A56" s="189">
        <v>46067</v>
      </c>
      <c r="B56" s="182" t="s">
        <v>330</v>
      </c>
      <c r="C56" s="183" t="s">
        <v>370</v>
      </c>
      <c r="D56" s="183" t="s">
        <v>369</v>
      </c>
      <c r="E56" s="203">
        <v>9</v>
      </c>
      <c r="F56" s="184">
        <f t="shared" si="0"/>
        <v>6030000</v>
      </c>
      <c r="G56" s="191">
        <f>IF(A56&lt;&gt;"", F56/ VLOOKUP(A56, '[1]Курс валют'!$A:$D, 4, 0), "")</f>
        <v>495.07389162561577</v>
      </c>
    </row>
    <row r="57" spans="1:7" outlineLevel="2" x14ac:dyDescent="0.45">
      <c r="A57" s="189">
        <v>46067</v>
      </c>
      <c r="B57" s="182" t="s">
        <v>330</v>
      </c>
      <c r="C57" s="183" t="s">
        <v>331</v>
      </c>
      <c r="D57" s="183" t="s">
        <v>369</v>
      </c>
      <c r="E57" s="203">
        <v>9</v>
      </c>
      <c r="F57" s="184">
        <f t="shared" si="0"/>
        <v>6030000</v>
      </c>
      <c r="G57" s="191">
        <f>IF(A57&lt;&gt;"", F57/ VLOOKUP(A57, '[1]Курс валют'!$A:$D, 4, 0), "")</f>
        <v>495.07389162561577</v>
      </c>
    </row>
    <row r="58" spans="1:7" outlineLevel="2" x14ac:dyDescent="0.45">
      <c r="A58" s="189">
        <v>46067</v>
      </c>
      <c r="B58" s="182" t="s">
        <v>330</v>
      </c>
      <c r="C58" s="183" t="s">
        <v>339</v>
      </c>
      <c r="D58" s="183" t="s">
        <v>369</v>
      </c>
      <c r="E58" s="203">
        <v>12</v>
      </c>
      <c r="F58" s="184">
        <f t="shared" si="0"/>
        <v>8040000</v>
      </c>
      <c r="G58" s="191">
        <f>IF(A58&lt;&gt;"", F58/ VLOOKUP(A58, '[1]Курс валют'!$A:$D, 4, 0), "")</f>
        <v>660.09852216748766</v>
      </c>
    </row>
    <row r="59" spans="1:7" outlineLevel="2" x14ac:dyDescent="0.45">
      <c r="A59" s="189">
        <v>46067</v>
      </c>
      <c r="B59" s="182" t="s">
        <v>330</v>
      </c>
      <c r="C59" s="183" t="s">
        <v>343</v>
      </c>
      <c r="D59" s="183" t="s">
        <v>369</v>
      </c>
      <c r="E59" s="203">
        <v>12</v>
      </c>
      <c r="F59" s="184">
        <f t="shared" si="0"/>
        <v>8040000</v>
      </c>
      <c r="G59" s="191">
        <f>IF(A59&lt;&gt;"", F59/ VLOOKUP(A59, '[1]Курс валют'!$A:$D, 4, 0), "")</f>
        <v>660.09852216748766</v>
      </c>
    </row>
    <row r="60" spans="1:7" outlineLevel="2" x14ac:dyDescent="0.45">
      <c r="A60" s="189">
        <v>46067</v>
      </c>
      <c r="B60" s="182" t="s">
        <v>330</v>
      </c>
      <c r="C60" s="183" t="s">
        <v>350</v>
      </c>
      <c r="D60" s="183" t="s">
        <v>369</v>
      </c>
      <c r="E60" s="203">
        <v>9</v>
      </c>
      <c r="F60" s="184">
        <f t="shared" si="0"/>
        <v>6030000</v>
      </c>
      <c r="G60" s="191">
        <f>IF(A60&lt;&gt;"", F60/ VLOOKUP(A60, '[1]Курс валют'!$A:$D, 4, 0), "")</f>
        <v>495.07389162561577</v>
      </c>
    </row>
    <row r="61" spans="1:7" outlineLevel="2" x14ac:dyDescent="0.45">
      <c r="A61" s="189">
        <v>46067</v>
      </c>
      <c r="B61" s="182" t="s">
        <v>330</v>
      </c>
      <c r="C61" s="183" t="s">
        <v>352</v>
      </c>
      <c r="D61" s="183" t="s">
        <v>369</v>
      </c>
      <c r="E61" s="203">
        <v>9</v>
      </c>
      <c r="F61" s="184">
        <f t="shared" si="0"/>
        <v>6030000</v>
      </c>
      <c r="G61" s="191">
        <f>IF(A61&lt;&gt;"", F61/ VLOOKUP(A61, '[1]Курс валют'!$A:$D, 4, 0), "")</f>
        <v>495.07389162561577</v>
      </c>
    </row>
    <row r="62" spans="1:7" outlineLevel="2" x14ac:dyDescent="0.45">
      <c r="A62" s="189">
        <v>46067</v>
      </c>
      <c r="B62" s="182" t="s">
        <v>330</v>
      </c>
      <c r="C62" s="183" t="s">
        <v>336</v>
      </c>
      <c r="D62" s="183" t="s">
        <v>369</v>
      </c>
      <c r="E62" s="203">
        <v>10</v>
      </c>
      <c r="F62" s="184">
        <f t="shared" si="0"/>
        <v>6700000</v>
      </c>
      <c r="G62" s="191">
        <f>IF(A62&lt;&gt;"", F62/ VLOOKUP(A62, '[1]Курс валют'!$A:$D, 4, 0), "")</f>
        <v>550.08210180623973</v>
      </c>
    </row>
    <row r="63" spans="1:7" outlineLevel="2" x14ac:dyDescent="0.45">
      <c r="A63" s="189">
        <v>46067</v>
      </c>
      <c r="B63" s="182" t="s">
        <v>330</v>
      </c>
      <c r="C63" s="183" t="s">
        <v>358</v>
      </c>
      <c r="D63" s="183" t="s">
        <v>369</v>
      </c>
      <c r="E63" s="203">
        <v>9</v>
      </c>
      <c r="F63" s="184">
        <f t="shared" si="0"/>
        <v>6030000</v>
      </c>
      <c r="G63" s="191">
        <f>IF(A63&lt;&gt;"", F63/ VLOOKUP(A63, '[1]Курс валют'!$A:$D, 4, 0), "")</f>
        <v>495.07389162561577</v>
      </c>
    </row>
    <row r="64" spans="1:7" outlineLevel="2" x14ac:dyDescent="0.45">
      <c r="A64" s="189">
        <v>46067</v>
      </c>
      <c r="B64" s="182" t="s">
        <v>330</v>
      </c>
      <c r="C64" s="183" t="s">
        <v>354</v>
      </c>
      <c r="D64" s="183" t="s">
        <v>369</v>
      </c>
      <c r="E64" s="203">
        <v>9</v>
      </c>
      <c r="F64" s="184">
        <f t="shared" si="0"/>
        <v>6030000</v>
      </c>
      <c r="G64" s="191">
        <f>IF(A64&lt;&gt;"", F64/ VLOOKUP(A64, '[1]Курс валют'!$A:$D, 4, 0), "")</f>
        <v>495.07389162561577</v>
      </c>
    </row>
    <row r="65" spans="1:7" outlineLevel="2" x14ac:dyDescent="0.45">
      <c r="A65" s="189">
        <v>46067</v>
      </c>
      <c r="B65" s="182" t="s">
        <v>330</v>
      </c>
      <c r="C65" s="183" t="s">
        <v>371</v>
      </c>
      <c r="D65" s="183" t="s">
        <v>369</v>
      </c>
      <c r="E65" s="203">
        <v>9</v>
      </c>
      <c r="F65" s="184">
        <f t="shared" si="0"/>
        <v>6030000</v>
      </c>
      <c r="G65" s="191">
        <f>IF(A65&lt;&gt;"", F65/ VLOOKUP(A65, '[1]Курс валют'!$A:$D, 4, 0), "")</f>
        <v>495.07389162561577</v>
      </c>
    </row>
    <row r="66" spans="1:7" outlineLevel="2" x14ac:dyDescent="0.45">
      <c r="A66" s="189">
        <v>46067</v>
      </c>
      <c r="B66" s="182" t="s">
        <v>330</v>
      </c>
      <c r="C66" s="183" t="s">
        <v>334</v>
      </c>
      <c r="D66" s="183" t="s">
        <v>369</v>
      </c>
      <c r="E66" s="203">
        <v>9</v>
      </c>
      <c r="F66" s="184">
        <f t="shared" si="0"/>
        <v>6030000</v>
      </c>
      <c r="G66" s="191">
        <f>IF(A66&lt;&gt;"", F66/ VLOOKUP(A66, '[1]Курс валют'!$A:$D, 4, 0), "")</f>
        <v>495.07389162561577</v>
      </c>
    </row>
    <row r="67" spans="1:7" outlineLevel="2" x14ac:dyDescent="0.45">
      <c r="A67" s="189">
        <v>46067</v>
      </c>
      <c r="B67" s="182" t="s">
        <v>330</v>
      </c>
      <c r="C67" s="183" t="s">
        <v>355</v>
      </c>
      <c r="D67" s="183" t="s">
        <v>369</v>
      </c>
      <c r="E67" s="203">
        <v>10</v>
      </c>
      <c r="F67" s="184">
        <f t="shared" ref="F67:F130" si="1">IF(D67="М400", E67*740000, IF(D67="M150", E67*600000, IF(D67="M300", E67*670000, IF(D67="M350", E67*700000, 0))))</f>
        <v>6700000</v>
      </c>
      <c r="G67" s="191">
        <f>IF(A67&lt;&gt;"", F67/ VLOOKUP(A67, '[1]Курс валют'!$A:$D, 4, 0), "")</f>
        <v>550.08210180623973</v>
      </c>
    </row>
    <row r="68" spans="1:7" outlineLevel="2" x14ac:dyDescent="0.45">
      <c r="A68" s="189">
        <v>46067</v>
      </c>
      <c r="B68" s="182" t="s">
        <v>330</v>
      </c>
      <c r="C68" s="183" t="s">
        <v>364</v>
      </c>
      <c r="D68" s="183" t="s">
        <v>369</v>
      </c>
      <c r="E68" s="203">
        <v>12</v>
      </c>
      <c r="F68" s="184">
        <f t="shared" si="1"/>
        <v>8040000</v>
      </c>
      <c r="G68" s="191">
        <f>IF(A68&lt;&gt;"", F68/ VLOOKUP(A68, '[1]Курс валют'!$A:$D, 4, 0), "")</f>
        <v>660.09852216748766</v>
      </c>
    </row>
    <row r="69" spans="1:7" outlineLevel="2" x14ac:dyDescent="0.45">
      <c r="A69" s="189">
        <v>46067</v>
      </c>
      <c r="B69" s="182" t="s">
        <v>330</v>
      </c>
      <c r="C69" s="183" t="s">
        <v>337</v>
      </c>
      <c r="D69" s="183" t="s">
        <v>369</v>
      </c>
      <c r="E69" s="203">
        <v>10</v>
      </c>
      <c r="F69" s="184">
        <f t="shared" si="1"/>
        <v>6700000</v>
      </c>
      <c r="G69" s="191">
        <f>IF(A69&lt;&gt;"", F69/ VLOOKUP(A69, '[1]Курс валют'!$A:$D, 4, 0), "")</f>
        <v>550.08210180623973</v>
      </c>
    </row>
    <row r="70" spans="1:7" outlineLevel="2" x14ac:dyDescent="0.45">
      <c r="A70" s="189">
        <v>46067</v>
      </c>
      <c r="B70" s="182" t="s">
        <v>330</v>
      </c>
      <c r="C70" s="183" t="s">
        <v>345</v>
      </c>
      <c r="D70" s="183" t="s">
        <v>369</v>
      </c>
      <c r="E70" s="203">
        <v>10</v>
      </c>
      <c r="F70" s="184">
        <f t="shared" si="1"/>
        <v>6700000</v>
      </c>
      <c r="G70" s="191">
        <f>IF(A70&lt;&gt;"", F70/ VLOOKUP(A70, '[1]Курс валют'!$A:$D, 4, 0), "")</f>
        <v>550.08210180623973</v>
      </c>
    </row>
    <row r="71" spans="1:7" outlineLevel="2" x14ac:dyDescent="0.45">
      <c r="A71" s="189">
        <v>46067</v>
      </c>
      <c r="B71" s="182" t="s">
        <v>330</v>
      </c>
      <c r="C71" s="183" t="s">
        <v>335</v>
      </c>
      <c r="D71" s="183" t="s">
        <v>369</v>
      </c>
      <c r="E71" s="203">
        <v>10</v>
      </c>
      <c r="F71" s="184">
        <f t="shared" si="1"/>
        <v>6700000</v>
      </c>
      <c r="G71" s="191">
        <f>IF(A71&lt;&gt;"", F71/ VLOOKUP(A71, '[1]Курс валют'!$A:$D, 4, 0), "")</f>
        <v>550.08210180623973</v>
      </c>
    </row>
    <row r="72" spans="1:7" outlineLevel="2" x14ac:dyDescent="0.45">
      <c r="A72" s="189">
        <v>46067</v>
      </c>
      <c r="B72" s="182" t="s">
        <v>330</v>
      </c>
      <c r="C72" s="183" t="s">
        <v>372</v>
      </c>
      <c r="D72" s="183" t="s">
        <v>369</v>
      </c>
      <c r="E72" s="203">
        <v>9</v>
      </c>
      <c r="F72" s="184">
        <f t="shared" si="1"/>
        <v>6030000</v>
      </c>
      <c r="G72" s="191">
        <f>IF(A72&lt;&gt;"", F72/ VLOOKUP(A72, '[1]Курс валют'!$A:$D, 4, 0), "")</f>
        <v>495.07389162561577</v>
      </c>
    </row>
    <row r="73" spans="1:7" outlineLevel="2" x14ac:dyDescent="0.45">
      <c r="A73" s="189">
        <v>46067</v>
      </c>
      <c r="B73" s="182" t="s">
        <v>330</v>
      </c>
      <c r="C73" s="183" t="s">
        <v>363</v>
      </c>
      <c r="D73" s="183" t="s">
        <v>369</v>
      </c>
      <c r="E73" s="203">
        <v>10</v>
      </c>
      <c r="F73" s="184">
        <f t="shared" si="1"/>
        <v>6700000</v>
      </c>
      <c r="G73" s="191">
        <f>IF(A73&lt;&gt;"", F73/ VLOOKUP(A73, '[1]Курс валют'!$A:$D, 4, 0), "")</f>
        <v>550.08210180623973</v>
      </c>
    </row>
    <row r="74" spans="1:7" outlineLevel="2" x14ac:dyDescent="0.45">
      <c r="A74" s="189">
        <v>46067</v>
      </c>
      <c r="B74" s="182" t="s">
        <v>330</v>
      </c>
      <c r="C74" s="183" t="s">
        <v>331</v>
      </c>
      <c r="D74" s="183" t="s">
        <v>369</v>
      </c>
      <c r="E74" s="203">
        <v>9</v>
      </c>
      <c r="F74" s="184">
        <f t="shared" si="1"/>
        <v>6030000</v>
      </c>
      <c r="G74" s="191">
        <f>IF(A74&lt;&gt;"", F74/ VLOOKUP(A74, '[1]Курс валют'!$A:$D, 4, 0), "")</f>
        <v>495.07389162561577</v>
      </c>
    </row>
    <row r="75" spans="1:7" outlineLevel="2" x14ac:dyDescent="0.45">
      <c r="A75" s="189">
        <v>46067</v>
      </c>
      <c r="B75" s="182" t="s">
        <v>330</v>
      </c>
      <c r="C75" s="183" t="s">
        <v>366</v>
      </c>
      <c r="D75" s="183" t="s">
        <v>369</v>
      </c>
      <c r="E75" s="203">
        <v>10</v>
      </c>
      <c r="F75" s="184">
        <f t="shared" si="1"/>
        <v>6700000</v>
      </c>
      <c r="G75" s="191">
        <f>IF(A75&lt;&gt;"", F75/ VLOOKUP(A75, '[1]Курс валют'!$A:$D, 4, 0), "")</f>
        <v>550.08210180623973</v>
      </c>
    </row>
    <row r="76" spans="1:7" outlineLevel="2" x14ac:dyDescent="0.45">
      <c r="A76" s="189">
        <v>46067</v>
      </c>
      <c r="B76" s="182" t="s">
        <v>330</v>
      </c>
      <c r="C76" s="183" t="s">
        <v>358</v>
      </c>
      <c r="D76" s="183" t="s">
        <v>369</v>
      </c>
      <c r="E76" s="203">
        <v>9</v>
      </c>
      <c r="F76" s="184">
        <f t="shared" si="1"/>
        <v>6030000</v>
      </c>
      <c r="G76" s="191">
        <f>IF(A76&lt;&gt;"", F76/ VLOOKUP(A76, '[1]Курс валют'!$A:$D, 4, 0), "")</f>
        <v>495.07389162561577</v>
      </c>
    </row>
    <row r="77" spans="1:7" outlineLevel="2" x14ac:dyDescent="0.45">
      <c r="A77" s="189">
        <v>46067</v>
      </c>
      <c r="B77" s="182" t="s">
        <v>330</v>
      </c>
      <c r="C77" s="183" t="s">
        <v>373</v>
      </c>
      <c r="D77" s="183" t="s">
        <v>369</v>
      </c>
      <c r="E77" s="203">
        <v>9</v>
      </c>
      <c r="F77" s="184">
        <f t="shared" si="1"/>
        <v>6030000</v>
      </c>
      <c r="G77" s="191">
        <f>IF(A77&lt;&gt;"", F77/ VLOOKUP(A77, '[1]Курс валют'!$A:$D, 4, 0), "")</f>
        <v>495.07389162561577</v>
      </c>
    </row>
    <row r="78" spans="1:7" outlineLevel="1" x14ac:dyDescent="0.45">
      <c r="A78" s="189" t="s">
        <v>88</v>
      </c>
      <c r="B78" s="182"/>
      <c r="C78" s="183"/>
      <c r="D78" s="183"/>
      <c r="E78" s="203">
        <f>SUBTOTAL(9,E49:E77)</f>
        <v>287</v>
      </c>
      <c r="F78" s="184">
        <f>SUBTOTAL(9,F49:F77)</f>
        <v>192290000</v>
      </c>
      <c r="G78" s="191"/>
    </row>
    <row r="79" spans="1:7" outlineLevel="2" x14ac:dyDescent="0.45">
      <c r="A79" s="189">
        <v>46072</v>
      </c>
      <c r="B79" s="182" t="s">
        <v>330</v>
      </c>
      <c r="C79" s="183" t="s">
        <v>374</v>
      </c>
      <c r="D79" s="183" t="s">
        <v>369</v>
      </c>
      <c r="E79" s="203">
        <v>9</v>
      </c>
      <c r="F79" s="184">
        <f t="shared" si="1"/>
        <v>6030000</v>
      </c>
      <c r="G79" s="191">
        <f>IF(A79&lt;&gt;"", F79/ VLOOKUP(A79, '[1]Курс валют'!$A:$D, 4, 0), "")</f>
        <v>502.5</v>
      </c>
    </row>
    <row r="80" spans="1:7" outlineLevel="2" x14ac:dyDescent="0.45">
      <c r="A80" s="189">
        <v>46072</v>
      </c>
      <c r="B80" s="182" t="s">
        <v>330</v>
      </c>
      <c r="C80" s="183" t="s">
        <v>374</v>
      </c>
      <c r="D80" s="183" t="s">
        <v>348</v>
      </c>
      <c r="E80" s="203">
        <v>9</v>
      </c>
      <c r="F80" s="184">
        <f t="shared" si="1"/>
        <v>5400000</v>
      </c>
      <c r="G80" s="191">
        <f>IF(A80&lt;&gt;"", F80/ VLOOKUP(A80, '[1]Курс валют'!$A:$D, 4, 0), "")</f>
        <v>450</v>
      </c>
    </row>
    <row r="81" spans="1:7" outlineLevel="2" x14ac:dyDescent="0.45">
      <c r="A81" s="189">
        <v>46072</v>
      </c>
      <c r="B81" s="182" t="s">
        <v>330</v>
      </c>
      <c r="C81" s="183" t="s">
        <v>363</v>
      </c>
      <c r="D81" s="183" t="s">
        <v>348</v>
      </c>
      <c r="E81" s="203">
        <v>9</v>
      </c>
      <c r="F81" s="184">
        <f t="shared" si="1"/>
        <v>5400000</v>
      </c>
      <c r="G81" s="191">
        <f>IF(A81&lt;&gt;"", F81/ VLOOKUP(A81, '[1]Курс валют'!$A:$D, 4, 0), "")</f>
        <v>450</v>
      </c>
    </row>
    <row r="82" spans="1:7" outlineLevel="2" x14ac:dyDescent="0.45">
      <c r="A82" s="189">
        <v>46072</v>
      </c>
      <c r="B82" s="182" t="s">
        <v>330</v>
      </c>
      <c r="C82" s="183" t="s">
        <v>338</v>
      </c>
      <c r="D82" s="183" t="s">
        <v>348</v>
      </c>
      <c r="E82" s="203">
        <v>10</v>
      </c>
      <c r="F82" s="184">
        <f t="shared" si="1"/>
        <v>6000000</v>
      </c>
      <c r="G82" s="191">
        <f>IF(A82&lt;&gt;"", F82/ VLOOKUP(A82, '[1]Курс валют'!$A:$D, 4, 0), "")</f>
        <v>500</v>
      </c>
    </row>
    <row r="83" spans="1:7" outlineLevel="2" x14ac:dyDescent="0.45">
      <c r="A83" s="189">
        <v>46072</v>
      </c>
      <c r="B83" s="182" t="s">
        <v>330</v>
      </c>
      <c r="C83" s="183" t="s">
        <v>347</v>
      </c>
      <c r="D83" s="183" t="s">
        <v>348</v>
      </c>
      <c r="E83" s="203">
        <v>12</v>
      </c>
      <c r="F83" s="184">
        <f t="shared" si="1"/>
        <v>7200000</v>
      </c>
      <c r="G83" s="191">
        <f>IF(A83&lt;&gt;"", F83/ VLOOKUP(A83, '[1]Курс валют'!$A:$D, 4, 0), "")</f>
        <v>600</v>
      </c>
    </row>
    <row r="84" spans="1:7" outlineLevel="2" x14ac:dyDescent="0.45">
      <c r="A84" s="189">
        <v>46072</v>
      </c>
      <c r="B84" s="182" t="s">
        <v>330</v>
      </c>
      <c r="C84" s="183" t="s">
        <v>358</v>
      </c>
      <c r="D84" s="183" t="s">
        <v>348</v>
      </c>
      <c r="E84" s="203">
        <v>9</v>
      </c>
      <c r="F84" s="184">
        <f t="shared" si="1"/>
        <v>5400000</v>
      </c>
      <c r="G84" s="191">
        <f>IF(A84&lt;&gt;"", F84/ VLOOKUP(A84, '[1]Курс валют'!$A:$D, 4, 0), "")</f>
        <v>450</v>
      </c>
    </row>
    <row r="85" spans="1:7" outlineLevel="2" x14ac:dyDescent="0.45">
      <c r="A85" s="189">
        <v>46072</v>
      </c>
      <c r="B85" s="182" t="s">
        <v>330</v>
      </c>
      <c r="C85" s="183" t="s">
        <v>331</v>
      </c>
      <c r="D85" s="183" t="s">
        <v>348</v>
      </c>
      <c r="E85" s="203">
        <v>9</v>
      </c>
      <c r="F85" s="184">
        <f t="shared" si="1"/>
        <v>5400000</v>
      </c>
      <c r="G85" s="191">
        <f>IF(A85&lt;&gt;"", F85/ VLOOKUP(A85, '[1]Курс валют'!$A:$D, 4, 0), "")</f>
        <v>450</v>
      </c>
    </row>
    <row r="86" spans="1:7" outlineLevel="2" x14ac:dyDescent="0.45">
      <c r="A86" s="189">
        <v>46072</v>
      </c>
      <c r="B86" s="182" t="s">
        <v>330</v>
      </c>
      <c r="C86" s="183" t="s">
        <v>355</v>
      </c>
      <c r="D86" s="183" t="s">
        <v>369</v>
      </c>
      <c r="E86" s="203">
        <v>10</v>
      </c>
      <c r="F86" s="184">
        <f t="shared" si="1"/>
        <v>6700000</v>
      </c>
      <c r="G86" s="191">
        <f>IF(A86&lt;&gt;"", F86/ VLOOKUP(A86, '[1]Курс валют'!$A:$D, 4, 0), "")</f>
        <v>558.33333333333337</v>
      </c>
    </row>
    <row r="87" spans="1:7" outlineLevel="2" x14ac:dyDescent="0.45">
      <c r="A87" s="189">
        <v>46072</v>
      </c>
      <c r="B87" s="182" t="s">
        <v>330</v>
      </c>
      <c r="C87" s="183" t="s">
        <v>356</v>
      </c>
      <c r="D87" s="183" t="s">
        <v>369</v>
      </c>
      <c r="E87" s="203">
        <v>6</v>
      </c>
      <c r="F87" s="184">
        <f t="shared" si="1"/>
        <v>4020000</v>
      </c>
      <c r="G87" s="191">
        <f>IF(A87&lt;&gt;"", F87/ VLOOKUP(A87, '[1]Курс валют'!$A:$D, 4, 0), "")</f>
        <v>335</v>
      </c>
    </row>
    <row r="88" spans="1:7" outlineLevel="2" x14ac:dyDescent="0.45">
      <c r="A88" s="189">
        <v>46072</v>
      </c>
      <c r="B88" s="182" t="s">
        <v>330</v>
      </c>
      <c r="C88" s="183" t="s">
        <v>374</v>
      </c>
      <c r="D88" s="183" t="s">
        <v>369</v>
      </c>
      <c r="E88" s="203">
        <v>9</v>
      </c>
      <c r="F88" s="184">
        <f t="shared" si="1"/>
        <v>6030000</v>
      </c>
      <c r="G88" s="191">
        <f>IF(A88&lt;&gt;"", F88/ VLOOKUP(A88, '[1]Курс валют'!$A:$D, 4, 0), "")</f>
        <v>502.5</v>
      </c>
    </row>
    <row r="89" spans="1:7" outlineLevel="2" x14ac:dyDescent="0.45">
      <c r="A89" s="189">
        <v>46072</v>
      </c>
      <c r="B89" s="182" t="s">
        <v>330</v>
      </c>
      <c r="C89" s="183" t="s">
        <v>375</v>
      </c>
      <c r="D89" s="183" t="s">
        <v>369</v>
      </c>
      <c r="E89" s="203">
        <v>9</v>
      </c>
      <c r="F89" s="184">
        <f t="shared" si="1"/>
        <v>6030000</v>
      </c>
      <c r="G89" s="191">
        <f>IF(A89&lt;&gt;"", F89/ VLOOKUP(A89, '[1]Курс валют'!$A:$D, 4, 0), "")</f>
        <v>502.5</v>
      </c>
    </row>
    <row r="90" spans="1:7" outlineLevel="2" x14ac:dyDescent="0.45">
      <c r="A90" s="189">
        <v>46072</v>
      </c>
      <c r="B90" s="182" t="s">
        <v>330</v>
      </c>
      <c r="C90" s="183" t="s">
        <v>331</v>
      </c>
      <c r="D90" s="183" t="s">
        <v>369</v>
      </c>
      <c r="E90" s="203">
        <v>9</v>
      </c>
      <c r="F90" s="184">
        <f t="shared" si="1"/>
        <v>6030000</v>
      </c>
      <c r="G90" s="191">
        <f>IF(A90&lt;&gt;"", F90/ VLOOKUP(A90, '[1]Курс валют'!$A:$D, 4, 0), "")</f>
        <v>502.5</v>
      </c>
    </row>
    <row r="91" spans="1:7" outlineLevel="2" x14ac:dyDescent="0.45">
      <c r="A91" s="189">
        <v>46072</v>
      </c>
      <c r="B91" s="182" t="s">
        <v>330</v>
      </c>
      <c r="C91" s="183" t="s">
        <v>350</v>
      </c>
      <c r="D91" s="183" t="s">
        <v>369</v>
      </c>
      <c r="E91" s="203">
        <v>9</v>
      </c>
      <c r="F91" s="184">
        <f t="shared" si="1"/>
        <v>6030000</v>
      </c>
      <c r="G91" s="191">
        <f>IF(A91&lt;&gt;"", F91/ VLOOKUP(A91, '[1]Курс валют'!$A:$D, 4, 0), "")</f>
        <v>502.5</v>
      </c>
    </row>
    <row r="92" spans="1:7" outlineLevel="2" x14ac:dyDescent="0.45">
      <c r="A92" s="189">
        <v>46072</v>
      </c>
      <c r="B92" s="182" t="s">
        <v>330</v>
      </c>
      <c r="C92" s="183" t="s">
        <v>362</v>
      </c>
      <c r="D92" s="183" t="s">
        <v>369</v>
      </c>
      <c r="E92" s="203">
        <v>9</v>
      </c>
      <c r="F92" s="184">
        <f t="shared" si="1"/>
        <v>6030000</v>
      </c>
      <c r="G92" s="191">
        <f>IF(A92&lt;&gt;"", F92/ VLOOKUP(A92, '[1]Курс валют'!$A:$D, 4, 0), "")</f>
        <v>502.5</v>
      </c>
    </row>
    <row r="93" spans="1:7" outlineLevel="2" x14ac:dyDescent="0.45">
      <c r="A93" s="189">
        <v>46072</v>
      </c>
      <c r="B93" s="182" t="s">
        <v>330</v>
      </c>
      <c r="C93" s="183" t="s">
        <v>358</v>
      </c>
      <c r="D93" s="183" t="s">
        <v>369</v>
      </c>
      <c r="E93" s="203">
        <v>9</v>
      </c>
      <c r="F93" s="184">
        <f t="shared" si="1"/>
        <v>6030000</v>
      </c>
      <c r="G93" s="191">
        <f>IF(A93&lt;&gt;"", F93/ VLOOKUP(A93, '[1]Курс валют'!$A:$D, 4, 0), "")</f>
        <v>502.5</v>
      </c>
    </row>
    <row r="94" spans="1:7" outlineLevel="2" x14ac:dyDescent="0.45">
      <c r="A94" s="189">
        <v>46072</v>
      </c>
      <c r="B94" s="182" t="s">
        <v>330</v>
      </c>
      <c r="C94" s="183" t="s">
        <v>376</v>
      </c>
      <c r="D94" s="183" t="s">
        <v>369</v>
      </c>
      <c r="E94" s="203">
        <v>9</v>
      </c>
      <c r="F94" s="184">
        <f t="shared" si="1"/>
        <v>6030000</v>
      </c>
      <c r="G94" s="191">
        <f>IF(A94&lt;&gt;"", F94/ VLOOKUP(A94, '[1]Курс валют'!$A:$D, 4, 0), "")</f>
        <v>502.5</v>
      </c>
    </row>
    <row r="95" spans="1:7" outlineLevel="2" x14ac:dyDescent="0.45">
      <c r="A95" s="189">
        <v>46072</v>
      </c>
      <c r="B95" s="182" t="s">
        <v>330</v>
      </c>
      <c r="C95" s="183" t="s">
        <v>340</v>
      </c>
      <c r="D95" s="183" t="s">
        <v>369</v>
      </c>
      <c r="E95" s="203">
        <v>10</v>
      </c>
      <c r="F95" s="184">
        <f t="shared" si="1"/>
        <v>6700000</v>
      </c>
      <c r="G95" s="191">
        <f>IF(A95&lt;&gt;"", F95/ VLOOKUP(A95, '[1]Курс валют'!$A:$D, 4, 0), "")</f>
        <v>558.33333333333337</v>
      </c>
    </row>
    <row r="96" spans="1:7" outlineLevel="2" x14ac:dyDescent="0.45">
      <c r="A96" s="189">
        <v>46072</v>
      </c>
      <c r="B96" s="182" t="s">
        <v>330</v>
      </c>
      <c r="C96" s="183" t="s">
        <v>337</v>
      </c>
      <c r="D96" s="183" t="s">
        <v>369</v>
      </c>
      <c r="E96" s="203">
        <v>10</v>
      </c>
      <c r="F96" s="184">
        <f t="shared" si="1"/>
        <v>6700000</v>
      </c>
      <c r="G96" s="191">
        <f>IF(A96&lt;&gt;"", F96/ VLOOKUP(A96, '[1]Курс валют'!$A:$D, 4, 0), "")</f>
        <v>558.33333333333337</v>
      </c>
    </row>
    <row r="97" spans="1:7" outlineLevel="2" x14ac:dyDescent="0.45">
      <c r="A97" s="189">
        <v>46072</v>
      </c>
      <c r="B97" s="182" t="s">
        <v>330</v>
      </c>
      <c r="C97" s="183" t="s">
        <v>336</v>
      </c>
      <c r="D97" s="183" t="s">
        <v>369</v>
      </c>
      <c r="E97" s="203">
        <v>10</v>
      </c>
      <c r="F97" s="184">
        <f t="shared" si="1"/>
        <v>6700000</v>
      </c>
      <c r="G97" s="191">
        <f>IF(A97&lt;&gt;"", F97/ VLOOKUP(A97, '[1]Курс валют'!$A:$D, 4, 0), "")</f>
        <v>558.33333333333337</v>
      </c>
    </row>
    <row r="98" spans="1:7" outlineLevel="2" x14ac:dyDescent="0.45">
      <c r="A98" s="189">
        <v>46072</v>
      </c>
      <c r="B98" s="182" t="s">
        <v>330</v>
      </c>
      <c r="C98" s="183" t="s">
        <v>377</v>
      </c>
      <c r="D98" s="183" t="s">
        <v>369</v>
      </c>
      <c r="E98" s="203">
        <v>9</v>
      </c>
      <c r="F98" s="184">
        <f t="shared" si="1"/>
        <v>6030000</v>
      </c>
      <c r="G98" s="191">
        <f>IF(A98&lt;&gt;"", F98/ VLOOKUP(A98, '[1]Курс валют'!$A:$D, 4, 0), "")</f>
        <v>502.5</v>
      </c>
    </row>
    <row r="99" spans="1:7" outlineLevel="2" x14ac:dyDescent="0.45">
      <c r="A99" s="189">
        <v>46072</v>
      </c>
      <c r="B99" s="182" t="s">
        <v>330</v>
      </c>
      <c r="C99" s="183" t="s">
        <v>378</v>
      </c>
      <c r="D99" s="183" t="s">
        <v>369</v>
      </c>
      <c r="E99" s="203">
        <v>10</v>
      </c>
      <c r="F99" s="184">
        <f t="shared" si="1"/>
        <v>6700000</v>
      </c>
      <c r="G99" s="191">
        <f>IF(A99&lt;&gt;"", F99/ VLOOKUP(A99, '[1]Курс валют'!$A:$D, 4, 0), "")</f>
        <v>558.33333333333337</v>
      </c>
    </row>
    <row r="100" spans="1:7" outlineLevel="2" x14ac:dyDescent="0.45">
      <c r="A100" s="189">
        <v>46072</v>
      </c>
      <c r="B100" s="182" t="s">
        <v>330</v>
      </c>
      <c r="C100" s="183" t="s">
        <v>349</v>
      </c>
      <c r="D100" s="183" t="s">
        <v>369</v>
      </c>
      <c r="E100" s="203">
        <v>12</v>
      </c>
      <c r="F100" s="184">
        <f t="shared" si="1"/>
        <v>8040000</v>
      </c>
      <c r="G100" s="191">
        <f>IF(A100&lt;&gt;"", F100/ VLOOKUP(A100, '[1]Курс валют'!$A:$D, 4, 0), "")</f>
        <v>670</v>
      </c>
    </row>
    <row r="101" spans="1:7" outlineLevel="2" x14ac:dyDescent="0.45">
      <c r="A101" s="189">
        <v>46072</v>
      </c>
      <c r="B101" s="182" t="s">
        <v>330</v>
      </c>
      <c r="C101" s="183" t="s">
        <v>367</v>
      </c>
      <c r="D101" s="183" t="s">
        <v>369</v>
      </c>
      <c r="E101" s="203">
        <v>10</v>
      </c>
      <c r="F101" s="184">
        <f t="shared" si="1"/>
        <v>6700000</v>
      </c>
      <c r="G101" s="191">
        <f>IF(A101&lt;&gt;"", F101/ VLOOKUP(A101, '[1]Курс валют'!$A:$D, 4, 0), "")</f>
        <v>558.33333333333337</v>
      </c>
    </row>
    <row r="102" spans="1:7" outlineLevel="2" x14ac:dyDescent="0.45">
      <c r="A102" s="189">
        <v>46072</v>
      </c>
      <c r="B102" s="182" t="s">
        <v>330</v>
      </c>
      <c r="C102" s="183" t="s">
        <v>363</v>
      </c>
      <c r="D102" s="183" t="s">
        <v>369</v>
      </c>
      <c r="E102" s="203">
        <v>10</v>
      </c>
      <c r="F102" s="184">
        <f t="shared" si="1"/>
        <v>6700000</v>
      </c>
      <c r="G102" s="191">
        <f>IF(A102&lt;&gt;"", F102/ VLOOKUP(A102, '[1]Курс валют'!$A:$D, 4, 0), "")</f>
        <v>558.33333333333337</v>
      </c>
    </row>
    <row r="103" spans="1:7" outlineLevel="2" x14ac:dyDescent="0.45">
      <c r="A103" s="189">
        <v>46072</v>
      </c>
      <c r="B103" s="182" t="s">
        <v>330</v>
      </c>
      <c r="C103" s="183" t="s">
        <v>335</v>
      </c>
      <c r="D103" s="183" t="s">
        <v>369</v>
      </c>
      <c r="E103" s="203">
        <v>10</v>
      </c>
      <c r="F103" s="184">
        <f t="shared" si="1"/>
        <v>6700000</v>
      </c>
      <c r="G103" s="191">
        <f>IF(A103&lt;&gt;"", F103/ VLOOKUP(A103, '[1]Курс валют'!$A:$D, 4, 0), "")</f>
        <v>558.33333333333337</v>
      </c>
    </row>
    <row r="104" spans="1:7" outlineLevel="2" x14ac:dyDescent="0.45">
      <c r="A104" s="189">
        <v>46072</v>
      </c>
      <c r="B104" s="182" t="s">
        <v>330</v>
      </c>
      <c r="C104" s="183" t="s">
        <v>356</v>
      </c>
      <c r="D104" s="183" t="s">
        <v>369</v>
      </c>
      <c r="E104" s="203">
        <v>9</v>
      </c>
      <c r="F104" s="184">
        <f t="shared" si="1"/>
        <v>6030000</v>
      </c>
      <c r="G104" s="191">
        <f>IF(A104&lt;&gt;"", F104/ VLOOKUP(A104, '[1]Курс валют'!$A:$D, 4, 0), "")</f>
        <v>502.5</v>
      </c>
    </row>
    <row r="105" spans="1:7" outlineLevel="2" x14ac:dyDescent="0.45">
      <c r="A105" s="189">
        <v>46072</v>
      </c>
      <c r="B105" s="182" t="s">
        <v>330</v>
      </c>
      <c r="C105" s="183" t="s">
        <v>354</v>
      </c>
      <c r="D105" s="183" t="s">
        <v>369</v>
      </c>
      <c r="E105" s="203">
        <v>10</v>
      </c>
      <c r="F105" s="184">
        <f t="shared" si="1"/>
        <v>6700000</v>
      </c>
      <c r="G105" s="191">
        <f>IF(A105&lt;&gt;"", F105/ VLOOKUP(A105, '[1]Курс валют'!$A:$D, 4, 0), "")</f>
        <v>558.33333333333337</v>
      </c>
    </row>
    <row r="106" spans="1:7" outlineLevel="2" x14ac:dyDescent="0.45">
      <c r="A106" s="189">
        <v>46072</v>
      </c>
      <c r="B106" s="182" t="s">
        <v>330</v>
      </c>
      <c r="C106" s="183" t="s">
        <v>360</v>
      </c>
      <c r="D106" s="183" t="s">
        <v>369</v>
      </c>
      <c r="E106" s="203">
        <v>9</v>
      </c>
      <c r="F106" s="184">
        <f t="shared" si="1"/>
        <v>6030000</v>
      </c>
      <c r="G106" s="191">
        <f>IF(A106&lt;&gt;"", F106/ VLOOKUP(A106, '[1]Курс валют'!$A:$D, 4, 0), "")</f>
        <v>502.5</v>
      </c>
    </row>
    <row r="107" spans="1:7" outlineLevel="2" x14ac:dyDescent="0.45">
      <c r="A107" s="189">
        <v>46072</v>
      </c>
      <c r="B107" s="182" t="s">
        <v>330</v>
      </c>
      <c r="C107" s="183" t="s">
        <v>370</v>
      </c>
      <c r="D107" s="183" t="s">
        <v>369</v>
      </c>
      <c r="E107" s="203">
        <v>9</v>
      </c>
      <c r="F107" s="184">
        <f t="shared" si="1"/>
        <v>6030000</v>
      </c>
      <c r="G107" s="191">
        <f>IF(A107&lt;&gt;"", F107/ VLOOKUP(A107, '[1]Курс валют'!$A:$D, 4, 0), "")</f>
        <v>502.5</v>
      </c>
    </row>
    <row r="108" spans="1:7" outlineLevel="2" x14ac:dyDescent="0.45">
      <c r="A108" s="189">
        <v>46072</v>
      </c>
      <c r="B108" s="182" t="s">
        <v>330</v>
      </c>
      <c r="C108" s="183" t="s">
        <v>339</v>
      </c>
      <c r="D108" s="183" t="s">
        <v>369</v>
      </c>
      <c r="E108" s="203">
        <v>12</v>
      </c>
      <c r="F108" s="184">
        <f t="shared" si="1"/>
        <v>8040000</v>
      </c>
      <c r="G108" s="191">
        <f>IF(A108&lt;&gt;"", F108/ VLOOKUP(A108, '[1]Курс валют'!$A:$D, 4, 0), "")</f>
        <v>670</v>
      </c>
    </row>
    <row r="109" spans="1:7" outlineLevel="2" x14ac:dyDescent="0.45">
      <c r="A109" s="189">
        <v>46072</v>
      </c>
      <c r="B109" s="182" t="s">
        <v>330</v>
      </c>
      <c r="C109" s="183" t="s">
        <v>359</v>
      </c>
      <c r="D109" s="183" t="s">
        <v>369</v>
      </c>
      <c r="E109" s="203">
        <v>12</v>
      </c>
      <c r="F109" s="184">
        <f t="shared" si="1"/>
        <v>8040000</v>
      </c>
      <c r="G109" s="191">
        <f>IF(A109&lt;&gt;"", F109/ VLOOKUP(A109, '[1]Курс валют'!$A:$D, 4, 0), "")</f>
        <v>670</v>
      </c>
    </row>
    <row r="110" spans="1:7" outlineLevel="2" x14ac:dyDescent="0.45">
      <c r="A110" s="189">
        <v>46072</v>
      </c>
      <c r="B110" s="182" t="s">
        <v>330</v>
      </c>
      <c r="C110" s="183" t="s">
        <v>366</v>
      </c>
      <c r="D110" s="183" t="s">
        <v>369</v>
      </c>
      <c r="E110" s="203">
        <v>10</v>
      </c>
      <c r="F110" s="184">
        <f t="shared" si="1"/>
        <v>6700000</v>
      </c>
      <c r="G110" s="191">
        <f>IF(A110&lt;&gt;"", F110/ VLOOKUP(A110, '[1]Курс валют'!$A:$D, 4, 0), "")</f>
        <v>558.33333333333337</v>
      </c>
    </row>
    <row r="111" spans="1:7" outlineLevel="2" x14ac:dyDescent="0.45">
      <c r="A111" s="189">
        <v>46072</v>
      </c>
      <c r="B111" s="182" t="s">
        <v>330</v>
      </c>
      <c r="C111" s="183" t="s">
        <v>357</v>
      </c>
      <c r="D111" s="183" t="s">
        <v>369</v>
      </c>
      <c r="E111" s="203">
        <v>9</v>
      </c>
      <c r="F111" s="184">
        <f t="shared" si="1"/>
        <v>6030000</v>
      </c>
      <c r="G111" s="191">
        <f>IF(A111&lt;&gt;"", F111/ VLOOKUP(A111, '[1]Курс валют'!$A:$D, 4, 0), "")</f>
        <v>502.5</v>
      </c>
    </row>
    <row r="112" spans="1:7" outlineLevel="2" x14ac:dyDescent="0.45">
      <c r="A112" s="189">
        <v>46072</v>
      </c>
      <c r="B112" s="182" t="s">
        <v>330</v>
      </c>
      <c r="C112" s="183" t="s">
        <v>334</v>
      </c>
      <c r="D112" s="183" t="s">
        <v>369</v>
      </c>
      <c r="E112" s="203">
        <v>9</v>
      </c>
      <c r="F112" s="184">
        <f t="shared" si="1"/>
        <v>6030000</v>
      </c>
      <c r="G112" s="191">
        <f>IF(A112&lt;&gt;"", F112/ VLOOKUP(A112, '[1]Курс валют'!$A:$D, 4, 0), "")</f>
        <v>502.5</v>
      </c>
    </row>
    <row r="113" spans="1:7" outlineLevel="2" x14ac:dyDescent="0.45">
      <c r="A113" s="189">
        <v>46072</v>
      </c>
      <c r="B113" s="182" t="s">
        <v>330</v>
      </c>
      <c r="C113" s="183" t="s">
        <v>367</v>
      </c>
      <c r="D113" s="183" t="s">
        <v>369</v>
      </c>
      <c r="E113" s="203">
        <v>10</v>
      </c>
      <c r="F113" s="184">
        <f t="shared" si="1"/>
        <v>6700000</v>
      </c>
      <c r="G113" s="191">
        <f>IF(A113&lt;&gt;"", F113/ VLOOKUP(A113, '[1]Курс валют'!$A:$D, 4, 0), "")</f>
        <v>558.33333333333337</v>
      </c>
    </row>
    <row r="114" spans="1:7" outlineLevel="2" x14ac:dyDescent="0.45">
      <c r="A114" s="189">
        <v>46072</v>
      </c>
      <c r="B114" s="182" t="s">
        <v>330</v>
      </c>
      <c r="C114" s="183" t="s">
        <v>353</v>
      </c>
      <c r="D114" s="183" t="s">
        <v>369</v>
      </c>
      <c r="E114" s="203">
        <v>10</v>
      </c>
      <c r="F114" s="184">
        <f t="shared" si="1"/>
        <v>6700000</v>
      </c>
      <c r="G114" s="191">
        <f>IF(A114&lt;&gt;"", F114/ VLOOKUP(A114, '[1]Курс валют'!$A:$D, 4, 0), "")</f>
        <v>558.33333333333337</v>
      </c>
    </row>
    <row r="115" spans="1:7" outlineLevel="2" x14ac:dyDescent="0.45">
      <c r="A115" s="189">
        <v>46072</v>
      </c>
      <c r="B115" s="182" t="s">
        <v>330</v>
      </c>
      <c r="C115" s="183" t="s">
        <v>337</v>
      </c>
      <c r="D115" s="183" t="s">
        <v>369</v>
      </c>
      <c r="E115" s="203">
        <v>10</v>
      </c>
      <c r="F115" s="184">
        <f t="shared" si="1"/>
        <v>6700000</v>
      </c>
      <c r="G115" s="191">
        <f>IF(A115&lt;&gt;"", F115/ VLOOKUP(A115, '[1]Курс валют'!$A:$D, 4, 0), "")</f>
        <v>558.33333333333337</v>
      </c>
    </row>
    <row r="116" spans="1:7" outlineLevel="2" x14ac:dyDescent="0.45">
      <c r="A116" s="189">
        <v>46072</v>
      </c>
      <c r="B116" s="182" t="s">
        <v>330</v>
      </c>
      <c r="C116" s="183" t="s">
        <v>358</v>
      </c>
      <c r="D116" s="183" t="s">
        <v>369</v>
      </c>
      <c r="E116" s="203">
        <v>9</v>
      </c>
      <c r="F116" s="184">
        <f t="shared" si="1"/>
        <v>6030000</v>
      </c>
      <c r="G116" s="191">
        <f>IF(A116&lt;&gt;"", F116/ VLOOKUP(A116, '[1]Курс валют'!$A:$D, 4, 0), "")</f>
        <v>502.5</v>
      </c>
    </row>
    <row r="117" spans="1:7" outlineLevel="2" x14ac:dyDescent="0.45">
      <c r="A117" s="189">
        <v>46072</v>
      </c>
      <c r="B117" s="182" t="s">
        <v>330</v>
      </c>
      <c r="C117" s="183" t="s">
        <v>376</v>
      </c>
      <c r="D117" s="183" t="s">
        <v>369</v>
      </c>
      <c r="E117" s="203">
        <v>9</v>
      </c>
      <c r="F117" s="184">
        <f t="shared" si="1"/>
        <v>6030000</v>
      </c>
      <c r="G117" s="191">
        <f>IF(A117&lt;&gt;"", F117/ VLOOKUP(A117, '[1]Курс валют'!$A:$D, 4, 0), "")</f>
        <v>502.5</v>
      </c>
    </row>
    <row r="118" spans="1:7" outlineLevel="2" x14ac:dyDescent="0.45">
      <c r="A118" s="189">
        <v>46072</v>
      </c>
      <c r="B118" s="182" t="s">
        <v>330</v>
      </c>
      <c r="C118" s="183" t="s">
        <v>340</v>
      </c>
      <c r="D118" s="183" t="s">
        <v>369</v>
      </c>
      <c r="E118" s="203">
        <v>10</v>
      </c>
      <c r="F118" s="184">
        <f t="shared" si="1"/>
        <v>6700000</v>
      </c>
      <c r="G118" s="191">
        <f>IF(A118&lt;&gt;"", F118/ VLOOKUP(A118, '[1]Курс валют'!$A:$D, 4, 0), "")</f>
        <v>558.33333333333337</v>
      </c>
    </row>
    <row r="119" spans="1:7" outlineLevel="2" x14ac:dyDescent="0.45">
      <c r="A119" s="189">
        <v>46072</v>
      </c>
      <c r="B119" s="182" t="s">
        <v>330</v>
      </c>
      <c r="C119" s="183" t="s">
        <v>331</v>
      </c>
      <c r="D119" s="183" t="s">
        <v>369</v>
      </c>
      <c r="E119" s="203">
        <v>9</v>
      </c>
      <c r="F119" s="184">
        <f t="shared" si="1"/>
        <v>6030000</v>
      </c>
      <c r="G119" s="191">
        <f>IF(A119&lt;&gt;"", F119/ VLOOKUP(A119, '[1]Курс валют'!$A:$D, 4, 0), "")</f>
        <v>502.5</v>
      </c>
    </row>
    <row r="120" spans="1:7" outlineLevel="2" x14ac:dyDescent="0.45">
      <c r="A120" s="189">
        <v>46072</v>
      </c>
      <c r="B120" s="182" t="s">
        <v>330</v>
      </c>
      <c r="C120" s="183" t="s">
        <v>374</v>
      </c>
      <c r="D120" s="183" t="s">
        <v>369</v>
      </c>
      <c r="E120" s="203">
        <v>9</v>
      </c>
      <c r="F120" s="184">
        <f t="shared" si="1"/>
        <v>6030000</v>
      </c>
      <c r="G120" s="191">
        <f>IF(A120&lt;&gt;"", F120/ VLOOKUP(A120, '[1]Курс валют'!$A:$D, 4, 0), "")</f>
        <v>502.5</v>
      </c>
    </row>
    <row r="121" spans="1:7" outlineLevel="2" x14ac:dyDescent="0.45">
      <c r="A121" s="189">
        <v>46072</v>
      </c>
      <c r="B121" s="182" t="s">
        <v>330</v>
      </c>
      <c r="C121" s="183" t="s">
        <v>352</v>
      </c>
      <c r="D121" s="183" t="s">
        <v>369</v>
      </c>
      <c r="E121" s="203">
        <v>9</v>
      </c>
      <c r="F121" s="184">
        <f t="shared" si="1"/>
        <v>6030000</v>
      </c>
      <c r="G121" s="191">
        <f>IF(A121&lt;&gt;"", F121/ VLOOKUP(A121, '[1]Курс валют'!$A:$D, 4, 0), "")</f>
        <v>502.5</v>
      </c>
    </row>
    <row r="122" spans="1:7" outlineLevel="2" x14ac:dyDescent="0.45">
      <c r="A122" s="189">
        <v>46072</v>
      </c>
      <c r="B122" s="182" t="s">
        <v>330</v>
      </c>
      <c r="C122" s="183" t="s">
        <v>375</v>
      </c>
      <c r="D122" s="183" t="s">
        <v>369</v>
      </c>
      <c r="E122" s="203">
        <v>9</v>
      </c>
      <c r="F122" s="184">
        <f t="shared" si="1"/>
        <v>6030000</v>
      </c>
      <c r="G122" s="191">
        <f>IF(A122&lt;&gt;"", F122/ VLOOKUP(A122, '[1]Курс валют'!$A:$D, 4, 0), "")</f>
        <v>502.5</v>
      </c>
    </row>
    <row r="123" spans="1:7" outlineLevel="2" x14ac:dyDescent="0.45">
      <c r="A123" s="189">
        <v>46072</v>
      </c>
      <c r="B123" s="182" t="s">
        <v>330</v>
      </c>
      <c r="C123" s="183" t="s">
        <v>365</v>
      </c>
      <c r="D123" s="183" t="s">
        <v>369</v>
      </c>
      <c r="E123" s="203">
        <v>10</v>
      </c>
      <c r="F123" s="184">
        <f t="shared" si="1"/>
        <v>6700000</v>
      </c>
      <c r="G123" s="191">
        <f>IF(A123&lt;&gt;"", F123/ VLOOKUP(A123, '[1]Курс валют'!$A:$D, 4, 0), "")</f>
        <v>558.33333333333337</v>
      </c>
    </row>
    <row r="124" spans="1:7" outlineLevel="2" x14ac:dyDescent="0.45">
      <c r="A124" s="189">
        <v>46072</v>
      </c>
      <c r="B124" s="182" t="s">
        <v>330</v>
      </c>
      <c r="C124" s="183" t="s">
        <v>371</v>
      </c>
      <c r="D124" s="183" t="s">
        <v>369</v>
      </c>
      <c r="E124" s="203">
        <v>9</v>
      </c>
      <c r="F124" s="184">
        <f t="shared" si="1"/>
        <v>6030000</v>
      </c>
      <c r="G124" s="191">
        <f>IF(A124&lt;&gt;"", F124/ VLOOKUP(A124, '[1]Курс валют'!$A:$D, 4, 0), "")</f>
        <v>502.5</v>
      </c>
    </row>
    <row r="125" spans="1:7" outlineLevel="2" x14ac:dyDescent="0.45">
      <c r="A125" s="189">
        <v>46072</v>
      </c>
      <c r="B125" s="182" t="s">
        <v>330</v>
      </c>
      <c r="C125" s="183" t="s">
        <v>366</v>
      </c>
      <c r="D125" s="183" t="s">
        <v>369</v>
      </c>
      <c r="E125" s="203">
        <v>10</v>
      </c>
      <c r="F125" s="184">
        <f t="shared" si="1"/>
        <v>6700000</v>
      </c>
      <c r="G125" s="191">
        <f>IF(A125&lt;&gt;"", F125/ VLOOKUP(A125, '[1]Курс валют'!$A:$D, 4, 0), "")</f>
        <v>558.33333333333337</v>
      </c>
    </row>
    <row r="126" spans="1:7" outlineLevel="2" x14ac:dyDescent="0.45">
      <c r="A126" s="189">
        <v>46072</v>
      </c>
      <c r="B126" s="182" t="s">
        <v>330</v>
      </c>
      <c r="C126" s="183" t="s">
        <v>364</v>
      </c>
      <c r="D126" s="183" t="s">
        <v>369</v>
      </c>
      <c r="E126" s="203">
        <v>12</v>
      </c>
      <c r="F126" s="184">
        <f t="shared" si="1"/>
        <v>8040000</v>
      </c>
      <c r="G126" s="191">
        <f>IF(A126&lt;&gt;"", F126/ VLOOKUP(A126, '[1]Курс валют'!$A:$D, 4, 0), "")</f>
        <v>670</v>
      </c>
    </row>
    <row r="127" spans="1:7" outlineLevel="2" x14ac:dyDescent="0.45">
      <c r="A127" s="189">
        <v>46072</v>
      </c>
      <c r="B127" s="182" t="s">
        <v>330</v>
      </c>
      <c r="C127" s="183" t="s">
        <v>345</v>
      </c>
      <c r="D127" s="183" t="s">
        <v>369</v>
      </c>
      <c r="E127" s="203">
        <v>10</v>
      </c>
      <c r="F127" s="184">
        <f t="shared" si="1"/>
        <v>6700000</v>
      </c>
      <c r="G127" s="191">
        <f>IF(A127&lt;&gt;"", F127/ VLOOKUP(A127, '[1]Курс валют'!$A:$D, 4, 0), "")</f>
        <v>558.33333333333337</v>
      </c>
    </row>
    <row r="128" spans="1:7" outlineLevel="2" x14ac:dyDescent="0.45">
      <c r="A128" s="189">
        <v>46072</v>
      </c>
      <c r="B128" s="182" t="s">
        <v>330</v>
      </c>
      <c r="C128" s="183" t="s">
        <v>359</v>
      </c>
      <c r="D128" s="183" t="s">
        <v>369</v>
      </c>
      <c r="E128" s="203">
        <v>12</v>
      </c>
      <c r="F128" s="184">
        <f t="shared" si="1"/>
        <v>8040000</v>
      </c>
      <c r="G128" s="191">
        <f>IF(A128&lt;&gt;"", F128/ VLOOKUP(A128, '[1]Курс валют'!$A:$D, 4, 0), "")</f>
        <v>670</v>
      </c>
    </row>
    <row r="129" spans="1:7" outlineLevel="1" x14ac:dyDescent="0.45">
      <c r="A129" s="189" t="s">
        <v>379</v>
      </c>
      <c r="B129" s="182"/>
      <c r="C129" s="183"/>
      <c r="D129" s="183"/>
      <c r="E129" s="203">
        <f>SUBTOTAL(9,E79:E128)</f>
        <v>483</v>
      </c>
      <c r="F129" s="184">
        <f>SUBTOTAL(9,F79:F128)</f>
        <v>319550000</v>
      </c>
      <c r="G129" s="191"/>
    </row>
    <row r="130" spans="1:7" outlineLevel="2" x14ac:dyDescent="0.45">
      <c r="A130" s="189">
        <v>46075</v>
      </c>
      <c r="B130" s="182" t="s">
        <v>330</v>
      </c>
      <c r="C130" s="183" t="s">
        <v>350</v>
      </c>
      <c r="D130" s="183" t="s">
        <v>369</v>
      </c>
      <c r="E130" s="203">
        <v>9</v>
      </c>
      <c r="F130" s="184">
        <f t="shared" si="1"/>
        <v>6030000</v>
      </c>
      <c r="G130" s="191">
        <f>IF(A130&lt;&gt;"", F130/ VLOOKUP(A130, '[1]Курс валют'!$A:$D, 4, 0), "")</f>
        <v>502.5</v>
      </c>
    </row>
    <row r="131" spans="1:7" outlineLevel="2" x14ac:dyDescent="0.45">
      <c r="A131" s="189">
        <v>46075</v>
      </c>
      <c r="B131" s="182" t="s">
        <v>330</v>
      </c>
      <c r="C131" s="183" t="s">
        <v>367</v>
      </c>
      <c r="D131" s="183" t="s">
        <v>369</v>
      </c>
      <c r="E131" s="203">
        <v>10</v>
      </c>
      <c r="F131" s="184">
        <f t="shared" ref="F131:F194" si="2">IF(D131="М400", E131*740000, IF(D131="M150", E131*600000, IF(D131="M300", E131*670000, IF(D131="M350", E131*700000, 0))))</f>
        <v>6700000</v>
      </c>
      <c r="G131" s="191">
        <f>IF(A131&lt;&gt;"", F131/ VLOOKUP(A131, '[1]Курс валют'!$A:$D, 4, 0), "")</f>
        <v>558.33333333333337</v>
      </c>
    </row>
    <row r="132" spans="1:7" outlineLevel="2" x14ac:dyDescent="0.45">
      <c r="A132" s="189">
        <v>46075</v>
      </c>
      <c r="B132" s="182" t="s">
        <v>330</v>
      </c>
      <c r="C132" s="183" t="s">
        <v>373</v>
      </c>
      <c r="D132" s="183" t="s">
        <v>369</v>
      </c>
      <c r="E132" s="203">
        <v>9</v>
      </c>
      <c r="F132" s="184">
        <f t="shared" si="2"/>
        <v>6030000</v>
      </c>
      <c r="G132" s="191">
        <f>IF(A132&lt;&gt;"", F132/ VLOOKUP(A132, '[1]Курс валют'!$A:$D, 4, 0), "")</f>
        <v>502.5</v>
      </c>
    </row>
    <row r="133" spans="1:7" outlineLevel="2" x14ac:dyDescent="0.45">
      <c r="A133" s="189">
        <v>46075</v>
      </c>
      <c r="B133" s="182" t="s">
        <v>330</v>
      </c>
      <c r="C133" s="183" t="s">
        <v>331</v>
      </c>
      <c r="D133" s="183" t="s">
        <v>369</v>
      </c>
      <c r="E133" s="203">
        <v>9</v>
      </c>
      <c r="F133" s="184">
        <f t="shared" si="2"/>
        <v>6030000</v>
      </c>
      <c r="G133" s="191">
        <f>IF(A133&lt;&gt;"", F133/ VLOOKUP(A133, '[1]Курс валют'!$A:$D, 4, 0), "")</f>
        <v>502.5</v>
      </c>
    </row>
    <row r="134" spans="1:7" outlineLevel="2" x14ac:dyDescent="0.45">
      <c r="A134" s="189">
        <v>46075</v>
      </c>
      <c r="B134" s="182" t="s">
        <v>330</v>
      </c>
      <c r="C134" s="185" t="s">
        <v>335</v>
      </c>
      <c r="D134" s="183" t="s">
        <v>369</v>
      </c>
      <c r="E134" s="203">
        <v>10</v>
      </c>
      <c r="F134" s="184">
        <f t="shared" si="2"/>
        <v>6700000</v>
      </c>
      <c r="G134" s="191">
        <f>IF(A134&lt;&gt;"", F134/ VLOOKUP(A134, '[1]Курс валют'!$A:$D, 4, 0), "")</f>
        <v>558.33333333333337</v>
      </c>
    </row>
    <row r="135" spans="1:7" outlineLevel="2" x14ac:dyDescent="0.45">
      <c r="A135" s="189">
        <v>46075</v>
      </c>
      <c r="B135" s="182" t="s">
        <v>330</v>
      </c>
      <c r="C135" s="183" t="s">
        <v>347</v>
      </c>
      <c r="D135" s="183" t="s">
        <v>369</v>
      </c>
      <c r="E135" s="203">
        <v>12</v>
      </c>
      <c r="F135" s="184">
        <f t="shared" si="2"/>
        <v>8040000</v>
      </c>
      <c r="G135" s="191">
        <f>IF(A135&lt;&gt;"", F135/ VLOOKUP(A135, '[1]Курс валют'!$A:$D, 4, 0), "")</f>
        <v>670</v>
      </c>
    </row>
    <row r="136" spans="1:7" outlineLevel="2" x14ac:dyDescent="0.45">
      <c r="A136" s="189">
        <v>46075</v>
      </c>
      <c r="B136" s="182" t="s">
        <v>330</v>
      </c>
      <c r="C136" s="183" t="s">
        <v>352</v>
      </c>
      <c r="D136" s="183" t="s">
        <v>369</v>
      </c>
      <c r="E136" s="203">
        <v>9</v>
      </c>
      <c r="F136" s="184">
        <f t="shared" si="2"/>
        <v>6030000</v>
      </c>
      <c r="G136" s="191">
        <f>IF(A136&lt;&gt;"", F136/ VLOOKUP(A136, '[1]Курс валют'!$A:$D, 4, 0), "")</f>
        <v>502.5</v>
      </c>
    </row>
    <row r="137" spans="1:7" outlineLevel="2" x14ac:dyDescent="0.45">
      <c r="A137" s="189">
        <v>46075</v>
      </c>
      <c r="B137" s="182" t="s">
        <v>330</v>
      </c>
      <c r="C137" s="183" t="s">
        <v>380</v>
      </c>
      <c r="D137" s="183" t="s">
        <v>369</v>
      </c>
      <c r="E137" s="203">
        <v>12</v>
      </c>
      <c r="F137" s="184">
        <f t="shared" si="2"/>
        <v>8040000</v>
      </c>
      <c r="G137" s="191">
        <f>IF(A137&lt;&gt;"", F137/ VLOOKUP(A137, '[1]Курс валют'!$A:$D, 4, 0), "")</f>
        <v>670</v>
      </c>
    </row>
    <row r="138" spans="1:7" outlineLevel="2" x14ac:dyDescent="0.45">
      <c r="A138" s="189">
        <v>46075</v>
      </c>
      <c r="B138" s="182" t="s">
        <v>330</v>
      </c>
      <c r="C138" s="183" t="s">
        <v>354</v>
      </c>
      <c r="D138" s="183" t="s">
        <v>369</v>
      </c>
      <c r="E138" s="203">
        <v>10</v>
      </c>
      <c r="F138" s="184">
        <f t="shared" si="2"/>
        <v>6700000</v>
      </c>
      <c r="G138" s="191">
        <f>IF(A138&lt;&gt;"", F138/ VLOOKUP(A138, '[1]Курс валют'!$A:$D, 4, 0), "")</f>
        <v>558.33333333333337</v>
      </c>
    </row>
    <row r="139" spans="1:7" outlineLevel="2" x14ac:dyDescent="0.45">
      <c r="A139" s="189">
        <v>46075</v>
      </c>
      <c r="B139" s="182" t="s">
        <v>330</v>
      </c>
      <c r="C139" s="183" t="s">
        <v>360</v>
      </c>
      <c r="D139" s="183" t="s">
        <v>369</v>
      </c>
      <c r="E139" s="203">
        <v>9</v>
      </c>
      <c r="F139" s="184">
        <f t="shared" si="2"/>
        <v>6030000</v>
      </c>
      <c r="G139" s="191">
        <f>IF(A139&lt;&gt;"", F139/ VLOOKUP(A139, '[1]Курс валют'!$A:$D, 4, 0), "")</f>
        <v>502.5</v>
      </c>
    </row>
    <row r="140" spans="1:7" outlineLevel="2" x14ac:dyDescent="0.45">
      <c r="A140" s="189">
        <v>46075</v>
      </c>
      <c r="B140" s="182" t="s">
        <v>330</v>
      </c>
      <c r="C140" s="183" t="s">
        <v>375</v>
      </c>
      <c r="D140" s="183" t="s">
        <v>369</v>
      </c>
      <c r="E140" s="203">
        <v>9</v>
      </c>
      <c r="F140" s="184">
        <f t="shared" si="2"/>
        <v>6030000</v>
      </c>
      <c r="G140" s="191">
        <f>IF(A140&lt;&gt;"", F140/ VLOOKUP(A140, '[1]Курс валют'!$A:$D, 4, 0), "")</f>
        <v>502.5</v>
      </c>
    </row>
    <row r="141" spans="1:7" outlineLevel="2" x14ac:dyDescent="0.45">
      <c r="A141" s="189">
        <v>46075</v>
      </c>
      <c r="B141" s="182" t="s">
        <v>330</v>
      </c>
      <c r="C141" s="183" t="s">
        <v>358</v>
      </c>
      <c r="D141" s="183" t="s">
        <v>369</v>
      </c>
      <c r="E141" s="203">
        <v>9</v>
      </c>
      <c r="F141" s="184">
        <f t="shared" si="2"/>
        <v>6030000</v>
      </c>
      <c r="G141" s="191">
        <f>IF(A141&lt;&gt;"", F141/ VLOOKUP(A141, '[1]Курс валют'!$A:$D, 4, 0), "")</f>
        <v>502.5</v>
      </c>
    </row>
    <row r="142" spans="1:7" outlineLevel="2" x14ac:dyDescent="0.45">
      <c r="A142" s="189">
        <v>46075</v>
      </c>
      <c r="B142" s="182" t="s">
        <v>330</v>
      </c>
      <c r="C142" s="183" t="s">
        <v>349</v>
      </c>
      <c r="D142" s="183" t="s">
        <v>369</v>
      </c>
      <c r="E142" s="203">
        <v>12</v>
      </c>
      <c r="F142" s="184">
        <f t="shared" si="2"/>
        <v>8040000</v>
      </c>
      <c r="G142" s="191">
        <f>IF(A142&lt;&gt;"", F142/ VLOOKUP(A142, '[1]Курс валют'!$A:$D, 4, 0), "")</f>
        <v>670</v>
      </c>
    </row>
    <row r="143" spans="1:7" outlineLevel="2" x14ac:dyDescent="0.45">
      <c r="A143" s="189">
        <v>46075</v>
      </c>
      <c r="B143" s="182" t="s">
        <v>330</v>
      </c>
      <c r="C143" s="183" t="s">
        <v>351</v>
      </c>
      <c r="D143" s="183" t="s">
        <v>369</v>
      </c>
      <c r="E143" s="203">
        <v>12</v>
      </c>
      <c r="F143" s="184">
        <f t="shared" si="2"/>
        <v>8040000</v>
      </c>
      <c r="G143" s="191">
        <f>IF(A143&lt;&gt;"", F143/ VLOOKUP(A143, '[1]Курс валют'!$A:$D, 4, 0), "")</f>
        <v>670</v>
      </c>
    </row>
    <row r="144" spans="1:7" outlineLevel="2" x14ac:dyDescent="0.45">
      <c r="A144" s="189">
        <v>46075</v>
      </c>
      <c r="B144" s="182" t="s">
        <v>330</v>
      </c>
      <c r="C144" s="183" t="s">
        <v>364</v>
      </c>
      <c r="D144" s="183" t="s">
        <v>369</v>
      </c>
      <c r="E144" s="203">
        <v>12</v>
      </c>
      <c r="F144" s="184">
        <f t="shared" si="2"/>
        <v>8040000</v>
      </c>
      <c r="G144" s="191">
        <f>IF(A144&lt;&gt;"", F144/ VLOOKUP(A144, '[1]Курс валют'!$A:$D, 4, 0), "")</f>
        <v>670</v>
      </c>
    </row>
    <row r="145" spans="1:7" outlineLevel="2" x14ac:dyDescent="0.45">
      <c r="A145" s="189">
        <v>46075</v>
      </c>
      <c r="B145" s="182" t="s">
        <v>330</v>
      </c>
      <c r="C145" s="183" t="s">
        <v>355</v>
      </c>
      <c r="D145" s="183" t="s">
        <v>369</v>
      </c>
      <c r="E145" s="203">
        <v>10</v>
      </c>
      <c r="F145" s="184">
        <f t="shared" si="2"/>
        <v>6700000</v>
      </c>
      <c r="G145" s="191">
        <f>IF(A145&lt;&gt;"", F145/ VLOOKUP(A145, '[1]Курс валют'!$A:$D, 4, 0), "")</f>
        <v>558.33333333333337</v>
      </c>
    </row>
    <row r="146" spans="1:7" outlineLevel="2" x14ac:dyDescent="0.45">
      <c r="A146" s="189">
        <v>46075</v>
      </c>
      <c r="B146" s="182" t="s">
        <v>330</v>
      </c>
      <c r="C146" s="183" t="s">
        <v>372</v>
      </c>
      <c r="D146" s="183" t="s">
        <v>369</v>
      </c>
      <c r="E146" s="203">
        <v>9</v>
      </c>
      <c r="F146" s="184">
        <f t="shared" si="2"/>
        <v>6030000</v>
      </c>
      <c r="G146" s="191">
        <f>IF(A146&lt;&gt;"", F146/ VLOOKUP(A146, '[1]Курс валют'!$A:$D, 4, 0), "")</f>
        <v>502.5</v>
      </c>
    </row>
    <row r="147" spans="1:7" outlineLevel="2" x14ac:dyDescent="0.45">
      <c r="A147" s="189">
        <v>46075</v>
      </c>
      <c r="B147" s="182" t="s">
        <v>330</v>
      </c>
      <c r="C147" s="183" t="s">
        <v>371</v>
      </c>
      <c r="D147" s="183" t="s">
        <v>369</v>
      </c>
      <c r="E147" s="203">
        <v>9</v>
      </c>
      <c r="F147" s="184">
        <f t="shared" si="2"/>
        <v>6030000</v>
      </c>
      <c r="G147" s="191">
        <f>IF(A147&lt;&gt;"", F147/ VLOOKUP(A147, '[1]Курс валют'!$A:$D, 4, 0), "")</f>
        <v>502.5</v>
      </c>
    </row>
    <row r="148" spans="1:7" outlineLevel="2" x14ac:dyDescent="0.45">
      <c r="A148" s="189">
        <v>46075</v>
      </c>
      <c r="B148" s="182" t="s">
        <v>330</v>
      </c>
      <c r="C148" s="183" t="s">
        <v>370</v>
      </c>
      <c r="D148" s="183" t="s">
        <v>369</v>
      </c>
      <c r="E148" s="203">
        <v>10</v>
      </c>
      <c r="F148" s="184">
        <f t="shared" si="2"/>
        <v>6700000</v>
      </c>
      <c r="G148" s="191">
        <f>IF(A148&lt;&gt;"", F148/ VLOOKUP(A148, '[1]Курс валют'!$A:$D, 4, 0), "")</f>
        <v>558.33333333333337</v>
      </c>
    </row>
    <row r="149" spans="1:7" outlineLevel="2" x14ac:dyDescent="0.45">
      <c r="A149" s="189">
        <v>46075</v>
      </c>
      <c r="B149" s="182" t="s">
        <v>330</v>
      </c>
      <c r="C149" s="183" t="s">
        <v>336</v>
      </c>
      <c r="D149" s="183" t="s">
        <v>369</v>
      </c>
      <c r="E149" s="203">
        <v>10</v>
      </c>
      <c r="F149" s="184">
        <f t="shared" si="2"/>
        <v>6700000</v>
      </c>
      <c r="G149" s="191">
        <f>IF(A149&lt;&gt;"", F149/ VLOOKUP(A149, '[1]Курс валют'!$A:$D, 4, 0), "")</f>
        <v>558.33333333333337</v>
      </c>
    </row>
    <row r="150" spans="1:7" outlineLevel="2" x14ac:dyDescent="0.45">
      <c r="A150" s="189">
        <v>46075</v>
      </c>
      <c r="B150" s="182" t="s">
        <v>330</v>
      </c>
      <c r="C150" s="183" t="s">
        <v>374</v>
      </c>
      <c r="D150" s="183" t="s">
        <v>369</v>
      </c>
      <c r="E150" s="203">
        <v>9</v>
      </c>
      <c r="F150" s="184">
        <f t="shared" si="2"/>
        <v>6030000</v>
      </c>
      <c r="G150" s="191">
        <f>IF(A150&lt;&gt;"", F150/ VLOOKUP(A150, '[1]Курс валют'!$A:$D, 4, 0), "")</f>
        <v>502.5</v>
      </c>
    </row>
    <row r="151" spans="1:7" outlineLevel="2" x14ac:dyDescent="0.45">
      <c r="A151" s="189">
        <v>46075</v>
      </c>
      <c r="B151" s="182" t="s">
        <v>330</v>
      </c>
      <c r="C151" s="183" t="s">
        <v>356</v>
      </c>
      <c r="D151" s="183" t="s">
        <v>369</v>
      </c>
      <c r="E151" s="203">
        <v>9</v>
      </c>
      <c r="F151" s="184">
        <f t="shared" si="2"/>
        <v>6030000</v>
      </c>
      <c r="G151" s="191">
        <f>IF(A151&lt;&gt;"", F151/ VLOOKUP(A151, '[1]Курс валют'!$A:$D, 4, 0), "")</f>
        <v>502.5</v>
      </c>
    </row>
    <row r="152" spans="1:7" outlineLevel="2" x14ac:dyDescent="0.45">
      <c r="A152" s="189">
        <v>46075</v>
      </c>
      <c r="B152" s="182" t="s">
        <v>330</v>
      </c>
      <c r="C152" s="183" t="s">
        <v>362</v>
      </c>
      <c r="D152" s="183" t="s">
        <v>369</v>
      </c>
      <c r="E152" s="203">
        <v>9</v>
      </c>
      <c r="F152" s="184">
        <f t="shared" si="2"/>
        <v>6030000</v>
      </c>
      <c r="G152" s="191">
        <f>IF(A152&lt;&gt;"", F152/ VLOOKUP(A152, '[1]Курс валют'!$A:$D, 4, 0), "")</f>
        <v>502.5</v>
      </c>
    </row>
    <row r="153" spans="1:7" outlineLevel="2" x14ac:dyDescent="0.45">
      <c r="A153" s="189">
        <v>46075</v>
      </c>
      <c r="B153" s="182" t="s">
        <v>330</v>
      </c>
      <c r="C153" s="183" t="s">
        <v>345</v>
      </c>
      <c r="D153" s="183" t="s">
        <v>369</v>
      </c>
      <c r="E153" s="203">
        <v>10</v>
      </c>
      <c r="F153" s="184">
        <f t="shared" si="2"/>
        <v>6700000</v>
      </c>
      <c r="G153" s="191">
        <f>IF(A153&lt;&gt;"", F153/ VLOOKUP(A153, '[1]Курс валют'!$A:$D, 4, 0), "")</f>
        <v>558.33333333333337</v>
      </c>
    </row>
    <row r="154" spans="1:7" outlineLevel="2" x14ac:dyDescent="0.45">
      <c r="A154" s="189">
        <v>46075</v>
      </c>
      <c r="B154" s="182" t="s">
        <v>330</v>
      </c>
      <c r="C154" s="183" t="s">
        <v>367</v>
      </c>
      <c r="D154" s="183" t="s">
        <v>369</v>
      </c>
      <c r="E154" s="203">
        <v>10</v>
      </c>
      <c r="F154" s="184">
        <f t="shared" si="2"/>
        <v>6700000</v>
      </c>
      <c r="G154" s="191">
        <f>IF(A154&lt;&gt;"", F154/ VLOOKUP(A154, '[1]Курс валют'!$A:$D, 4, 0), "")</f>
        <v>558.33333333333337</v>
      </c>
    </row>
    <row r="155" spans="1:7" outlineLevel="2" x14ac:dyDescent="0.45">
      <c r="A155" s="189">
        <v>46075</v>
      </c>
      <c r="B155" s="182" t="s">
        <v>330</v>
      </c>
      <c r="C155" s="183" t="s">
        <v>381</v>
      </c>
      <c r="D155" s="183" t="s">
        <v>369</v>
      </c>
      <c r="E155" s="203">
        <v>9</v>
      </c>
      <c r="F155" s="184">
        <f t="shared" si="2"/>
        <v>6030000</v>
      </c>
      <c r="G155" s="191">
        <f>IF(A155&lt;&gt;"", F155/ VLOOKUP(A155, '[1]Курс валют'!$A:$D, 4, 0), "")</f>
        <v>502.5</v>
      </c>
    </row>
    <row r="156" spans="1:7" outlineLevel="2" x14ac:dyDescent="0.45">
      <c r="A156" s="189">
        <v>46075</v>
      </c>
      <c r="B156" s="182" t="s">
        <v>330</v>
      </c>
      <c r="C156" s="183" t="s">
        <v>338</v>
      </c>
      <c r="D156" s="183" t="s">
        <v>369</v>
      </c>
      <c r="E156" s="203">
        <v>10</v>
      </c>
      <c r="F156" s="184">
        <f t="shared" si="2"/>
        <v>6700000</v>
      </c>
      <c r="G156" s="191">
        <f>IF(A156&lt;&gt;"", F156/ VLOOKUP(A156, '[1]Курс валют'!$A:$D, 4, 0), "")</f>
        <v>558.33333333333337</v>
      </c>
    </row>
    <row r="157" spans="1:7" outlineLevel="2" x14ac:dyDescent="0.45">
      <c r="A157" s="189">
        <v>46075</v>
      </c>
      <c r="B157" s="182" t="s">
        <v>330</v>
      </c>
      <c r="C157" s="183" t="s">
        <v>350</v>
      </c>
      <c r="D157" s="183" t="s">
        <v>369</v>
      </c>
      <c r="E157" s="203">
        <v>9</v>
      </c>
      <c r="F157" s="184">
        <f t="shared" si="2"/>
        <v>6030000</v>
      </c>
      <c r="G157" s="191">
        <f>IF(A157&lt;&gt;"", F157/ VLOOKUP(A157, '[1]Курс валют'!$A:$D, 4, 0), "")</f>
        <v>502.5</v>
      </c>
    </row>
    <row r="158" spans="1:7" outlineLevel="2" x14ac:dyDescent="0.45">
      <c r="A158" s="189">
        <v>46075</v>
      </c>
      <c r="B158" s="182" t="s">
        <v>330</v>
      </c>
      <c r="C158" s="183" t="s">
        <v>340</v>
      </c>
      <c r="D158" s="183" t="s">
        <v>369</v>
      </c>
      <c r="E158" s="203">
        <v>10</v>
      </c>
      <c r="F158" s="184">
        <f t="shared" si="2"/>
        <v>6700000</v>
      </c>
      <c r="G158" s="191">
        <f>IF(A158&lt;&gt;"", F158/ VLOOKUP(A158, '[1]Курс валют'!$A:$D, 4, 0), "")</f>
        <v>558.33333333333337</v>
      </c>
    </row>
    <row r="159" spans="1:7" outlineLevel="2" x14ac:dyDescent="0.45">
      <c r="A159" s="189">
        <v>46075</v>
      </c>
      <c r="B159" s="182" t="s">
        <v>330</v>
      </c>
      <c r="C159" s="183" t="s">
        <v>366</v>
      </c>
      <c r="D159" s="183" t="s">
        <v>369</v>
      </c>
      <c r="E159" s="203">
        <v>10</v>
      </c>
      <c r="F159" s="184">
        <f t="shared" si="2"/>
        <v>6700000</v>
      </c>
      <c r="G159" s="191">
        <f>IF(A159&lt;&gt;"", F159/ VLOOKUP(A159, '[1]Курс валют'!$A:$D, 4, 0), "")</f>
        <v>558.33333333333337</v>
      </c>
    </row>
    <row r="160" spans="1:7" outlineLevel="2" x14ac:dyDescent="0.45">
      <c r="A160" s="189">
        <v>46075</v>
      </c>
      <c r="B160" s="182" t="s">
        <v>330</v>
      </c>
      <c r="C160" s="183" t="s">
        <v>331</v>
      </c>
      <c r="D160" s="183" t="s">
        <v>369</v>
      </c>
      <c r="E160" s="203">
        <v>9</v>
      </c>
      <c r="F160" s="184">
        <f t="shared" si="2"/>
        <v>6030000</v>
      </c>
      <c r="G160" s="191">
        <f>IF(A160&lt;&gt;"", F160/ VLOOKUP(A160, '[1]Курс валют'!$A:$D, 4, 0), "")</f>
        <v>502.5</v>
      </c>
    </row>
    <row r="161" spans="1:7" outlineLevel="2" x14ac:dyDescent="0.45">
      <c r="A161" s="189">
        <v>46075</v>
      </c>
      <c r="B161" s="182" t="s">
        <v>330</v>
      </c>
      <c r="C161" s="183" t="s">
        <v>376</v>
      </c>
      <c r="D161" s="183" t="s">
        <v>369</v>
      </c>
      <c r="E161" s="203">
        <v>9</v>
      </c>
      <c r="F161" s="184">
        <f t="shared" si="2"/>
        <v>6030000</v>
      </c>
      <c r="G161" s="191">
        <f>IF(A161&lt;&gt;"", F161/ VLOOKUP(A161, '[1]Курс валют'!$A:$D, 4, 0), "")</f>
        <v>502.5</v>
      </c>
    </row>
    <row r="162" spans="1:7" outlineLevel="2" x14ac:dyDescent="0.45">
      <c r="A162" s="189">
        <v>46075</v>
      </c>
      <c r="B162" s="182" t="s">
        <v>330</v>
      </c>
      <c r="C162" s="183" t="s">
        <v>357</v>
      </c>
      <c r="D162" s="183" t="s">
        <v>369</v>
      </c>
      <c r="E162" s="203">
        <v>9</v>
      </c>
      <c r="F162" s="184">
        <f t="shared" si="2"/>
        <v>6030000</v>
      </c>
      <c r="G162" s="191">
        <f>IF(A162&lt;&gt;"", F162/ VLOOKUP(A162, '[1]Курс валют'!$A:$D, 4, 0), "")</f>
        <v>502.5</v>
      </c>
    </row>
    <row r="163" spans="1:7" outlineLevel="2" x14ac:dyDescent="0.45">
      <c r="A163" s="189">
        <v>46075</v>
      </c>
      <c r="B163" s="182" t="s">
        <v>330</v>
      </c>
      <c r="C163" s="183" t="s">
        <v>359</v>
      </c>
      <c r="D163" s="183" t="s">
        <v>369</v>
      </c>
      <c r="E163" s="203">
        <v>12</v>
      </c>
      <c r="F163" s="184">
        <f t="shared" si="2"/>
        <v>8040000</v>
      </c>
      <c r="G163" s="191">
        <f>IF(A163&lt;&gt;"", F163/ VLOOKUP(A163, '[1]Курс валют'!$A:$D, 4, 0), "")</f>
        <v>670</v>
      </c>
    </row>
    <row r="164" spans="1:7" outlineLevel="2" x14ac:dyDescent="0.45">
      <c r="A164" s="189">
        <v>46075</v>
      </c>
      <c r="B164" s="182" t="s">
        <v>330</v>
      </c>
      <c r="C164" s="183" t="s">
        <v>382</v>
      </c>
      <c r="D164" s="183" t="s">
        <v>369</v>
      </c>
      <c r="E164" s="203">
        <v>10</v>
      </c>
      <c r="F164" s="184">
        <f t="shared" si="2"/>
        <v>6700000</v>
      </c>
      <c r="G164" s="191">
        <f>IF(A164&lt;&gt;"", F164/ VLOOKUP(A164, '[1]Курс валют'!$A:$D, 4, 0), "")</f>
        <v>558.33333333333337</v>
      </c>
    </row>
    <row r="165" spans="1:7" outlineLevel="2" x14ac:dyDescent="0.45">
      <c r="A165" s="189">
        <v>46075</v>
      </c>
      <c r="B165" s="182" t="s">
        <v>330</v>
      </c>
      <c r="C165" s="183" t="s">
        <v>371</v>
      </c>
      <c r="D165" s="183" t="s">
        <v>369</v>
      </c>
      <c r="E165" s="203">
        <v>9</v>
      </c>
      <c r="F165" s="184">
        <f t="shared" si="2"/>
        <v>6030000</v>
      </c>
      <c r="G165" s="191">
        <f>IF(A165&lt;&gt;"", F165/ VLOOKUP(A165, '[1]Курс валют'!$A:$D, 4, 0), "")</f>
        <v>502.5</v>
      </c>
    </row>
    <row r="166" spans="1:7" outlineLevel="2" x14ac:dyDescent="0.45">
      <c r="A166" s="189">
        <v>46075</v>
      </c>
      <c r="B166" s="182" t="s">
        <v>330</v>
      </c>
      <c r="C166" s="183" t="s">
        <v>343</v>
      </c>
      <c r="D166" s="183" t="s">
        <v>369</v>
      </c>
      <c r="E166" s="203">
        <v>12</v>
      </c>
      <c r="F166" s="184">
        <f t="shared" si="2"/>
        <v>8040000</v>
      </c>
      <c r="G166" s="191">
        <f>IF(A166&lt;&gt;"", F166/ VLOOKUP(A166, '[1]Курс валют'!$A:$D, 4, 0), "")</f>
        <v>670</v>
      </c>
    </row>
    <row r="167" spans="1:7" outlineLevel="2" x14ac:dyDescent="0.45">
      <c r="A167" s="189">
        <v>46075</v>
      </c>
      <c r="B167" s="182" t="s">
        <v>330</v>
      </c>
      <c r="C167" s="183" t="s">
        <v>363</v>
      </c>
      <c r="D167" s="183" t="s">
        <v>369</v>
      </c>
      <c r="E167" s="203">
        <v>10</v>
      </c>
      <c r="F167" s="184">
        <f t="shared" si="2"/>
        <v>6700000</v>
      </c>
      <c r="G167" s="191">
        <f>IF(A167&lt;&gt;"", F167/ VLOOKUP(A167, '[1]Курс валют'!$A:$D, 4, 0), "")</f>
        <v>558.33333333333337</v>
      </c>
    </row>
    <row r="168" spans="1:7" outlineLevel="2" x14ac:dyDescent="0.45">
      <c r="A168" s="189">
        <v>46075</v>
      </c>
      <c r="B168" s="182" t="s">
        <v>330</v>
      </c>
      <c r="C168" s="183" t="s">
        <v>331</v>
      </c>
      <c r="D168" s="183" t="s">
        <v>369</v>
      </c>
      <c r="E168" s="203">
        <v>9</v>
      </c>
      <c r="F168" s="184">
        <f t="shared" si="2"/>
        <v>6030000</v>
      </c>
      <c r="G168" s="191">
        <f>IF(A168&lt;&gt;"", F168/ VLOOKUP(A168, '[1]Курс валют'!$A:$D, 4, 0), "")</f>
        <v>502.5</v>
      </c>
    </row>
    <row r="169" spans="1:7" outlineLevel="2" x14ac:dyDescent="0.45">
      <c r="A169" s="189">
        <v>46075</v>
      </c>
      <c r="B169" s="182" t="s">
        <v>330</v>
      </c>
      <c r="C169" s="183" t="s">
        <v>351</v>
      </c>
      <c r="D169" s="183" t="s">
        <v>369</v>
      </c>
      <c r="E169" s="203">
        <v>12</v>
      </c>
      <c r="F169" s="184">
        <f t="shared" si="2"/>
        <v>8040000</v>
      </c>
      <c r="G169" s="191">
        <f>IF(A169&lt;&gt;"", F169/ VLOOKUP(A169, '[1]Курс валют'!$A:$D, 4, 0), "")</f>
        <v>670</v>
      </c>
    </row>
    <row r="170" spans="1:7" outlineLevel="2" x14ac:dyDescent="0.45">
      <c r="A170" s="189">
        <v>46075</v>
      </c>
      <c r="B170" s="182" t="s">
        <v>330</v>
      </c>
      <c r="C170" s="183" t="s">
        <v>374</v>
      </c>
      <c r="D170" s="183" t="s">
        <v>369</v>
      </c>
      <c r="E170" s="203">
        <v>9</v>
      </c>
      <c r="F170" s="184">
        <f t="shared" si="2"/>
        <v>6030000</v>
      </c>
      <c r="G170" s="191">
        <f>IF(A170&lt;&gt;"", F170/ VLOOKUP(A170, '[1]Курс валют'!$A:$D, 4, 0), "")</f>
        <v>502.5</v>
      </c>
    </row>
    <row r="171" spans="1:7" outlineLevel="2" x14ac:dyDescent="0.45">
      <c r="A171" s="189">
        <v>46075</v>
      </c>
      <c r="B171" s="182" t="s">
        <v>330</v>
      </c>
      <c r="C171" s="183" t="s">
        <v>338</v>
      </c>
      <c r="D171" s="183" t="s">
        <v>369</v>
      </c>
      <c r="E171" s="203">
        <v>10</v>
      </c>
      <c r="F171" s="184">
        <f t="shared" si="2"/>
        <v>6700000</v>
      </c>
      <c r="G171" s="191">
        <f>IF(A171&lt;&gt;"", F171/ VLOOKUP(A171, '[1]Курс валют'!$A:$D, 4, 0), "")</f>
        <v>558.33333333333337</v>
      </c>
    </row>
    <row r="172" spans="1:7" outlineLevel="2" x14ac:dyDescent="0.45">
      <c r="A172" s="189">
        <v>46075</v>
      </c>
      <c r="B172" s="182" t="s">
        <v>330</v>
      </c>
      <c r="C172" s="183" t="s">
        <v>335</v>
      </c>
      <c r="D172" s="183" t="s">
        <v>369</v>
      </c>
      <c r="E172" s="203">
        <v>10</v>
      </c>
      <c r="F172" s="184">
        <f t="shared" si="2"/>
        <v>6700000</v>
      </c>
      <c r="G172" s="191">
        <f>IF(A172&lt;&gt;"", F172/ VLOOKUP(A172, '[1]Курс валют'!$A:$D, 4, 0), "")</f>
        <v>558.33333333333337</v>
      </c>
    </row>
    <row r="173" spans="1:7" outlineLevel="2" x14ac:dyDescent="0.45">
      <c r="A173" s="189">
        <v>46075</v>
      </c>
      <c r="B173" s="182" t="s">
        <v>330</v>
      </c>
      <c r="C173" s="183" t="s">
        <v>352</v>
      </c>
      <c r="D173" s="183" t="s">
        <v>369</v>
      </c>
      <c r="E173" s="203">
        <v>9</v>
      </c>
      <c r="F173" s="184">
        <f t="shared" si="2"/>
        <v>6030000</v>
      </c>
      <c r="G173" s="191">
        <f>IF(A173&lt;&gt;"", F173/ VLOOKUP(A173, '[1]Курс валют'!$A:$D, 4, 0), "")</f>
        <v>502.5</v>
      </c>
    </row>
    <row r="174" spans="1:7" outlineLevel="1" x14ac:dyDescent="0.45">
      <c r="A174" s="189" t="s">
        <v>94</v>
      </c>
      <c r="B174" s="182"/>
      <c r="C174" s="183"/>
      <c r="D174" s="183"/>
      <c r="E174" s="203">
        <f>SUBTOTAL(9,E130:E173)</f>
        <v>435</v>
      </c>
      <c r="F174" s="184">
        <f>SUBTOTAL(9,F130:F173)</f>
        <v>291450000</v>
      </c>
      <c r="G174" s="191"/>
    </row>
    <row r="175" spans="1:7" outlineLevel="2" x14ac:dyDescent="0.45">
      <c r="A175" s="189">
        <v>46078</v>
      </c>
      <c r="B175" s="182" t="s">
        <v>330</v>
      </c>
      <c r="C175" s="183" t="s">
        <v>365</v>
      </c>
      <c r="D175" s="183" t="s">
        <v>369</v>
      </c>
      <c r="E175" s="203">
        <v>10</v>
      </c>
      <c r="F175" s="184">
        <f t="shared" si="2"/>
        <v>6700000</v>
      </c>
      <c r="G175" s="191">
        <f>IF(A175&lt;&gt;"", F175/ VLOOKUP(A175, '[1]Курс валют'!$A:$D, 4, 0), "")</f>
        <v>554.63576158940396</v>
      </c>
    </row>
    <row r="176" spans="1:7" outlineLevel="2" x14ac:dyDescent="0.45">
      <c r="A176" s="189">
        <v>46078</v>
      </c>
      <c r="B176" s="182" t="s">
        <v>330</v>
      </c>
      <c r="C176" s="183" t="s">
        <v>349</v>
      </c>
      <c r="D176" s="183" t="s">
        <v>369</v>
      </c>
      <c r="E176" s="203">
        <v>12</v>
      </c>
      <c r="F176" s="184">
        <f t="shared" si="2"/>
        <v>8040000</v>
      </c>
      <c r="G176" s="191">
        <f>IF(A176&lt;&gt;"", F176/ VLOOKUP(A176, '[1]Курс валют'!$A:$D, 4, 0), "")</f>
        <v>665.56291390728472</v>
      </c>
    </row>
    <row r="177" spans="1:7" outlineLevel="2" x14ac:dyDescent="0.45">
      <c r="A177" s="189">
        <v>46078</v>
      </c>
      <c r="B177" s="182" t="s">
        <v>330</v>
      </c>
      <c r="C177" s="183" t="s">
        <v>371</v>
      </c>
      <c r="D177" s="183" t="s">
        <v>369</v>
      </c>
      <c r="E177" s="203">
        <v>9</v>
      </c>
      <c r="F177" s="184">
        <f t="shared" si="2"/>
        <v>6030000</v>
      </c>
      <c r="G177" s="191">
        <f>IF(A177&lt;&gt;"", F177/ VLOOKUP(A177, '[1]Курс валют'!$A:$D, 4, 0), "")</f>
        <v>499.17218543046357</v>
      </c>
    </row>
    <row r="178" spans="1:7" outlineLevel="2" x14ac:dyDescent="0.45">
      <c r="A178" s="189">
        <v>46078</v>
      </c>
      <c r="B178" s="182" t="s">
        <v>330</v>
      </c>
      <c r="C178" s="183" t="s">
        <v>380</v>
      </c>
      <c r="D178" s="183" t="s">
        <v>369</v>
      </c>
      <c r="E178" s="203">
        <v>12</v>
      </c>
      <c r="F178" s="184">
        <f t="shared" si="2"/>
        <v>8040000</v>
      </c>
      <c r="G178" s="191">
        <f>IF(A178&lt;&gt;"", F178/ VLOOKUP(A178, '[1]Курс валют'!$A:$D, 4, 0), "")</f>
        <v>665.56291390728472</v>
      </c>
    </row>
    <row r="179" spans="1:7" outlineLevel="2" x14ac:dyDescent="0.45">
      <c r="A179" s="189">
        <v>46078</v>
      </c>
      <c r="B179" s="182" t="s">
        <v>330</v>
      </c>
      <c r="C179" s="183" t="s">
        <v>359</v>
      </c>
      <c r="D179" s="183" t="s">
        <v>369</v>
      </c>
      <c r="E179" s="203">
        <v>12</v>
      </c>
      <c r="F179" s="184">
        <f t="shared" si="2"/>
        <v>8040000</v>
      </c>
      <c r="G179" s="191">
        <f>IF(A179&lt;&gt;"", F179/ VLOOKUP(A179, '[1]Курс валют'!$A:$D, 4, 0), "")</f>
        <v>665.56291390728472</v>
      </c>
    </row>
    <row r="180" spans="1:7" outlineLevel="2" x14ac:dyDescent="0.45">
      <c r="A180" s="189">
        <v>46078</v>
      </c>
      <c r="B180" s="182" t="s">
        <v>330</v>
      </c>
      <c r="C180" s="183" t="s">
        <v>364</v>
      </c>
      <c r="D180" s="183" t="s">
        <v>369</v>
      </c>
      <c r="E180" s="203">
        <v>12</v>
      </c>
      <c r="F180" s="184">
        <f t="shared" si="2"/>
        <v>8040000</v>
      </c>
      <c r="G180" s="191">
        <f>IF(A180&lt;&gt;"", F180/ VLOOKUP(A180, '[1]Курс валют'!$A:$D, 4, 0), "")</f>
        <v>665.56291390728472</v>
      </c>
    </row>
    <row r="181" spans="1:7" outlineLevel="2" x14ac:dyDescent="0.45">
      <c r="A181" s="189">
        <v>46078</v>
      </c>
      <c r="B181" s="182" t="s">
        <v>330</v>
      </c>
      <c r="C181" s="183" t="s">
        <v>351</v>
      </c>
      <c r="D181" s="183" t="s">
        <v>369</v>
      </c>
      <c r="E181" s="203">
        <v>12</v>
      </c>
      <c r="F181" s="184">
        <f t="shared" si="2"/>
        <v>8040000</v>
      </c>
      <c r="G181" s="191">
        <f>IF(A181&lt;&gt;"", F181/ VLOOKUP(A181, '[1]Курс валют'!$A:$D, 4, 0), "")</f>
        <v>665.56291390728472</v>
      </c>
    </row>
    <row r="182" spans="1:7" outlineLevel="2" x14ac:dyDescent="0.45">
      <c r="A182" s="189">
        <v>46078</v>
      </c>
      <c r="B182" s="182" t="s">
        <v>330</v>
      </c>
      <c r="C182" s="183" t="s">
        <v>339</v>
      </c>
      <c r="D182" s="183" t="s">
        <v>369</v>
      </c>
      <c r="E182" s="203">
        <v>12</v>
      </c>
      <c r="F182" s="184">
        <f t="shared" si="2"/>
        <v>8040000</v>
      </c>
      <c r="G182" s="191">
        <f>IF(A182&lt;&gt;"", F182/ VLOOKUP(A182, '[1]Курс валют'!$A:$D, 4, 0), "")</f>
        <v>665.56291390728472</v>
      </c>
    </row>
    <row r="183" spans="1:7" outlineLevel="2" x14ac:dyDescent="0.45">
      <c r="A183" s="189">
        <v>46078</v>
      </c>
      <c r="B183" s="182" t="s">
        <v>330</v>
      </c>
      <c r="C183" s="183" t="s">
        <v>338</v>
      </c>
      <c r="D183" s="183" t="s">
        <v>369</v>
      </c>
      <c r="E183" s="203">
        <v>10</v>
      </c>
      <c r="F183" s="184">
        <f t="shared" si="2"/>
        <v>6700000</v>
      </c>
      <c r="G183" s="191">
        <f>IF(A183&lt;&gt;"", F183/ VLOOKUP(A183, '[1]Курс валют'!$A:$D, 4, 0), "")</f>
        <v>554.63576158940396</v>
      </c>
    </row>
    <row r="184" spans="1:7" outlineLevel="2" x14ac:dyDescent="0.45">
      <c r="A184" s="189">
        <v>46078</v>
      </c>
      <c r="B184" s="182" t="s">
        <v>330</v>
      </c>
      <c r="C184" s="183" t="s">
        <v>354</v>
      </c>
      <c r="D184" s="183" t="s">
        <v>369</v>
      </c>
      <c r="E184" s="203">
        <v>9</v>
      </c>
      <c r="F184" s="184">
        <f t="shared" si="2"/>
        <v>6030000</v>
      </c>
      <c r="G184" s="191">
        <f>IF(A184&lt;&gt;"", F184/ VLOOKUP(A184, '[1]Курс валют'!$A:$D, 4, 0), "")</f>
        <v>499.17218543046357</v>
      </c>
    </row>
    <row r="185" spans="1:7" outlineLevel="2" x14ac:dyDescent="0.45">
      <c r="A185" s="189">
        <v>46078</v>
      </c>
      <c r="B185" s="182" t="s">
        <v>330</v>
      </c>
      <c r="C185" s="183" t="s">
        <v>347</v>
      </c>
      <c r="D185" s="183" t="s">
        <v>369</v>
      </c>
      <c r="E185" s="203">
        <v>12</v>
      </c>
      <c r="F185" s="184">
        <f t="shared" si="2"/>
        <v>8040000</v>
      </c>
      <c r="G185" s="191">
        <f>IF(A185&lt;&gt;"", F185/ VLOOKUP(A185, '[1]Курс валют'!$A:$D, 4, 0), "")</f>
        <v>665.56291390728472</v>
      </c>
    </row>
    <row r="186" spans="1:7" outlineLevel="2" x14ac:dyDescent="0.45">
      <c r="A186" s="189">
        <v>46078</v>
      </c>
      <c r="B186" s="182" t="s">
        <v>330</v>
      </c>
      <c r="C186" s="183" t="s">
        <v>375</v>
      </c>
      <c r="D186" s="183" t="s">
        <v>369</v>
      </c>
      <c r="E186" s="203">
        <v>9</v>
      </c>
      <c r="F186" s="184">
        <f t="shared" si="2"/>
        <v>6030000</v>
      </c>
      <c r="G186" s="191">
        <f>IF(A186&lt;&gt;"", F186/ VLOOKUP(A186, '[1]Курс валют'!$A:$D, 4, 0), "")</f>
        <v>499.17218543046357</v>
      </c>
    </row>
    <row r="187" spans="1:7" outlineLevel="2" x14ac:dyDescent="0.45">
      <c r="A187" s="189">
        <v>46078</v>
      </c>
      <c r="B187" s="182" t="s">
        <v>330</v>
      </c>
      <c r="C187" s="183" t="s">
        <v>355</v>
      </c>
      <c r="D187" s="183" t="s">
        <v>369</v>
      </c>
      <c r="E187" s="203">
        <v>10</v>
      </c>
      <c r="F187" s="184">
        <f t="shared" si="2"/>
        <v>6700000</v>
      </c>
      <c r="G187" s="191">
        <f>IF(A187&lt;&gt;"", F187/ VLOOKUP(A187, '[1]Курс валют'!$A:$D, 4, 0), "")</f>
        <v>554.63576158940396</v>
      </c>
    </row>
    <row r="188" spans="1:7" outlineLevel="2" x14ac:dyDescent="0.45">
      <c r="A188" s="189">
        <v>46078</v>
      </c>
      <c r="B188" s="182" t="s">
        <v>330</v>
      </c>
      <c r="C188" s="183" t="s">
        <v>349</v>
      </c>
      <c r="D188" s="183" t="s">
        <v>369</v>
      </c>
      <c r="E188" s="203">
        <v>12</v>
      </c>
      <c r="F188" s="184">
        <f t="shared" si="2"/>
        <v>8040000</v>
      </c>
      <c r="G188" s="191">
        <f>IF(A188&lt;&gt;"", F188/ VLOOKUP(A188, '[1]Курс валют'!$A:$D, 4, 0), "")</f>
        <v>665.56291390728472</v>
      </c>
    </row>
    <row r="189" spans="1:7" outlineLevel="2" x14ac:dyDescent="0.45">
      <c r="A189" s="189">
        <v>46078</v>
      </c>
      <c r="B189" s="182" t="s">
        <v>330</v>
      </c>
      <c r="C189" s="183" t="s">
        <v>336</v>
      </c>
      <c r="D189" s="183" t="s">
        <v>369</v>
      </c>
      <c r="E189" s="203">
        <v>10</v>
      </c>
      <c r="F189" s="184">
        <f t="shared" si="2"/>
        <v>6700000</v>
      </c>
      <c r="G189" s="191">
        <f>IF(A189&lt;&gt;"", F189/ VLOOKUP(A189, '[1]Курс валют'!$A:$D, 4, 0), "")</f>
        <v>554.63576158940396</v>
      </c>
    </row>
    <row r="190" spans="1:7" outlineLevel="2" x14ac:dyDescent="0.45">
      <c r="A190" s="189">
        <v>46078</v>
      </c>
      <c r="B190" s="182" t="s">
        <v>330</v>
      </c>
      <c r="C190" s="183" t="s">
        <v>383</v>
      </c>
      <c r="D190" s="183" t="s">
        <v>369</v>
      </c>
      <c r="E190" s="203">
        <v>10</v>
      </c>
      <c r="F190" s="184">
        <f t="shared" si="2"/>
        <v>6700000</v>
      </c>
      <c r="G190" s="191">
        <f>IF(A190&lt;&gt;"", F190/ VLOOKUP(A190, '[1]Курс валют'!$A:$D, 4, 0), "")</f>
        <v>554.63576158940396</v>
      </c>
    </row>
    <row r="191" spans="1:7" outlineLevel="2" x14ac:dyDescent="0.45">
      <c r="A191" s="189">
        <v>46078</v>
      </c>
      <c r="B191" s="182" t="s">
        <v>330</v>
      </c>
      <c r="C191" s="183" t="s">
        <v>352</v>
      </c>
      <c r="D191" s="183" t="s">
        <v>369</v>
      </c>
      <c r="E191" s="203">
        <v>9</v>
      </c>
      <c r="F191" s="184">
        <f t="shared" si="2"/>
        <v>6030000</v>
      </c>
      <c r="G191" s="191">
        <f>IF(A191&lt;&gt;"", F191/ VLOOKUP(A191, '[1]Курс валют'!$A:$D, 4, 0), "")</f>
        <v>499.17218543046357</v>
      </c>
    </row>
    <row r="192" spans="1:7" outlineLevel="2" x14ac:dyDescent="0.45">
      <c r="A192" s="189">
        <v>46078</v>
      </c>
      <c r="B192" s="182" t="s">
        <v>330</v>
      </c>
      <c r="C192" s="183" t="s">
        <v>381</v>
      </c>
      <c r="D192" s="183" t="s">
        <v>369</v>
      </c>
      <c r="E192" s="203">
        <v>9</v>
      </c>
      <c r="F192" s="184">
        <f t="shared" si="2"/>
        <v>6030000</v>
      </c>
      <c r="G192" s="191">
        <f>IF(A192&lt;&gt;"", F192/ VLOOKUP(A192, '[1]Курс валют'!$A:$D, 4, 0), "")</f>
        <v>499.17218543046357</v>
      </c>
    </row>
    <row r="193" spans="1:7" outlineLevel="2" x14ac:dyDescent="0.45">
      <c r="A193" s="189">
        <v>46078</v>
      </c>
      <c r="B193" s="182" t="s">
        <v>330</v>
      </c>
      <c r="C193" s="183" t="s">
        <v>356</v>
      </c>
      <c r="D193" s="183" t="s">
        <v>369</v>
      </c>
      <c r="E193" s="203">
        <v>9</v>
      </c>
      <c r="F193" s="184">
        <f t="shared" si="2"/>
        <v>6030000</v>
      </c>
      <c r="G193" s="191">
        <f>IF(A193&lt;&gt;"", F193/ VLOOKUP(A193, '[1]Курс валют'!$A:$D, 4, 0), "")</f>
        <v>499.17218543046357</v>
      </c>
    </row>
    <row r="194" spans="1:7" outlineLevel="2" x14ac:dyDescent="0.45">
      <c r="A194" s="189">
        <v>46078</v>
      </c>
      <c r="B194" s="182" t="s">
        <v>330</v>
      </c>
      <c r="C194" s="183" t="s">
        <v>331</v>
      </c>
      <c r="D194" s="183" t="s">
        <v>369</v>
      </c>
      <c r="E194" s="203">
        <v>9</v>
      </c>
      <c r="F194" s="184">
        <f t="shared" si="2"/>
        <v>6030000</v>
      </c>
      <c r="G194" s="191">
        <f>IF(A194&lt;&gt;"", F194/ VLOOKUP(A194, '[1]Курс валют'!$A:$D, 4, 0), "")</f>
        <v>499.17218543046357</v>
      </c>
    </row>
    <row r="195" spans="1:7" outlineLevel="2" x14ac:dyDescent="0.45">
      <c r="A195" s="189">
        <v>46078</v>
      </c>
      <c r="B195" s="182" t="s">
        <v>330</v>
      </c>
      <c r="C195" s="183" t="s">
        <v>341</v>
      </c>
      <c r="D195" s="183" t="s">
        <v>369</v>
      </c>
      <c r="E195" s="203">
        <v>12</v>
      </c>
      <c r="F195" s="184">
        <f t="shared" ref="F195:F258" si="3">IF(D195="М400", E195*740000, IF(D195="M150", E195*600000, IF(D195="M300", E195*670000, IF(D195="M350", E195*700000, 0))))</f>
        <v>8040000</v>
      </c>
      <c r="G195" s="191">
        <f>IF(A195&lt;&gt;"", F195/ VLOOKUP(A195, '[1]Курс валют'!$A:$D, 4, 0), "")</f>
        <v>665.56291390728472</v>
      </c>
    </row>
    <row r="196" spans="1:7" outlineLevel="2" x14ac:dyDescent="0.45">
      <c r="A196" s="189">
        <v>46078</v>
      </c>
      <c r="B196" s="182" t="s">
        <v>330</v>
      </c>
      <c r="C196" s="183" t="s">
        <v>370</v>
      </c>
      <c r="D196" s="183" t="s">
        <v>369</v>
      </c>
      <c r="E196" s="203">
        <v>10</v>
      </c>
      <c r="F196" s="184">
        <f t="shared" si="3"/>
        <v>6700000</v>
      </c>
      <c r="G196" s="191">
        <f>IF(A196&lt;&gt;"", F196/ VLOOKUP(A196, '[1]Курс валют'!$A:$D, 4, 0), "")</f>
        <v>554.63576158940396</v>
      </c>
    </row>
    <row r="197" spans="1:7" outlineLevel="2" x14ac:dyDescent="0.45">
      <c r="A197" s="189">
        <v>46078</v>
      </c>
      <c r="B197" s="182" t="s">
        <v>330</v>
      </c>
      <c r="C197" s="183" t="s">
        <v>363</v>
      </c>
      <c r="D197" s="183" t="s">
        <v>369</v>
      </c>
      <c r="E197" s="203">
        <v>10</v>
      </c>
      <c r="F197" s="184">
        <f t="shared" si="3"/>
        <v>6700000</v>
      </c>
      <c r="G197" s="191">
        <f>IF(A197&lt;&gt;"", F197/ VLOOKUP(A197, '[1]Курс валют'!$A:$D, 4, 0), "")</f>
        <v>554.63576158940396</v>
      </c>
    </row>
    <row r="198" spans="1:7" outlineLevel="2" x14ac:dyDescent="0.45">
      <c r="A198" s="189">
        <v>46078</v>
      </c>
      <c r="B198" s="182" t="s">
        <v>330</v>
      </c>
      <c r="C198" s="183" t="s">
        <v>350</v>
      </c>
      <c r="D198" s="183" t="s">
        <v>369</v>
      </c>
      <c r="E198" s="203">
        <v>9</v>
      </c>
      <c r="F198" s="184">
        <f t="shared" si="3"/>
        <v>6030000</v>
      </c>
      <c r="G198" s="191">
        <f>IF(A198&lt;&gt;"", F198/ VLOOKUP(A198, '[1]Курс валют'!$A:$D, 4, 0), "")</f>
        <v>499.17218543046357</v>
      </c>
    </row>
    <row r="199" spans="1:7" outlineLevel="2" x14ac:dyDescent="0.45">
      <c r="A199" s="189">
        <v>46078</v>
      </c>
      <c r="B199" s="182" t="s">
        <v>330</v>
      </c>
      <c r="C199" s="183" t="s">
        <v>335</v>
      </c>
      <c r="D199" s="183" t="s">
        <v>369</v>
      </c>
      <c r="E199" s="203">
        <v>10</v>
      </c>
      <c r="F199" s="184">
        <f t="shared" si="3"/>
        <v>6700000</v>
      </c>
      <c r="G199" s="191">
        <f>IF(A199&lt;&gt;"", F199/ VLOOKUP(A199, '[1]Курс валют'!$A:$D, 4, 0), "")</f>
        <v>554.63576158940396</v>
      </c>
    </row>
    <row r="200" spans="1:7" outlineLevel="2" x14ac:dyDescent="0.45">
      <c r="A200" s="189">
        <v>46078</v>
      </c>
      <c r="B200" s="182" t="s">
        <v>330</v>
      </c>
      <c r="C200" s="183" t="s">
        <v>384</v>
      </c>
      <c r="D200" s="183" t="s">
        <v>369</v>
      </c>
      <c r="E200" s="203">
        <v>10</v>
      </c>
      <c r="F200" s="184">
        <f t="shared" si="3"/>
        <v>6700000</v>
      </c>
      <c r="G200" s="191">
        <f>IF(A200&lt;&gt;"", F200/ VLOOKUP(A200, '[1]Курс валют'!$A:$D, 4, 0), "")</f>
        <v>554.63576158940396</v>
      </c>
    </row>
    <row r="201" spans="1:7" outlineLevel="2" x14ac:dyDescent="0.45">
      <c r="A201" s="189">
        <v>46078</v>
      </c>
      <c r="B201" s="182" t="s">
        <v>330</v>
      </c>
      <c r="C201" s="183" t="s">
        <v>374</v>
      </c>
      <c r="D201" s="183" t="s">
        <v>369</v>
      </c>
      <c r="E201" s="203">
        <v>9</v>
      </c>
      <c r="F201" s="184">
        <f t="shared" si="3"/>
        <v>6030000</v>
      </c>
      <c r="G201" s="191">
        <f>IF(A201&lt;&gt;"", F201/ VLOOKUP(A201, '[1]Курс валют'!$A:$D, 4, 0), "")</f>
        <v>499.17218543046357</v>
      </c>
    </row>
    <row r="202" spans="1:7" outlineLevel="2" x14ac:dyDescent="0.45">
      <c r="A202" s="189">
        <v>46078</v>
      </c>
      <c r="B202" s="182" t="s">
        <v>330</v>
      </c>
      <c r="C202" s="183" t="s">
        <v>376</v>
      </c>
      <c r="D202" s="183" t="s">
        <v>369</v>
      </c>
      <c r="E202" s="203">
        <v>9</v>
      </c>
      <c r="F202" s="184">
        <f t="shared" si="3"/>
        <v>6030000</v>
      </c>
      <c r="G202" s="191">
        <f>IF(A202&lt;&gt;"", F202/ VLOOKUP(A202, '[1]Курс валют'!$A:$D, 4, 0), "")</f>
        <v>499.17218543046357</v>
      </c>
    </row>
    <row r="203" spans="1:7" outlineLevel="2" x14ac:dyDescent="0.45">
      <c r="A203" s="189">
        <v>46078</v>
      </c>
      <c r="B203" s="182" t="s">
        <v>330</v>
      </c>
      <c r="C203" s="183" t="s">
        <v>378</v>
      </c>
      <c r="D203" s="183" t="s">
        <v>369</v>
      </c>
      <c r="E203" s="203">
        <v>10</v>
      </c>
      <c r="F203" s="184">
        <f t="shared" si="3"/>
        <v>6700000</v>
      </c>
      <c r="G203" s="191">
        <f>IF(A203&lt;&gt;"", F203/ VLOOKUP(A203, '[1]Курс валют'!$A:$D, 4, 0), "")</f>
        <v>554.63576158940396</v>
      </c>
    </row>
    <row r="204" spans="1:7" outlineLevel="2" x14ac:dyDescent="0.45">
      <c r="A204" s="189">
        <v>46078</v>
      </c>
      <c r="B204" s="182" t="s">
        <v>330</v>
      </c>
      <c r="C204" s="183" t="s">
        <v>343</v>
      </c>
      <c r="D204" s="183" t="s">
        <v>369</v>
      </c>
      <c r="E204" s="203">
        <v>12</v>
      </c>
      <c r="F204" s="184">
        <f t="shared" si="3"/>
        <v>8040000</v>
      </c>
      <c r="G204" s="191">
        <f>IF(A204&lt;&gt;"", F204/ VLOOKUP(A204, '[1]Курс валют'!$A:$D, 4, 0), "")</f>
        <v>665.56291390728472</v>
      </c>
    </row>
    <row r="205" spans="1:7" outlineLevel="2" x14ac:dyDescent="0.45">
      <c r="A205" s="189">
        <v>46078</v>
      </c>
      <c r="B205" s="182" t="s">
        <v>330</v>
      </c>
      <c r="C205" s="183" t="s">
        <v>337</v>
      </c>
      <c r="D205" s="183" t="s">
        <v>369</v>
      </c>
      <c r="E205" s="203">
        <v>10</v>
      </c>
      <c r="F205" s="184">
        <f t="shared" si="3"/>
        <v>6700000</v>
      </c>
      <c r="G205" s="191">
        <f>IF(A205&lt;&gt;"", F205/ VLOOKUP(A205, '[1]Курс валют'!$A:$D, 4, 0), "")</f>
        <v>554.63576158940396</v>
      </c>
    </row>
    <row r="206" spans="1:7" outlineLevel="2" x14ac:dyDescent="0.45">
      <c r="A206" s="189">
        <v>46078</v>
      </c>
      <c r="B206" s="182" t="s">
        <v>330</v>
      </c>
      <c r="C206" s="183" t="s">
        <v>362</v>
      </c>
      <c r="D206" s="183" t="s">
        <v>369</v>
      </c>
      <c r="E206" s="203">
        <v>9</v>
      </c>
      <c r="F206" s="184">
        <f t="shared" si="3"/>
        <v>6030000</v>
      </c>
      <c r="G206" s="191">
        <f>IF(A206&lt;&gt;"", F206/ VLOOKUP(A206, '[1]Курс валют'!$A:$D, 4, 0), "")</f>
        <v>499.17218543046357</v>
      </c>
    </row>
    <row r="207" spans="1:7" outlineLevel="2" x14ac:dyDescent="0.45">
      <c r="A207" s="189">
        <v>46078</v>
      </c>
      <c r="B207" s="182" t="s">
        <v>330</v>
      </c>
      <c r="C207" s="183" t="s">
        <v>360</v>
      </c>
      <c r="D207" s="183" t="s">
        <v>369</v>
      </c>
      <c r="E207" s="203">
        <v>10</v>
      </c>
      <c r="F207" s="184">
        <f t="shared" si="3"/>
        <v>6700000</v>
      </c>
      <c r="G207" s="191">
        <f>IF(A207&lt;&gt;"", F207/ VLOOKUP(A207, '[1]Курс валют'!$A:$D, 4, 0), "")</f>
        <v>554.63576158940396</v>
      </c>
    </row>
    <row r="208" spans="1:7" outlineLevel="2" x14ac:dyDescent="0.45">
      <c r="A208" s="189">
        <v>46078</v>
      </c>
      <c r="B208" s="182" t="s">
        <v>330</v>
      </c>
      <c r="C208" s="183" t="s">
        <v>365</v>
      </c>
      <c r="D208" s="183" t="s">
        <v>369</v>
      </c>
      <c r="E208" s="203">
        <v>10</v>
      </c>
      <c r="F208" s="184">
        <f t="shared" si="3"/>
        <v>6700000</v>
      </c>
      <c r="G208" s="191">
        <f>IF(A208&lt;&gt;"", F208/ VLOOKUP(A208, '[1]Курс валют'!$A:$D, 4, 0), "")</f>
        <v>554.63576158940396</v>
      </c>
    </row>
    <row r="209" spans="1:7" outlineLevel="2" x14ac:dyDescent="0.45">
      <c r="A209" s="189">
        <v>46078</v>
      </c>
      <c r="B209" s="182" t="s">
        <v>330</v>
      </c>
      <c r="C209" s="183" t="s">
        <v>371</v>
      </c>
      <c r="D209" s="183" t="s">
        <v>369</v>
      </c>
      <c r="E209" s="203">
        <v>9</v>
      </c>
      <c r="F209" s="184">
        <f t="shared" si="3"/>
        <v>6030000</v>
      </c>
      <c r="G209" s="191">
        <f>IF(A209&lt;&gt;"", F209/ VLOOKUP(A209, '[1]Курс валют'!$A:$D, 4, 0), "")</f>
        <v>499.17218543046357</v>
      </c>
    </row>
    <row r="210" spans="1:7" outlineLevel="2" x14ac:dyDescent="0.45">
      <c r="A210" s="189">
        <v>46078</v>
      </c>
      <c r="B210" s="182" t="s">
        <v>330</v>
      </c>
      <c r="C210" s="183" t="s">
        <v>385</v>
      </c>
      <c r="D210" s="183" t="s">
        <v>369</v>
      </c>
      <c r="E210" s="203">
        <v>10</v>
      </c>
      <c r="F210" s="184">
        <f t="shared" si="3"/>
        <v>6700000</v>
      </c>
      <c r="G210" s="191">
        <f>IF(A210&lt;&gt;"", F210/ VLOOKUP(A210, '[1]Курс валют'!$A:$D, 4, 0), "")</f>
        <v>554.63576158940396</v>
      </c>
    </row>
    <row r="211" spans="1:7" outlineLevel="2" x14ac:dyDescent="0.45">
      <c r="A211" s="189">
        <v>46078</v>
      </c>
      <c r="B211" s="182" t="s">
        <v>330</v>
      </c>
      <c r="C211" s="183" t="s">
        <v>351</v>
      </c>
      <c r="D211" s="183" t="s">
        <v>369</v>
      </c>
      <c r="E211" s="203">
        <v>12</v>
      </c>
      <c r="F211" s="184">
        <f t="shared" si="3"/>
        <v>8040000</v>
      </c>
      <c r="G211" s="191">
        <f>IF(A211&lt;&gt;"", F211/ VLOOKUP(A211, '[1]Курс валют'!$A:$D, 4, 0), "")</f>
        <v>665.56291390728472</v>
      </c>
    </row>
    <row r="212" spans="1:7" outlineLevel="2" x14ac:dyDescent="0.45">
      <c r="A212" s="189">
        <v>46078</v>
      </c>
      <c r="B212" s="182" t="s">
        <v>330</v>
      </c>
      <c r="C212" s="183" t="s">
        <v>359</v>
      </c>
      <c r="D212" s="183" t="s">
        <v>369</v>
      </c>
      <c r="E212" s="203">
        <v>12</v>
      </c>
      <c r="F212" s="184">
        <f t="shared" si="3"/>
        <v>8040000</v>
      </c>
      <c r="G212" s="191">
        <f>IF(A212&lt;&gt;"", F212/ VLOOKUP(A212, '[1]Курс валют'!$A:$D, 4, 0), "")</f>
        <v>665.56291390728472</v>
      </c>
    </row>
    <row r="213" spans="1:7" outlineLevel="2" x14ac:dyDescent="0.45">
      <c r="A213" s="189">
        <v>46078</v>
      </c>
      <c r="B213" s="182" t="s">
        <v>330</v>
      </c>
      <c r="C213" s="183" t="s">
        <v>338</v>
      </c>
      <c r="D213" s="183" t="s">
        <v>369</v>
      </c>
      <c r="E213" s="203">
        <v>10</v>
      </c>
      <c r="F213" s="184">
        <f t="shared" si="3"/>
        <v>6700000</v>
      </c>
      <c r="G213" s="191">
        <f>IF(A213&lt;&gt;"", F213/ VLOOKUP(A213, '[1]Курс валют'!$A:$D, 4, 0), "")</f>
        <v>554.63576158940396</v>
      </c>
    </row>
    <row r="214" spans="1:7" outlineLevel="2" x14ac:dyDescent="0.45">
      <c r="A214" s="189">
        <v>46078</v>
      </c>
      <c r="B214" s="182" t="s">
        <v>330</v>
      </c>
      <c r="C214" s="183" t="s">
        <v>380</v>
      </c>
      <c r="D214" s="183" t="s">
        <v>369</v>
      </c>
      <c r="E214" s="203">
        <v>12</v>
      </c>
      <c r="F214" s="184">
        <f t="shared" si="3"/>
        <v>8040000</v>
      </c>
      <c r="G214" s="191">
        <f>IF(A214&lt;&gt;"", F214/ VLOOKUP(A214, '[1]Курс валют'!$A:$D, 4, 0), "")</f>
        <v>665.56291390728472</v>
      </c>
    </row>
    <row r="215" spans="1:7" outlineLevel="2" x14ac:dyDescent="0.45">
      <c r="A215" s="189">
        <v>46078</v>
      </c>
      <c r="B215" s="182" t="s">
        <v>330</v>
      </c>
      <c r="C215" s="183" t="s">
        <v>357</v>
      </c>
      <c r="D215" s="183" t="s">
        <v>369</v>
      </c>
      <c r="E215" s="203">
        <v>10</v>
      </c>
      <c r="F215" s="184">
        <f t="shared" si="3"/>
        <v>6700000</v>
      </c>
      <c r="G215" s="191">
        <f>IF(A215&lt;&gt;"", F215/ VLOOKUP(A215, '[1]Курс валют'!$A:$D, 4, 0), "")</f>
        <v>554.63576158940396</v>
      </c>
    </row>
    <row r="216" spans="1:7" outlineLevel="2" x14ac:dyDescent="0.45">
      <c r="A216" s="189">
        <v>46078</v>
      </c>
      <c r="B216" s="182" t="s">
        <v>330</v>
      </c>
      <c r="C216" s="183" t="s">
        <v>373</v>
      </c>
      <c r="D216" s="183" t="s">
        <v>369</v>
      </c>
      <c r="E216" s="203">
        <v>9</v>
      </c>
      <c r="F216" s="184">
        <f t="shared" si="3"/>
        <v>6030000</v>
      </c>
      <c r="G216" s="191">
        <f>IF(A216&lt;&gt;"", F216/ VLOOKUP(A216, '[1]Курс валют'!$A:$D, 4, 0), "")</f>
        <v>499.17218543046357</v>
      </c>
    </row>
    <row r="217" spans="1:7" outlineLevel="2" x14ac:dyDescent="0.45">
      <c r="A217" s="189">
        <v>46078</v>
      </c>
      <c r="B217" s="182" t="s">
        <v>330</v>
      </c>
      <c r="C217" s="183" t="s">
        <v>354</v>
      </c>
      <c r="D217" s="183" t="s">
        <v>369</v>
      </c>
      <c r="E217" s="203">
        <v>9</v>
      </c>
      <c r="F217" s="184">
        <f t="shared" si="3"/>
        <v>6030000</v>
      </c>
      <c r="G217" s="191">
        <f>IF(A217&lt;&gt;"", F217/ VLOOKUP(A217, '[1]Курс валют'!$A:$D, 4, 0), "")</f>
        <v>499.17218543046357</v>
      </c>
    </row>
    <row r="218" spans="1:7" outlineLevel="2" x14ac:dyDescent="0.45">
      <c r="A218" s="189">
        <v>46078</v>
      </c>
      <c r="B218" s="182" t="s">
        <v>330</v>
      </c>
      <c r="C218" s="183" t="s">
        <v>355</v>
      </c>
      <c r="D218" s="183" t="s">
        <v>369</v>
      </c>
      <c r="E218" s="203">
        <v>10</v>
      </c>
      <c r="F218" s="184">
        <f t="shared" si="3"/>
        <v>6700000</v>
      </c>
      <c r="G218" s="191">
        <f>IF(A218&lt;&gt;"", F218/ VLOOKUP(A218, '[1]Курс валют'!$A:$D, 4, 0), "")</f>
        <v>554.63576158940396</v>
      </c>
    </row>
    <row r="219" spans="1:7" outlineLevel="2" x14ac:dyDescent="0.45">
      <c r="A219" s="189">
        <v>46078</v>
      </c>
      <c r="B219" s="182" t="s">
        <v>330</v>
      </c>
      <c r="C219" s="183" t="s">
        <v>336</v>
      </c>
      <c r="D219" s="183" t="s">
        <v>369</v>
      </c>
      <c r="E219" s="203">
        <v>10</v>
      </c>
      <c r="F219" s="184">
        <f t="shared" si="3"/>
        <v>6700000</v>
      </c>
      <c r="G219" s="191">
        <f>IF(A219&lt;&gt;"", F219/ VLOOKUP(A219, '[1]Курс валют'!$A:$D, 4, 0), "")</f>
        <v>554.63576158940396</v>
      </c>
    </row>
    <row r="220" spans="1:7" outlineLevel="2" x14ac:dyDescent="0.45">
      <c r="A220" s="189">
        <v>46078</v>
      </c>
      <c r="B220" s="182" t="s">
        <v>330</v>
      </c>
      <c r="C220" s="183" t="s">
        <v>353</v>
      </c>
      <c r="D220" s="183" t="s">
        <v>369</v>
      </c>
      <c r="E220" s="203">
        <v>10</v>
      </c>
      <c r="F220" s="184">
        <f t="shared" si="3"/>
        <v>6700000</v>
      </c>
      <c r="G220" s="191">
        <f>IF(A220&lt;&gt;"", F220/ VLOOKUP(A220, '[1]Курс валют'!$A:$D, 4, 0), "")</f>
        <v>554.63576158940396</v>
      </c>
    </row>
    <row r="221" spans="1:7" outlineLevel="2" x14ac:dyDescent="0.45">
      <c r="A221" s="189">
        <v>46078</v>
      </c>
      <c r="B221" s="182" t="s">
        <v>330</v>
      </c>
      <c r="C221" s="183" t="s">
        <v>372</v>
      </c>
      <c r="D221" s="183" t="s">
        <v>369</v>
      </c>
      <c r="E221" s="203">
        <v>9</v>
      </c>
      <c r="F221" s="184">
        <f t="shared" si="3"/>
        <v>6030000</v>
      </c>
      <c r="G221" s="191">
        <f>IF(A221&lt;&gt;"", F221/ VLOOKUP(A221, '[1]Курс валют'!$A:$D, 4, 0), "")</f>
        <v>499.17218543046357</v>
      </c>
    </row>
    <row r="222" spans="1:7" outlineLevel="2" x14ac:dyDescent="0.45">
      <c r="A222" s="189">
        <v>46078</v>
      </c>
      <c r="B222" s="182" t="s">
        <v>330</v>
      </c>
      <c r="C222" s="183" t="s">
        <v>347</v>
      </c>
      <c r="D222" s="183" t="s">
        <v>369</v>
      </c>
      <c r="E222" s="203">
        <v>12</v>
      </c>
      <c r="F222" s="184">
        <f t="shared" si="3"/>
        <v>8040000</v>
      </c>
      <c r="G222" s="191">
        <f>IF(A222&lt;&gt;"", F222/ VLOOKUP(A222, '[1]Курс валют'!$A:$D, 4, 0), "")</f>
        <v>665.56291390728472</v>
      </c>
    </row>
    <row r="223" spans="1:7" outlineLevel="2" x14ac:dyDescent="0.45">
      <c r="A223" s="189">
        <v>46078</v>
      </c>
      <c r="B223" s="182" t="s">
        <v>330</v>
      </c>
      <c r="C223" s="183" t="s">
        <v>383</v>
      </c>
      <c r="D223" s="183" t="s">
        <v>369</v>
      </c>
      <c r="E223" s="203">
        <v>10</v>
      </c>
      <c r="F223" s="184">
        <f t="shared" si="3"/>
        <v>6700000</v>
      </c>
      <c r="G223" s="191">
        <f>IF(A223&lt;&gt;"", F223/ VLOOKUP(A223, '[1]Курс валют'!$A:$D, 4, 0), "")</f>
        <v>554.63576158940396</v>
      </c>
    </row>
    <row r="224" spans="1:7" outlineLevel="2" x14ac:dyDescent="0.45">
      <c r="A224" s="189">
        <v>46078</v>
      </c>
      <c r="B224" s="182" t="s">
        <v>330</v>
      </c>
      <c r="C224" s="183" t="s">
        <v>356</v>
      </c>
      <c r="D224" s="183" t="s">
        <v>369</v>
      </c>
      <c r="E224" s="203">
        <v>9</v>
      </c>
      <c r="F224" s="184">
        <f t="shared" si="3"/>
        <v>6030000</v>
      </c>
      <c r="G224" s="191">
        <f>IF(A224&lt;&gt;"", F224/ VLOOKUP(A224, '[1]Курс валют'!$A:$D, 4, 0), "")</f>
        <v>499.17218543046357</v>
      </c>
    </row>
    <row r="225" spans="1:7" outlineLevel="2" x14ac:dyDescent="0.45">
      <c r="A225" s="189">
        <v>46078</v>
      </c>
      <c r="B225" s="182" t="s">
        <v>330</v>
      </c>
      <c r="C225" s="183" t="s">
        <v>339</v>
      </c>
      <c r="D225" s="183" t="s">
        <v>369</v>
      </c>
      <c r="E225" s="203">
        <v>12</v>
      </c>
      <c r="F225" s="184">
        <f t="shared" si="3"/>
        <v>8040000</v>
      </c>
      <c r="G225" s="191">
        <f>IF(A225&lt;&gt;"", F225/ VLOOKUP(A225, '[1]Курс валют'!$A:$D, 4, 0), "")</f>
        <v>665.56291390728472</v>
      </c>
    </row>
    <row r="226" spans="1:7" outlineLevel="2" x14ac:dyDescent="0.45">
      <c r="A226" s="189">
        <v>46078</v>
      </c>
      <c r="B226" s="182" t="s">
        <v>330</v>
      </c>
      <c r="C226" s="183" t="s">
        <v>382</v>
      </c>
      <c r="D226" s="183" t="s">
        <v>369</v>
      </c>
      <c r="E226" s="203">
        <v>10</v>
      </c>
      <c r="F226" s="184">
        <f t="shared" si="3"/>
        <v>6700000</v>
      </c>
      <c r="G226" s="191">
        <f>IF(A226&lt;&gt;"", F226/ VLOOKUP(A226, '[1]Курс валют'!$A:$D, 4, 0), "")</f>
        <v>554.63576158940396</v>
      </c>
    </row>
    <row r="227" spans="1:7" outlineLevel="2" x14ac:dyDescent="0.45">
      <c r="A227" s="189">
        <v>46078</v>
      </c>
      <c r="B227" s="182" t="s">
        <v>330</v>
      </c>
      <c r="C227" s="183" t="s">
        <v>349</v>
      </c>
      <c r="D227" s="183" t="s">
        <v>369</v>
      </c>
      <c r="E227" s="203">
        <v>12</v>
      </c>
      <c r="F227" s="184">
        <f t="shared" si="3"/>
        <v>8040000</v>
      </c>
      <c r="G227" s="191">
        <f>IF(A227&lt;&gt;"", F227/ VLOOKUP(A227, '[1]Курс валют'!$A:$D, 4, 0), "")</f>
        <v>665.56291390728472</v>
      </c>
    </row>
    <row r="228" spans="1:7" outlineLevel="2" x14ac:dyDescent="0.45">
      <c r="A228" s="189">
        <v>46078</v>
      </c>
      <c r="B228" s="182" t="s">
        <v>330</v>
      </c>
      <c r="C228" s="183" t="s">
        <v>370</v>
      </c>
      <c r="D228" s="183" t="s">
        <v>369</v>
      </c>
      <c r="E228" s="203">
        <v>10</v>
      </c>
      <c r="F228" s="184">
        <f t="shared" si="3"/>
        <v>6700000</v>
      </c>
      <c r="G228" s="191">
        <f>IF(A228&lt;&gt;"", F228/ VLOOKUP(A228, '[1]Курс валют'!$A:$D, 4, 0), "")</f>
        <v>554.63576158940396</v>
      </c>
    </row>
    <row r="229" spans="1:7" outlineLevel="2" x14ac:dyDescent="0.45">
      <c r="A229" s="189">
        <v>46078</v>
      </c>
      <c r="B229" s="182" t="s">
        <v>330</v>
      </c>
      <c r="C229" s="183" t="s">
        <v>350</v>
      </c>
      <c r="D229" s="183" t="s">
        <v>369</v>
      </c>
      <c r="E229" s="203">
        <v>9</v>
      </c>
      <c r="F229" s="184">
        <f t="shared" si="3"/>
        <v>6030000</v>
      </c>
      <c r="G229" s="191">
        <f>IF(A229&lt;&gt;"", F229/ VLOOKUP(A229, '[1]Курс валют'!$A:$D, 4, 0), "")</f>
        <v>499.17218543046357</v>
      </c>
    </row>
    <row r="230" spans="1:7" outlineLevel="2" x14ac:dyDescent="0.45">
      <c r="A230" s="189">
        <v>46078</v>
      </c>
      <c r="B230" s="182" t="s">
        <v>330</v>
      </c>
      <c r="C230" s="183" t="s">
        <v>374</v>
      </c>
      <c r="D230" s="183" t="s">
        <v>369</v>
      </c>
      <c r="E230" s="203">
        <v>9</v>
      </c>
      <c r="F230" s="184">
        <f t="shared" si="3"/>
        <v>6030000</v>
      </c>
      <c r="G230" s="191">
        <f>IF(A230&lt;&gt;"", F230/ VLOOKUP(A230, '[1]Курс валют'!$A:$D, 4, 0), "")</f>
        <v>499.17218543046357</v>
      </c>
    </row>
    <row r="231" spans="1:7" outlineLevel="2" x14ac:dyDescent="0.45">
      <c r="A231" s="189">
        <v>46078</v>
      </c>
      <c r="B231" s="182" t="s">
        <v>330</v>
      </c>
      <c r="C231" s="183" t="s">
        <v>376</v>
      </c>
      <c r="D231" s="183" t="s">
        <v>369</v>
      </c>
      <c r="E231" s="203">
        <v>9</v>
      </c>
      <c r="F231" s="184">
        <f t="shared" si="3"/>
        <v>6030000</v>
      </c>
      <c r="G231" s="191">
        <f>IF(A231&lt;&gt;"", F231/ VLOOKUP(A231, '[1]Курс валют'!$A:$D, 4, 0), "")</f>
        <v>499.17218543046357</v>
      </c>
    </row>
    <row r="232" spans="1:7" outlineLevel="2" x14ac:dyDescent="0.45">
      <c r="A232" s="189">
        <v>46078</v>
      </c>
      <c r="B232" s="182" t="s">
        <v>330</v>
      </c>
      <c r="C232" s="183" t="s">
        <v>335</v>
      </c>
      <c r="D232" s="183" t="s">
        <v>369</v>
      </c>
      <c r="E232" s="203">
        <v>10</v>
      </c>
      <c r="F232" s="184">
        <f t="shared" si="3"/>
        <v>6700000</v>
      </c>
      <c r="G232" s="191">
        <f>IF(A232&lt;&gt;"", F232/ VLOOKUP(A232, '[1]Курс валют'!$A:$D, 4, 0), "")</f>
        <v>554.63576158940396</v>
      </c>
    </row>
    <row r="233" spans="1:7" outlineLevel="2" x14ac:dyDescent="0.45">
      <c r="A233" s="189">
        <v>46078</v>
      </c>
      <c r="B233" s="182" t="s">
        <v>330</v>
      </c>
      <c r="C233" s="183" t="s">
        <v>384</v>
      </c>
      <c r="D233" s="183" t="s">
        <v>369</v>
      </c>
      <c r="E233" s="203">
        <v>10</v>
      </c>
      <c r="F233" s="184">
        <f t="shared" si="3"/>
        <v>6700000</v>
      </c>
      <c r="G233" s="191">
        <f>IF(A233&lt;&gt;"", F233/ VLOOKUP(A233, '[1]Курс валют'!$A:$D, 4, 0), "")</f>
        <v>554.63576158940396</v>
      </c>
    </row>
    <row r="234" spans="1:7" outlineLevel="2" x14ac:dyDescent="0.45">
      <c r="A234" s="189">
        <v>46078</v>
      </c>
      <c r="B234" s="182" t="s">
        <v>330</v>
      </c>
      <c r="C234" s="183" t="s">
        <v>331</v>
      </c>
      <c r="D234" s="183" t="s">
        <v>369</v>
      </c>
      <c r="E234" s="203">
        <v>9</v>
      </c>
      <c r="F234" s="184">
        <f t="shared" si="3"/>
        <v>6030000</v>
      </c>
      <c r="G234" s="191">
        <f>IF(A234&lt;&gt;"", F234/ VLOOKUP(A234, '[1]Курс валют'!$A:$D, 4, 0), "")</f>
        <v>499.17218543046357</v>
      </c>
    </row>
    <row r="235" spans="1:7" outlineLevel="2" x14ac:dyDescent="0.45">
      <c r="A235" s="189">
        <v>46078</v>
      </c>
      <c r="B235" s="182" t="s">
        <v>330</v>
      </c>
      <c r="C235" s="183" t="s">
        <v>358</v>
      </c>
      <c r="D235" s="183" t="s">
        <v>369</v>
      </c>
      <c r="E235" s="203">
        <v>9</v>
      </c>
      <c r="F235" s="184">
        <f t="shared" si="3"/>
        <v>6030000</v>
      </c>
      <c r="G235" s="191">
        <f>IF(A235&lt;&gt;"", F235/ VLOOKUP(A235, '[1]Курс валют'!$A:$D, 4, 0), "")</f>
        <v>499.17218543046357</v>
      </c>
    </row>
    <row r="236" spans="1:7" outlineLevel="2" x14ac:dyDescent="0.45">
      <c r="A236" s="189">
        <v>46078</v>
      </c>
      <c r="B236" s="182" t="s">
        <v>330</v>
      </c>
      <c r="C236" s="183" t="s">
        <v>375</v>
      </c>
      <c r="D236" s="183" t="s">
        <v>369</v>
      </c>
      <c r="E236" s="203">
        <v>9</v>
      </c>
      <c r="F236" s="184">
        <f t="shared" si="3"/>
        <v>6030000</v>
      </c>
      <c r="G236" s="191">
        <f>IF(A236&lt;&gt;"", F236/ VLOOKUP(A236, '[1]Курс валют'!$A:$D, 4, 0), "")</f>
        <v>499.17218543046357</v>
      </c>
    </row>
    <row r="237" spans="1:7" outlineLevel="1" x14ac:dyDescent="0.45">
      <c r="A237" s="189" t="s">
        <v>386</v>
      </c>
      <c r="B237" s="182"/>
      <c r="C237" s="183"/>
      <c r="D237" s="183"/>
      <c r="E237" s="203">
        <f>SUBTOTAL(9,E175:E236)</f>
        <v>630</v>
      </c>
      <c r="F237" s="184">
        <f>SUBTOTAL(9,F175:F236)</f>
        <v>422100000</v>
      </c>
      <c r="G237" s="191"/>
    </row>
    <row r="238" spans="1:7" outlineLevel="2" x14ac:dyDescent="0.45">
      <c r="A238" s="189">
        <v>46081</v>
      </c>
      <c r="B238" s="182" t="s">
        <v>330</v>
      </c>
      <c r="C238" s="183" t="s">
        <v>372</v>
      </c>
      <c r="D238" s="183" t="s">
        <v>369</v>
      </c>
      <c r="E238" s="203">
        <v>5</v>
      </c>
      <c r="F238" s="184">
        <f t="shared" si="3"/>
        <v>3350000</v>
      </c>
      <c r="G238" s="191">
        <f>IF(A238&lt;&gt;"", F238/ VLOOKUP(A238, '[1]Курс валют'!$A:$D, 4, 0), "")</f>
        <v>277.31788079470198</v>
      </c>
    </row>
    <row r="239" spans="1:7" outlineLevel="2" x14ac:dyDescent="0.45">
      <c r="A239" s="189">
        <v>46081</v>
      </c>
      <c r="B239" s="182" t="s">
        <v>330</v>
      </c>
      <c r="C239" s="183" t="s">
        <v>338</v>
      </c>
      <c r="D239" s="183" t="s">
        <v>369</v>
      </c>
      <c r="E239" s="203">
        <v>10</v>
      </c>
      <c r="F239" s="184">
        <f t="shared" si="3"/>
        <v>6700000</v>
      </c>
      <c r="G239" s="191">
        <f>IF(A239&lt;&gt;"", F239/ VLOOKUP(A239, '[1]Курс валют'!$A:$D, 4, 0), "")</f>
        <v>554.63576158940396</v>
      </c>
    </row>
    <row r="240" spans="1:7" outlineLevel="2" x14ac:dyDescent="0.45">
      <c r="A240" s="189">
        <v>46081</v>
      </c>
      <c r="B240" s="182" t="s">
        <v>330</v>
      </c>
      <c r="C240" s="183" t="s">
        <v>349</v>
      </c>
      <c r="D240" s="183" t="s">
        <v>369</v>
      </c>
      <c r="E240" s="203">
        <v>12</v>
      </c>
      <c r="F240" s="184">
        <f t="shared" si="3"/>
        <v>8040000</v>
      </c>
      <c r="G240" s="191">
        <f>IF(A240&lt;&gt;"", F240/ VLOOKUP(A240, '[1]Курс валют'!$A:$D, 4, 0), "")</f>
        <v>665.56291390728472</v>
      </c>
    </row>
    <row r="241" spans="1:7" outlineLevel="2" x14ac:dyDescent="0.45">
      <c r="A241" s="189">
        <v>46081</v>
      </c>
      <c r="B241" s="182" t="s">
        <v>330</v>
      </c>
      <c r="C241" s="183" t="s">
        <v>383</v>
      </c>
      <c r="D241" s="183" t="s">
        <v>369</v>
      </c>
      <c r="E241" s="203">
        <v>9</v>
      </c>
      <c r="F241" s="184">
        <f t="shared" si="3"/>
        <v>6030000</v>
      </c>
      <c r="G241" s="191">
        <f>IF(A241&lt;&gt;"", F241/ VLOOKUP(A241, '[1]Курс валют'!$A:$D, 4, 0), "")</f>
        <v>499.17218543046357</v>
      </c>
    </row>
    <row r="242" spans="1:7" outlineLevel="2" x14ac:dyDescent="0.45">
      <c r="A242" s="189">
        <v>46081</v>
      </c>
      <c r="B242" s="182" t="s">
        <v>330</v>
      </c>
      <c r="C242" s="183" t="s">
        <v>355</v>
      </c>
      <c r="D242" s="183" t="s">
        <v>369</v>
      </c>
      <c r="E242" s="203">
        <v>10</v>
      </c>
      <c r="F242" s="184">
        <f t="shared" si="3"/>
        <v>6700000</v>
      </c>
      <c r="G242" s="191">
        <f>IF(A242&lt;&gt;"", F242/ VLOOKUP(A242, '[1]Курс валют'!$A:$D, 4, 0), "")</f>
        <v>554.63576158940396</v>
      </c>
    </row>
    <row r="243" spans="1:7" outlineLevel="2" x14ac:dyDescent="0.45">
      <c r="A243" s="189">
        <v>46081</v>
      </c>
      <c r="B243" s="182" t="s">
        <v>330</v>
      </c>
      <c r="C243" s="183" t="s">
        <v>354</v>
      </c>
      <c r="D243" s="183" t="s">
        <v>369</v>
      </c>
      <c r="E243" s="203">
        <v>10</v>
      </c>
      <c r="F243" s="184">
        <f t="shared" si="3"/>
        <v>6700000</v>
      </c>
      <c r="G243" s="191">
        <f>IF(A243&lt;&gt;"", F243/ VLOOKUP(A243, '[1]Курс валют'!$A:$D, 4, 0), "")</f>
        <v>554.63576158940396</v>
      </c>
    </row>
    <row r="244" spans="1:7" outlineLevel="2" x14ac:dyDescent="0.45">
      <c r="A244" s="189">
        <v>46081</v>
      </c>
      <c r="B244" s="182" t="s">
        <v>330</v>
      </c>
      <c r="C244" s="183" t="s">
        <v>382</v>
      </c>
      <c r="D244" s="183" t="s">
        <v>369</v>
      </c>
      <c r="E244" s="203">
        <v>10</v>
      </c>
      <c r="F244" s="184">
        <f t="shared" si="3"/>
        <v>6700000</v>
      </c>
      <c r="G244" s="191">
        <f>IF(A244&lt;&gt;"", F244/ VLOOKUP(A244, '[1]Курс валют'!$A:$D, 4, 0), "")</f>
        <v>554.63576158940396</v>
      </c>
    </row>
    <row r="245" spans="1:7" outlineLevel="2" x14ac:dyDescent="0.45">
      <c r="A245" s="189">
        <v>46081</v>
      </c>
      <c r="B245" s="182" t="s">
        <v>330</v>
      </c>
      <c r="C245" s="183" t="s">
        <v>362</v>
      </c>
      <c r="D245" s="183" t="s">
        <v>369</v>
      </c>
      <c r="E245" s="203">
        <v>9</v>
      </c>
      <c r="F245" s="184">
        <f t="shared" si="3"/>
        <v>6030000</v>
      </c>
      <c r="G245" s="191">
        <f>IF(A245&lt;&gt;"", F245/ VLOOKUP(A245, '[1]Курс валют'!$A:$D, 4, 0), "")</f>
        <v>499.17218543046357</v>
      </c>
    </row>
    <row r="246" spans="1:7" outlineLevel="2" x14ac:dyDescent="0.45">
      <c r="A246" s="189">
        <v>46081</v>
      </c>
      <c r="B246" s="182" t="s">
        <v>330</v>
      </c>
      <c r="C246" s="183" t="s">
        <v>385</v>
      </c>
      <c r="D246" s="183" t="s">
        <v>369</v>
      </c>
      <c r="E246" s="203">
        <v>10</v>
      </c>
      <c r="F246" s="184">
        <f t="shared" si="3"/>
        <v>6700000</v>
      </c>
      <c r="G246" s="191">
        <f>IF(A246&lt;&gt;"", F246/ VLOOKUP(A246, '[1]Курс валют'!$A:$D, 4, 0), "")</f>
        <v>554.63576158940396</v>
      </c>
    </row>
    <row r="247" spans="1:7" outlineLevel="2" x14ac:dyDescent="0.45">
      <c r="A247" s="189">
        <v>46081</v>
      </c>
      <c r="B247" s="182" t="s">
        <v>330</v>
      </c>
      <c r="C247" s="185" t="s">
        <v>387</v>
      </c>
      <c r="D247" s="183" t="s">
        <v>369</v>
      </c>
      <c r="E247" s="203">
        <v>12</v>
      </c>
      <c r="F247" s="184">
        <f t="shared" si="3"/>
        <v>8040000</v>
      </c>
      <c r="G247" s="191">
        <f>IF(A247&lt;&gt;"", F247/ VLOOKUP(A247, '[1]Курс валют'!$A:$D, 4, 0), "")</f>
        <v>665.56291390728472</v>
      </c>
    </row>
    <row r="248" spans="1:7" outlineLevel="2" x14ac:dyDescent="0.45">
      <c r="A248" s="189">
        <v>46081</v>
      </c>
      <c r="B248" s="182" t="s">
        <v>330</v>
      </c>
      <c r="C248" s="183" t="s">
        <v>337</v>
      </c>
      <c r="D248" s="183" t="s">
        <v>369</v>
      </c>
      <c r="E248" s="203">
        <v>10</v>
      </c>
      <c r="F248" s="184">
        <f t="shared" si="3"/>
        <v>6700000</v>
      </c>
      <c r="G248" s="191">
        <f>IF(A248&lt;&gt;"", F248/ VLOOKUP(A248, '[1]Курс валют'!$A:$D, 4, 0), "")</f>
        <v>554.63576158940396</v>
      </c>
    </row>
    <row r="249" spans="1:7" outlineLevel="2" x14ac:dyDescent="0.45">
      <c r="A249" s="189">
        <v>46081</v>
      </c>
      <c r="B249" s="182" t="s">
        <v>330</v>
      </c>
      <c r="C249" s="183" t="s">
        <v>370</v>
      </c>
      <c r="D249" s="183" t="s">
        <v>369</v>
      </c>
      <c r="E249" s="203">
        <v>10</v>
      </c>
      <c r="F249" s="184">
        <f t="shared" si="3"/>
        <v>6700000</v>
      </c>
      <c r="G249" s="191">
        <f>IF(A249&lt;&gt;"", F249/ VLOOKUP(A249, '[1]Курс валют'!$A:$D, 4, 0), "")</f>
        <v>554.63576158940396</v>
      </c>
    </row>
    <row r="250" spans="1:7" outlineLevel="2" x14ac:dyDescent="0.45">
      <c r="A250" s="189">
        <v>46081</v>
      </c>
      <c r="B250" s="182" t="s">
        <v>330</v>
      </c>
      <c r="C250" s="183" t="s">
        <v>335</v>
      </c>
      <c r="D250" s="183" t="s">
        <v>369</v>
      </c>
      <c r="E250" s="203">
        <v>10</v>
      </c>
      <c r="F250" s="184">
        <f t="shared" si="3"/>
        <v>6700000</v>
      </c>
      <c r="G250" s="191">
        <f>IF(A250&lt;&gt;"", F250/ VLOOKUP(A250, '[1]Курс валют'!$A:$D, 4, 0), "")</f>
        <v>554.63576158940396</v>
      </c>
    </row>
    <row r="251" spans="1:7" outlineLevel="2" x14ac:dyDescent="0.45">
      <c r="A251" s="189">
        <v>46081</v>
      </c>
      <c r="B251" s="182" t="s">
        <v>330</v>
      </c>
      <c r="C251" s="183" t="s">
        <v>371</v>
      </c>
      <c r="D251" s="183" t="s">
        <v>369</v>
      </c>
      <c r="E251" s="203">
        <v>9</v>
      </c>
      <c r="F251" s="184">
        <f t="shared" si="3"/>
        <v>6030000</v>
      </c>
      <c r="G251" s="191">
        <f>IF(A251&lt;&gt;"", F251/ VLOOKUP(A251, '[1]Курс валют'!$A:$D, 4, 0), "")</f>
        <v>499.17218543046357</v>
      </c>
    </row>
    <row r="252" spans="1:7" outlineLevel="2" x14ac:dyDescent="0.45">
      <c r="A252" s="189">
        <v>46081</v>
      </c>
      <c r="B252" s="182" t="s">
        <v>330</v>
      </c>
      <c r="C252" s="183" t="s">
        <v>384</v>
      </c>
      <c r="D252" s="183" t="s">
        <v>369</v>
      </c>
      <c r="E252" s="203">
        <v>10</v>
      </c>
      <c r="F252" s="184">
        <f t="shared" si="3"/>
        <v>6700000</v>
      </c>
      <c r="G252" s="191">
        <f>IF(A252&lt;&gt;"", F252/ VLOOKUP(A252, '[1]Курс валют'!$A:$D, 4, 0), "")</f>
        <v>554.63576158940396</v>
      </c>
    </row>
    <row r="253" spans="1:7" outlineLevel="2" x14ac:dyDescent="0.45">
      <c r="A253" s="189">
        <v>46081</v>
      </c>
      <c r="B253" s="182" t="s">
        <v>330</v>
      </c>
      <c r="C253" s="183" t="s">
        <v>388</v>
      </c>
      <c r="D253" s="183" t="s">
        <v>369</v>
      </c>
      <c r="E253" s="203">
        <v>10</v>
      </c>
      <c r="F253" s="184">
        <f t="shared" si="3"/>
        <v>6700000</v>
      </c>
      <c r="G253" s="191">
        <f>IF(A253&lt;&gt;"", F253/ VLOOKUP(A253, '[1]Курс валют'!$A:$D, 4, 0), "")</f>
        <v>554.63576158940396</v>
      </c>
    </row>
    <row r="254" spans="1:7" outlineLevel="2" x14ac:dyDescent="0.45">
      <c r="A254" s="189">
        <v>46081</v>
      </c>
      <c r="B254" s="182" t="s">
        <v>330</v>
      </c>
      <c r="C254" s="183" t="s">
        <v>375</v>
      </c>
      <c r="D254" s="183" t="s">
        <v>369</v>
      </c>
      <c r="E254" s="203">
        <v>9</v>
      </c>
      <c r="F254" s="184">
        <f t="shared" si="3"/>
        <v>6030000</v>
      </c>
      <c r="G254" s="191">
        <f>IF(A254&lt;&gt;"", F254/ VLOOKUP(A254, '[1]Курс валют'!$A:$D, 4, 0), "")</f>
        <v>499.17218543046357</v>
      </c>
    </row>
    <row r="255" spans="1:7" outlineLevel="2" x14ac:dyDescent="0.45">
      <c r="A255" s="189">
        <v>46081</v>
      </c>
      <c r="B255" s="182" t="s">
        <v>330</v>
      </c>
      <c r="C255" s="183" t="s">
        <v>336</v>
      </c>
      <c r="D255" s="183" t="s">
        <v>369</v>
      </c>
      <c r="E255" s="203">
        <v>10</v>
      </c>
      <c r="F255" s="184">
        <f t="shared" si="3"/>
        <v>6700000</v>
      </c>
      <c r="G255" s="191">
        <f>IF(A255&lt;&gt;"", F255/ VLOOKUP(A255, '[1]Курс валют'!$A:$D, 4, 0), "")</f>
        <v>554.63576158940396</v>
      </c>
    </row>
    <row r="256" spans="1:7" outlineLevel="2" x14ac:dyDescent="0.45">
      <c r="A256" s="189">
        <v>46081</v>
      </c>
      <c r="B256" s="182" t="s">
        <v>330</v>
      </c>
      <c r="C256" s="183" t="s">
        <v>338</v>
      </c>
      <c r="D256" s="183" t="s">
        <v>369</v>
      </c>
      <c r="E256" s="203">
        <v>10</v>
      </c>
      <c r="F256" s="184">
        <f t="shared" si="3"/>
        <v>6700000</v>
      </c>
      <c r="G256" s="191">
        <f>IF(A256&lt;&gt;"", F256/ VLOOKUP(A256, '[1]Курс валют'!$A:$D, 4, 0), "")</f>
        <v>554.63576158940396</v>
      </c>
    </row>
    <row r="257" spans="1:7" outlineLevel="2" x14ac:dyDescent="0.45">
      <c r="A257" s="189">
        <v>46081</v>
      </c>
      <c r="B257" s="182" t="s">
        <v>330</v>
      </c>
      <c r="C257" s="183" t="s">
        <v>374</v>
      </c>
      <c r="D257" s="183" t="s">
        <v>369</v>
      </c>
      <c r="E257" s="203">
        <v>9</v>
      </c>
      <c r="F257" s="184">
        <f t="shared" si="3"/>
        <v>6030000</v>
      </c>
      <c r="G257" s="191">
        <f>IF(A257&lt;&gt;"", F257/ VLOOKUP(A257, '[1]Курс валют'!$A:$D, 4, 0), "")</f>
        <v>499.17218543046357</v>
      </c>
    </row>
    <row r="258" spans="1:7" outlineLevel="2" x14ac:dyDescent="0.45">
      <c r="A258" s="189">
        <v>46081</v>
      </c>
      <c r="B258" s="182" t="s">
        <v>330</v>
      </c>
      <c r="C258" s="183" t="s">
        <v>331</v>
      </c>
      <c r="D258" s="183" t="s">
        <v>369</v>
      </c>
      <c r="E258" s="203">
        <v>9</v>
      </c>
      <c r="F258" s="184">
        <f t="shared" si="3"/>
        <v>6030000</v>
      </c>
      <c r="G258" s="191">
        <f>IF(A258&lt;&gt;"", F258/ VLOOKUP(A258, '[1]Курс валют'!$A:$D, 4, 0), "")</f>
        <v>499.17218543046357</v>
      </c>
    </row>
    <row r="259" spans="1:7" outlineLevel="2" x14ac:dyDescent="0.45">
      <c r="A259" s="189">
        <v>46081</v>
      </c>
      <c r="B259" s="182" t="s">
        <v>330</v>
      </c>
      <c r="C259" s="183" t="s">
        <v>355</v>
      </c>
      <c r="D259" s="183" t="s">
        <v>369</v>
      </c>
      <c r="E259" s="203">
        <v>10</v>
      </c>
      <c r="F259" s="184">
        <f t="shared" ref="F259:F322" si="4">IF(D259="М400", E259*740000, IF(D259="M150", E259*600000, IF(D259="M300", E259*670000, IF(D259="M350", E259*700000, 0))))</f>
        <v>6700000</v>
      </c>
      <c r="G259" s="191">
        <f>IF(A259&lt;&gt;"", F259/ VLOOKUP(A259, '[1]Курс валют'!$A:$D, 4, 0), "")</f>
        <v>554.63576158940396</v>
      </c>
    </row>
    <row r="260" spans="1:7" outlineLevel="2" x14ac:dyDescent="0.45">
      <c r="A260" s="189">
        <v>46081</v>
      </c>
      <c r="B260" s="182" t="s">
        <v>330</v>
      </c>
      <c r="C260" s="183" t="s">
        <v>343</v>
      </c>
      <c r="D260" s="183" t="s">
        <v>369</v>
      </c>
      <c r="E260" s="203">
        <v>12</v>
      </c>
      <c r="F260" s="184">
        <f t="shared" si="4"/>
        <v>8040000</v>
      </c>
      <c r="G260" s="191">
        <f>IF(A260&lt;&gt;"", F260/ VLOOKUP(A260, '[1]Курс валют'!$A:$D, 4, 0), "")</f>
        <v>665.56291390728472</v>
      </c>
    </row>
    <row r="261" spans="1:7" outlineLevel="2" x14ac:dyDescent="0.45">
      <c r="A261" s="189">
        <v>46081</v>
      </c>
      <c r="B261" s="182" t="s">
        <v>330</v>
      </c>
      <c r="C261" s="183" t="s">
        <v>389</v>
      </c>
      <c r="D261" s="183" t="s">
        <v>369</v>
      </c>
      <c r="E261" s="203">
        <v>10</v>
      </c>
      <c r="F261" s="184">
        <f t="shared" si="4"/>
        <v>6700000</v>
      </c>
      <c r="G261" s="191">
        <f>IF(A261&lt;&gt;"", F261/ VLOOKUP(A261, '[1]Курс валют'!$A:$D, 4, 0), "")</f>
        <v>554.63576158940396</v>
      </c>
    </row>
    <row r="262" spans="1:7" outlineLevel="2" x14ac:dyDescent="0.45">
      <c r="A262" s="189">
        <v>46081</v>
      </c>
      <c r="B262" s="182" t="s">
        <v>330</v>
      </c>
      <c r="C262" s="183" t="s">
        <v>359</v>
      </c>
      <c r="D262" s="183" t="s">
        <v>369</v>
      </c>
      <c r="E262" s="203">
        <v>12</v>
      </c>
      <c r="F262" s="184">
        <f t="shared" si="4"/>
        <v>8040000</v>
      </c>
      <c r="G262" s="191">
        <f>IF(A262&lt;&gt;"", F262/ VLOOKUP(A262, '[1]Курс валют'!$A:$D, 4, 0), "")</f>
        <v>665.56291390728472</v>
      </c>
    </row>
    <row r="263" spans="1:7" outlineLevel="2" x14ac:dyDescent="0.45">
      <c r="A263" s="189">
        <v>46081</v>
      </c>
      <c r="B263" s="182" t="s">
        <v>330</v>
      </c>
      <c r="C263" s="183" t="s">
        <v>380</v>
      </c>
      <c r="D263" s="183" t="s">
        <v>369</v>
      </c>
      <c r="E263" s="203">
        <v>12</v>
      </c>
      <c r="F263" s="184">
        <f t="shared" si="4"/>
        <v>8040000</v>
      </c>
      <c r="G263" s="191">
        <f>IF(A263&lt;&gt;"", F263/ VLOOKUP(A263, '[1]Курс валют'!$A:$D, 4, 0), "")</f>
        <v>665.56291390728472</v>
      </c>
    </row>
    <row r="264" spans="1:7" outlineLevel="2" x14ac:dyDescent="0.45">
      <c r="A264" s="189">
        <v>46081</v>
      </c>
      <c r="B264" s="182" t="s">
        <v>330</v>
      </c>
      <c r="C264" s="183" t="s">
        <v>358</v>
      </c>
      <c r="D264" s="183" t="s">
        <v>369</v>
      </c>
      <c r="E264" s="203">
        <v>9</v>
      </c>
      <c r="F264" s="184">
        <f t="shared" si="4"/>
        <v>6030000</v>
      </c>
      <c r="G264" s="191">
        <f>IF(A264&lt;&gt;"", F264/ VLOOKUP(A264, '[1]Курс валют'!$A:$D, 4, 0), "")</f>
        <v>499.17218543046357</v>
      </c>
    </row>
    <row r="265" spans="1:7" outlineLevel="2" x14ac:dyDescent="0.45">
      <c r="A265" s="189">
        <v>46081</v>
      </c>
      <c r="B265" s="182" t="s">
        <v>330</v>
      </c>
      <c r="C265" s="183" t="s">
        <v>356</v>
      </c>
      <c r="D265" s="183" t="s">
        <v>369</v>
      </c>
      <c r="E265" s="203">
        <v>9</v>
      </c>
      <c r="F265" s="184">
        <f t="shared" si="4"/>
        <v>6030000</v>
      </c>
      <c r="G265" s="191">
        <f>IF(A265&lt;&gt;"", F265/ VLOOKUP(A265, '[1]Курс валют'!$A:$D, 4, 0), "")</f>
        <v>499.17218543046357</v>
      </c>
    </row>
    <row r="266" spans="1:7" outlineLevel="2" x14ac:dyDescent="0.45">
      <c r="A266" s="189">
        <v>46081</v>
      </c>
      <c r="B266" s="182" t="s">
        <v>330</v>
      </c>
      <c r="C266" s="183" t="s">
        <v>384</v>
      </c>
      <c r="D266" s="183" t="s">
        <v>369</v>
      </c>
      <c r="E266" s="203">
        <v>10</v>
      </c>
      <c r="F266" s="184">
        <f t="shared" si="4"/>
        <v>6700000</v>
      </c>
      <c r="G266" s="191">
        <f>IF(A266&lt;&gt;"", F266/ VLOOKUP(A266, '[1]Курс валют'!$A:$D, 4, 0), "")</f>
        <v>554.63576158940396</v>
      </c>
    </row>
    <row r="267" spans="1:7" outlineLevel="2" x14ac:dyDescent="0.45">
      <c r="A267" s="189">
        <v>46081</v>
      </c>
      <c r="B267" s="182" t="s">
        <v>330</v>
      </c>
      <c r="C267" s="183" t="s">
        <v>357</v>
      </c>
      <c r="D267" s="183" t="s">
        <v>369</v>
      </c>
      <c r="E267" s="203">
        <v>9</v>
      </c>
      <c r="F267" s="184">
        <f t="shared" si="4"/>
        <v>6030000</v>
      </c>
      <c r="G267" s="191">
        <f>IF(A267&lt;&gt;"", F267/ VLOOKUP(A267, '[1]Курс валют'!$A:$D, 4, 0), "")</f>
        <v>499.17218543046357</v>
      </c>
    </row>
    <row r="268" spans="1:7" outlineLevel="2" x14ac:dyDescent="0.45">
      <c r="A268" s="189">
        <v>46081</v>
      </c>
      <c r="B268" s="182" t="s">
        <v>330</v>
      </c>
      <c r="C268" s="183" t="s">
        <v>354</v>
      </c>
      <c r="D268" s="183" t="s">
        <v>369</v>
      </c>
      <c r="E268" s="203">
        <v>9</v>
      </c>
      <c r="F268" s="184">
        <f t="shared" si="4"/>
        <v>6030000</v>
      </c>
      <c r="G268" s="191">
        <f>IF(A268&lt;&gt;"", F268/ VLOOKUP(A268, '[1]Курс валют'!$A:$D, 4, 0), "")</f>
        <v>499.17218543046357</v>
      </c>
    </row>
    <row r="269" spans="1:7" outlineLevel="2" x14ac:dyDescent="0.45">
      <c r="A269" s="189">
        <v>46081</v>
      </c>
      <c r="B269" s="182" t="s">
        <v>330</v>
      </c>
      <c r="C269" s="183" t="s">
        <v>371</v>
      </c>
      <c r="D269" s="183" t="s">
        <v>369</v>
      </c>
      <c r="E269" s="203">
        <v>9</v>
      </c>
      <c r="F269" s="184">
        <f t="shared" si="4"/>
        <v>6030000</v>
      </c>
      <c r="G269" s="191">
        <f>IF(A269&lt;&gt;"", F269/ VLOOKUP(A269, '[1]Курс валют'!$A:$D, 4, 0), "")</f>
        <v>499.17218543046357</v>
      </c>
    </row>
    <row r="270" spans="1:7" outlineLevel="2" x14ac:dyDescent="0.45">
      <c r="A270" s="189">
        <v>46081</v>
      </c>
      <c r="B270" s="182" t="s">
        <v>330</v>
      </c>
      <c r="C270" s="183" t="s">
        <v>350</v>
      </c>
      <c r="D270" s="183" t="s">
        <v>369</v>
      </c>
      <c r="E270" s="203">
        <v>9</v>
      </c>
      <c r="F270" s="184">
        <f t="shared" si="4"/>
        <v>6030000</v>
      </c>
      <c r="G270" s="191">
        <f>IF(A270&lt;&gt;"", F270/ VLOOKUP(A270, '[1]Курс валют'!$A:$D, 4, 0), "")</f>
        <v>499.17218543046357</v>
      </c>
    </row>
    <row r="271" spans="1:7" outlineLevel="2" x14ac:dyDescent="0.45">
      <c r="A271" s="189">
        <v>46081</v>
      </c>
      <c r="B271" s="182" t="s">
        <v>330</v>
      </c>
      <c r="C271" s="183" t="s">
        <v>349</v>
      </c>
      <c r="D271" s="183" t="s">
        <v>369</v>
      </c>
      <c r="E271" s="203">
        <v>12</v>
      </c>
      <c r="F271" s="184">
        <f t="shared" si="4"/>
        <v>8040000</v>
      </c>
      <c r="G271" s="191">
        <f>IF(A271&lt;&gt;"", F271/ VLOOKUP(A271, '[1]Курс валют'!$A:$D, 4, 0), "")</f>
        <v>665.56291390728472</v>
      </c>
    </row>
    <row r="272" spans="1:7" outlineLevel="2" x14ac:dyDescent="0.45">
      <c r="A272" s="189">
        <v>46081</v>
      </c>
      <c r="B272" s="182" t="s">
        <v>330</v>
      </c>
      <c r="C272" s="183" t="s">
        <v>364</v>
      </c>
      <c r="D272" s="183" t="s">
        <v>369</v>
      </c>
      <c r="E272" s="203">
        <v>12</v>
      </c>
      <c r="F272" s="184">
        <f t="shared" si="4"/>
        <v>8040000</v>
      </c>
      <c r="G272" s="191">
        <f>IF(A272&lt;&gt;"", F272/ VLOOKUP(A272, '[1]Курс валют'!$A:$D, 4, 0), "")</f>
        <v>665.56291390728472</v>
      </c>
    </row>
    <row r="273" spans="1:7" outlineLevel="2" x14ac:dyDescent="0.45">
      <c r="A273" s="189">
        <v>46081</v>
      </c>
      <c r="B273" s="182" t="s">
        <v>330</v>
      </c>
      <c r="C273" s="183" t="s">
        <v>375</v>
      </c>
      <c r="D273" s="183" t="s">
        <v>369</v>
      </c>
      <c r="E273" s="203">
        <v>9</v>
      </c>
      <c r="F273" s="184">
        <f t="shared" si="4"/>
        <v>6030000</v>
      </c>
      <c r="G273" s="191">
        <f>IF(A273&lt;&gt;"", F273/ VLOOKUP(A273, '[1]Курс валют'!$A:$D, 4, 0), "")</f>
        <v>499.17218543046357</v>
      </c>
    </row>
    <row r="274" spans="1:7" outlineLevel="2" x14ac:dyDescent="0.45">
      <c r="A274" s="189">
        <v>46081</v>
      </c>
      <c r="B274" s="182" t="s">
        <v>330</v>
      </c>
      <c r="C274" s="183" t="s">
        <v>376</v>
      </c>
      <c r="D274" s="183" t="s">
        <v>369</v>
      </c>
      <c r="E274" s="203">
        <v>9</v>
      </c>
      <c r="F274" s="184">
        <f t="shared" si="4"/>
        <v>6030000</v>
      </c>
      <c r="G274" s="191">
        <f>IF(A274&lt;&gt;"", F274/ VLOOKUP(A274, '[1]Курс валют'!$A:$D, 4, 0), "")</f>
        <v>499.17218543046357</v>
      </c>
    </row>
    <row r="275" spans="1:7" outlineLevel="2" x14ac:dyDescent="0.45">
      <c r="A275" s="189">
        <v>46081</v>
      </c>
      <c r="B275" s="182" t="s">
        <v>330</v>
      </c>
      <c r="C275" s="183" t="s">
        <v>381</v>
      </c>
      <c r="D275" s="183" t="s">
        <v>369</v>
      </c>
      <c r="E275" s="203">
        <v>9</v>
      </c>
      <c r="F275" s="184">
        <f t="shared" si="4"/>
        <v>6030000</v>
      </c>
      <c r="G275" s="191">
        <f>IF(A275&lt;&gt;"", F275/ VLOOKUP(A275, '[1]Курс валют'!$A:$D, 4, 0), "")</f>
        <v>499.17218543046357</v>
      </c>
    </row>
    <row r="276" spans="1:7" outlineLevel="2" x14ac:dyDescent="0.45">
      <c r="A276" s="189">
        <v>46081</v>
      </c>
      <c r="B276" s="182" t="s">
        <v>330</v>
      </c>
      <c r="C276" s="183" t="s">
        <v>362</v>
      </c>
      <c r="D276" s="183" t="s">
        <v>369</v>
      </c>
      <c r="E276" s="203">
        <v>9</v>
      </c>
      <c r="F276" s="184">
        <f t="shared" si="4"/>
        <v>6030000</v>
      </c>
      <c r="G276" s="191">
        <f>IF(A276&lt;&gt;"", F276/ VLOOKUP(A276, '[1]Курс валют'!$A:$D, 4, 0), "")</f>
        <v>499.17218543046357</v>
      </c>
    </row>
    <row r="277" spans="1:7" outlineLevel="2" x14ac:dyDescent="0.45">
      <c r="A277" s="189">
        <v>46081</v>
      </c>
      <c r="B277" s="182" t="s">
        <v>330</v>
      </c>
      <c r="C277" s="183" t="s">
        <v>331</v>
      </c>
      <c r="D277" s="183" t="s">
        <v>369</v>
      </c>
      <c r="E277" s="203">
        <v>9</v>
      </c>
      <c r="F277" s="184">
        <f t="shared" si="4"/>
        <v>6030000</v>
      </c>
      <c r="G277" s="191">
        <f>IF(A277&lt;&gt;"", F277/ VLOOKUP(A277, '[1]Курс валют'!$A:$D, 4, 0), "")</f>
        <v>499.17218543046357</v>
      </c>
    </row>
    <row r="278" spans="1:7" outlineLevel="2" x14ac:dyDescent="0.45">
      <c r="A278" s="189">
        <v>46081</v>
      </c>
      <c r="B278" s="182" t="s">
        <v>330</v>
      </c>
      <c r="C278" s="183" t="s">
        <v>370</v>
      </c>
      <c r="D278" s="183" t="s">
        <v>369</v>
      </c>
      <c r="E278" s="203">
        <v>9</v>
      </c>
      <c r="F278" s="184">
        <f t="shared" si="4"/>
        <v>6030000</v>
      </c>
      <c r="G278" s="191">
        <f>IF(A278&lt;&gt;"", F278/ VLOOKUP(A278, '[1]Курс валют'!$A:$D, 4, 0), "")</f>
        <v>499.17218543046357</v>
      </c>
    </row>
    <row r="279" spans="1:7" outlineLevel="2" x14ac:dyDescent="0.45">
      <c r="A279" s="189">
        <v>46081</v>
      </c>
      <c r="B279" s="182" t="s">
        <v>330</v>
      </c>
      <c r="C279" s="183" t="s">
        <v>382</v>
      </c>
      <c r="D279" s="183" t="s">
        <v>369</v>
      </c>
      <c r="E279" s="203">
        <v>10</v>
      </c>
      <c r="F279" s="184">
        <f t="shared" si="4"/>
        <v>6700000</v>
      </c>
      <c r="G279" s="191">
        <f>IF(A279&lt;&gt;"", F279/ VLOOKUP(A279, '[1]Курс валют'!$A:$D, 4, 0), "")</f>
        <v>554.63576158940396</v>
      </c>
    </row>
    <row r="280" spans="1:7" outlineLevel="2" x14ac:dyDescent="0.45">
      <c r="A280" s="189">
        <v>46081</v>
      </c>
      <c r="B280" s="182" t="s">
        <v>330</v>
      </c>
      <c r="C280" s="183" t="s">
        <v>338</v>
      </c>
      <c r="D280" s="183" t="s">
        <v>369</v>
      </c>
      <c r="E280" s="203">
        <v>10</v>
      </c>
      <c r="F280" s="184">
        <f t="shared" si="4"/>
        <v>6700000</v>
      </c>
      <c r="G280" s="191">
        <f>IF(A280&lt;&gt;"", F280/ VLOOKUP(A280, '[1]Курс валют'!$A:$D, 4, 0), "")</f>
        <v>554.63576158940396</v>
      </c>
    </row>
    <row r="281" spans="1:7" outlineLevel="2" x14ac:dyDescent="0.45">
      <c r="A281" s="189">
        <v>46081</v>
      </c>
      <c r="B281" s="182" t="s">
        <v>330</v>
      </c>
      <c r="C281" s="183" t="s">
        <v>339</v>
      </c>
      <c r="D281" s="183" t="s">
        <v>369</v>
      </c>
      <c r="E281" s="203">
        <v>12</v>
      </c>
      <c r="F281" s="184">
        <f t="shared" si="4"/>
        <v>8040000</v>
      </c>
      <c r="G281" s="191">
        <f>IF(A281&lt;&gt;"", F281/ VLOOKUP(A281, '[1]Курс валют'!$A:$D, 4, 0), "")</f>
        <v>665.56291390728472</v>
      </c>
    </row>
    <row r="282" spans="1:7" outlineLevel="2" x14ac:dyDescent="0.45">
      <c r="A282" s="189">
        <v>46081</v>
      </c>
      <c r="B282" s="182" t="s">
        <v>330</v>
      </c>
      <c r="C282" s="183" t="s">
        <v>360</v>
      </c>
      <c r="D282" s="183" t="s">
        <v>369</v>
      </c>
      <c r="E282" s="203">
        <v>9</v>
      </c>
      <c r="F282" s="184">
        <f t="shared" si="4"/>
        <v>6030000</v>
      </c>
      <c r="G282" s="191">
        <f>IF(A282&lt;&gt;"", F282/ VLOOKUP(A282, '[1]Курс валют'!$A:$D, 4, 0), "")</f>
        <v>499.17218543046357</v>
      </c>
    </row>
    <row r="283" spans="1:7" outlineLevel="2" x14ac:dyDescent="0.45">
      <c r="A283" s="189">
        <v>46081</v>
      </c>
      <c r="B283" s="182" t="s">
        <v>330</v>
      </c>
      <c r="C283" s="183" t="s">
        <v>337</v>
      </c>
      <c r="D283" s="183" t="s">
        <v>369</v>
      </c>
      <c r="E283" s="203">
        <v>10</v>
      </c>
      <c r="F283" s="184">
        <f t="shared" si="4"/>
        <v>6700000</v>
      </c>
      <c r="G283" s="191">
        <f>IF(A283&lt;&gt;"", F283/ VLOOKUP(A283, '[1]Курс валют'!$A:$D, 4, 0), "")</f>
        <v>554.63576158940396</v>
      </c>
    </row>
    <row r="284" spans="1:7" outlineLevel="2" x14ac:dyDescent="0.45">
      <c r="A284" s="189">
        <v>46081</v>
      </c>
      <c r="B284" s="182" t="s">
        <v>330</v>
      </c>
      <c r="C284" s="183" t="s">
        <v>355</v>
      </c>
      <c r="D284" s="183" t="s">
        <v>369</v>
      </c>
      <c r="E284" s="203">
        <v>10</v>
      </c>
      <c r="F284" s="184">
        <f t="shared" si="4"/>
        <v>6700000</v>
      </c>
      <c r="G284" s="191">
        <f>IF(A284&lt;&gt;"", F284/ VLOOKUP(A284, '[1]Курс валют'!$A:$D, 4, 0), "")</f>
        <v>554.63576158940396</v>
      </c>
    </row>
    <row r="285" spans="1:7" outlineLevel="2" x14ac:dyDescent="0.45">
      <c r="A285" s="189">
        <v>46081</v>
      </c>
      <c r="B285" s="182" t="s">
        <v>330</v>
      </c>
      <c r="C285" s="183" t="s">
        <v>352</v>
      </c>
      <c r="D285" s="183" t="s">
        <v>369</v>
      </c>
      <c r="E285" s="203">
        <v>9</v>
      </c>
      <c r="F285" s="184">
        <f t="shared" si="4"/>
        <v>6030000</v>
      </c>
      <c r="G285" s="191">
        <f>IF(A285&lt;&gt;"", F285/ VLOOKUP(A285, '[1]Курс валют'!$A:$D, 4, 0), "")</f>
        <v>499.17218543046357</v>
      </c>
    </row>
    <row r="286" spans="1:7" outlineLevel="2" x14ac:dyDescent="0.45">
      <c r="A286" s="189">
        <v>46081</v>
      </c>
      <c r="B286" s="182" t="s">
        <v>330</v>
      </c>
      <c r="C286" s="183" t="s">
        <v>365</v>
      </c>
      <c r="D286" s="183" t="s">
        <v>369</v>
      </c>
      <c r="E286" s="203">
        <v>10</v>
      </c>
      <c r="F286" s="184">
        <f t="shared" si="4"/>
        <v>6700000</v>
      </c>
      <c r="G286" s="191">
        <f>IF(A286&lt;&gt;"", F286/ VLOOKUP(A286, '[1]Курс валют'!$A:$D, 4, 0), "")</f>
        <v>554.63576158940396</v>
      </c>
    </row>
    <row r="287" spans="1:7" outlineLevel="2" x14ac:dyDescent="0.45">
      <c r="A287" s="189">
        <v>46081</v>
      </c>
      <c r="B287" s="182" t="s">
        <v>330</v>
      </c>
      <c r="C287" s="183" t="s">
        <v>336</v>
      </c>
      <c r="D287" s="183" t="s">
        <v>369</v>
      </c>
      <c r="E287" s="203">
        <v>10</v>
      </c>
      <c r="F287" s="184">
        <f t="shared" si="4"/>
        <v>6700000</v>
      </c>
      <c r="G287" s="191">
        <f>IF(A287&lt;&gt;"", F287/ VLOOKUP(A287, '[1]Курс валют'!$A:$D, 4, 0), "")</f>
        <v>554.63576158940396</v>
      </c>
    </row>
    <row r="288" spans="1:7" outlineLevel="2" x14ac:dyDescent="0.45">
      <c r="A288" s="189">
        <v>46081</v>
      </c>
      <c r="B288" s="182" t="s">
        <v>330</v>
      </c>
      <c r="C288" s="183" t="s">
        <v>373</v>
      </c>
      <c r="D288" s="183" t="s">
        <v>369</v>
      </c>
      <c r="E288" s="203">
        <v>9</v>
      </c>
      <c r="F288" s="184">
        <f t="shared" si="4"/>
        <v>6030000</v>
      </c>
      <c r="G288" s="191">
        <f>IF(A288&lt;&gt;"", F288/ VLOOKUP(A288, '[1]Курс валют'!$A:$D, 4, 0), "")</f>
        <v>499.17218543046357</v>
      </c>
    </row>
    <row r="289" spans="1:7" outlineLevel="2" x14ac:dyDescent="0.45">
      <c r="A289" s="189">
        <v>46081</v>
      </c>
      <c r="B289" s="182" t="s">
        <v>330</v>
      </c>
      <c r="C289" s="183" t="s">
        <v>335</v>
      </c>
      <c r="D289" s="183" t="s">
        <v>369</v>
      </c>
      <c r="E289" s="203">
        <v>10</v>
      </c>
      <c r="F289" s="184">
        <f t="shared" si="4"/>
        <v>6700000</v>
      </c>
      <c r="G289" s="191">
        <f>IF(A289&lt;&gt;"", F289/ VLOOKUP(A289, '[1]Курс валют'!$A:$D, 4, 0), "")</f>
        <v>554.63576158940396</v>
      </c>
    </row>
    <row r="290" spans="1:7" outlineLevel="2" x14ac:dyDescent="0.45">
      <c r="A290" s="189">
        <v>46081</v>
      </c>
      <c r="B290" s="182" t="s">
        <v>330</v>
      </c>
      <c r="C290" s="183" t="s">
        <v>372</v>
      </c>
      <c r="D290" s="183" t="s">
        <v>369</v>
      </c>
      <c r="E290" s="203">
        <v>9</v>
      </c>
      <c r="F290" s="184">
        <f t="shared" si="4"/>
        <v>6030000</v>
      </c>
      <c r="G290" s="191">
        <f>IF(A290&lt;&gt;"", F290/ VLOOKUP(A290, '[1]Курс валют'!$A:$D, 4, 0), "")</f>
        <v>499.17218543046357</v>
      </c>
    </row>
    <row r="291" spans="1:7" outlineLevel="2" x14ac:dyDescent="0.45">
      <c r="A291" s="189">
        <v>46081</v>
      </c>
      <c r="B291" s="182" t="s">
        <v>330</v>
      </c>
      <c r="C291" s="183" t="s">
        <v>358</v>
      </c>
      <c r="D291" s="183" t="s">
        <v>369</v>
      </c>
      <c r="E291" s="203">
        <v>9</v>
      </c>
      <c r="F291" s="184">
        <f t="shared" si="4"/>
        <v>6030000</v>
      </c>
      <c r="G291" s="191">
        <f>IF(A291&lt;&gt;"", F291/ VLOOKUP(A291, '[1]Курс валют'!$A:$D, 4, 0), "")</f>
        <v>499.17218543046357</v>
      </c>
    </row>
    <row r="292" spans="1:7" outlineLevel="2" x14ac:dyDescent="0.45">
      <c r="A292" s="189">
        <v>46081</v>
      </c>
      <c r="B292" s="182" t="s">
        <v>330</v>
      </c>
      <c r="C292" s="183" t="s">
        <v>349</v>
      </c>
      <c r="D292" s="183" t="s">
        <v>369</v>
      </c>
      <c r="E292" s="203">
        <v>12</v>
      </c>
      <c r="F292" s="184">
        <f t="shared" si="4"/>
        <v>8040000</v>
      </c>
      <c r="G292" s="191">
        <f>IF(A292&lt;&gt;"", F292/ VLOOKUP(A292, '[1]Курс валют'!$A:$D, 4, 0), "")</f>
        <v>665.56291390728472</v>
      </c>
    </row>
    <row r="293" spans="1:7" outlineLevel="2" x14ac:dyDescent="0.45">
      <c r="A293" s="189">
        <v>46081</v>
      </c>
      <c r="B293" s="182" t="s">
        <v>330</v>
      </c>
      <c r="C293" s="183" t="s">
        <v>356</v>
      </c>
      <c r="D293" s="183" t="s">
        <v>369</v>
      </c>
      <c r="E293" s="203">
        <v>9</v>
      </c>
      <c r="F293" s="184">
        <f t="shared" si="4"/>
        <v>6030000</v>
      </c>
      <c r="G293" s="191">
        <f>IF(A293&lt;&gt;"", F293/ VLOOKUP(A293, '[1]Курс валют'!$A:$D, 4, 0), "")</f>
        <v>499.17218543046357</v>
      </c>
    </row>
    <row r="294" spans="1:7" outlineLevel="2" x14ac:dyDescent="0.45">
      <c r="A294" s="189">
        <v>46081</v>
      </c>
      <c r="B294" s="182" t="s">
        <v>330</v>
      </c>
      <c r="C294" s="183" t="s">
        <v>354</v>
      </c>
      <c r="D294" s="183" t="s">
        <v>369</v>
      </c>
      <c r="E294" s="203">
        <v>9</v>
      </c>
      <c r="F294" s="184">
        <f t="shared" si="4"/>
        <v>6030000</v>
      </c>
      <c r="G294" s="191">
        <f>IF(A294&lt;&gt;"", F294/ VLOOKUP(A294, '[1]Курс валют'!$A:$D, 4, 0), "")</f>
        <v>499.17218543046357</v>
      </c>
    </row>
    <row r="295" spans="1:7" outlineLevel="2" x14ac:dyDescent="0.45">
      <c r="A295" s="189">
        <v>46081</v>
      </c>
      <c r="B295" s="182" t="s">
        <v>330</v>
      </c>
      <c r="C295" s="183" t="s">
        <v>389</v>
      </c>
      <c r="D295" s="183" t="s">
        <v>369</v>
      </c>
      <c r="E295" s="203">
        <v>10</v>
      </c>
      <c r="F295" s="184">
        <f t="shared" si="4"/>
        <v>6700000</v>
      </c>
      <c r="G295" s="191">
        <f>IF(A295&lt;&gt;"", F295/ VLOOKUP(A295, '[1]Курс валют'!$A:$D, 4, 0), "")</f>
        <v>554.63576158940396</v>
      </c>
    </row>
    <row r="296" spans="1:7" outlineLevel="2" x14ac:dyDescent="0.45">
      <c r="A296" s="189">
        <v>46081</v>
      </c>
      <c r="B296" s="182" t="s">
        <v>330</v>
      </c>
      <c r="C296" s="183" t="s">
        <v>376</v>
      </c>
      <c r="D296" s="183" t="s">
        <v>369</v>
      </c>
      <c r="E296" s="203">
        <v>9</v>
      </c>
      <c r="F296" s="184">
        <f t="shared" si="4"/>
        <v>6030000</v>
      </c>
      <c r="G296" s="191">
        <f>IF(A296&lt;&gt;"", F296/ VLOOKUP(A296, '[1]Курс валют'!$A:$D, 4, 0), "")</f>
        <v>499.17218543046357</v>
      </c>
    </row>
    <row r="297" spans="1:7" outlineLevel="2" x14ac:dyDescent="0.45">
      <c r="A297" s="189">
        <v>46081</v>
      </c>
      <c r="B297" s="182" t="s">
        <v>330</v>
      </c>
      <c r="C297" s="183" t="s">
        <v>375</v>
      </c>
      <c r="D297" s="183" t="s">
        <v>369</v>
      </c>
      <c r="E297" s="203">
        <v>9</v>
      </c>
      <c r="F297" s="184">
        <f t="shared" si="4"/>
        <v>6030000</v>
      </c>
      <c r="G297" s="191">
        <f>IF(A297&lt;&gt;"", F297/ VLOOKUP(A297, '[1]Курс валют'!$A:$D, 4, 0), "")</f>
        <v>499.17218543046357</v>
      </c>
    </row>
    <row r="298" spans="1:7" outlineLevel="2" x14ac:dyDescent="0.45">
      <c r="A298" s="189">
        <v>46081</v>
      </c>
      <c r="B298" s="182" t="s">
        <v>330</v>
      </c>
      <c r="C298" s="183" t="s">
        <v>374</v>
      </c>
      <c r="D298" s="183" t="s">
        <v>369</v>
      </c>
      <c r="E298" s="203">
        <v>9</v>
      </c>
      <c r="F298" s="184">
        <f t="shared" si="4"/>
        <v>6030000</v>
      </c>
      <c r="G298" s="191">
        <f>IF(A298&lt;&gt;"", F298/ VLOOKUP(A298, '[1]Курс валют'!$A:$D, 4, 0), "")</f>
        <v>499.17218543046357</v>
      </c>
    </row>
    <row r="299" spans="1:7" outlineLevel="2" x14ac:dyDescent="0.45">
      <c r="A299" s="189">
        <v>46081</v>
      </c>
      <c r="B299" s="182" t="s">
        <v>330</v>
      </c>
      <c r="C299" s="183" t="s">
        <v>347</v>
      </c>
      <c r="D299" s="183" t="s">
        <v>369</v>
      </c>
      <c r="E299" s="203">
        <v>12</v>
      </c>
      <c r="F299" s="184">
        <f t="shared" si="4"/>
        <v>8040000</v>
      </c>
      <c r="G299" s="191">
        <f>IF(A299&lt;&gt;"", F299/ VLOOKUP(A299, '[1]Курс валют'!$A:$D, 4, 0), "")</f>
        <v>665.56291390728472</v>
      </c>
    </row>
    <row r="300" spans="1:7" outlineLevel="2" x14ac:dyDescent="0.45">
      <c r="A300" s="189">
        <v>46081</v>
      </c>
      <c r="B300" s="182" t="s">
        <v>330</v>
      </c>
      <c r="C300" s="183" t="s">
        <v>370</v>
      </c>
      <c r="D300" s="183" t="s">
        <v>369</v>
      </c>
      <c r="E300" s="203">
        <v>10</v>
      </c>
      <c r="F300" s="184">
        <f t="shared" si="4"/>
        <v>6700000</v>
      </c>
      <c r="G300" s="191">
        <f>IF(A300&lt;&gt;"", F300/ VLOOKUP(A300, '[1]Курс валют'!$A:$D, 4, 0), "")</f>
        <v>554.63576158940396</v>
      </c>
    </row>
    <row r="301" spans="1:7" outlineLevel="2" x14ac:dyDescent="0.45">
      <c r="A301" s="189">
        <v>46081</v>
      </c>
      <c r="B301" s="182" t="s">
        <v>330</v>
      </c>
      <c r="C301" s="183" t="s">
        <v>350</v>
      </c>
      <c r="D301" s="183" t="s">
        <v>369</v>
      </c>
      <c r="E301" s="203">
        <v>9</v>
      </c>
      <c r="F301" s="184">
        <f t="shared" si="4"/>
        <v>6030000</v>
      </c>
      <c r="G301" s="191">
        <f>IF(A301&lt;&gt;"", F301/ VLOOKUP(A301, '[1]Курс валют'!$A:$D, 4, 0), "")</f>
        <v>499.17218543046357</v>
      </c>
    </row>
    <row r="302" spans="1:7" outlineLevel="2" x14ac:dyDescent="0.45">
      <c r="A302" s="189">
        <v>46081</v>
      </c>
      <c r="B302" s="182" t="s">
        <v>330</v>
      </c>
      <c r="C302" s="183" t="s">
        <v>378</v>
      </c>
      <c r="D302" s="183" t="s">
        <v>369</v>
      </c>
      <c r="E302" s="203">
        <v>10</v>
      </c>
      <c r="F302" s="184">
        <f t="shared" si="4"/>
        <v>6700000</v>
      </c>
      <c r="G302" s="191">
        <f>IF(A302&lt;&gt;"", F302/ VLOOKUP(A302, '[1]Курс валют'!$A:$D, 4, 0), "")</f>
        <v>554.63576158940396</v>
      </c>
    </row>
    <row r="303" spans="1:7" outlineLevel="1" x14ac:dyDescent="0.45">
      <c r="A303" s="189" t="s">
        <v>50</v>
      </c>
      <c r="B303" s="182"/>
      <c r="C303" s="183"/>
      <c r="D303" s="183"/>
      <c r="E303" s="203">
        <f>SUBTOTAL(9,E238:E302)</f>
        <v>636</v>
      </c>
      <c r="F303" s="184">
        <f>SUBTOTAL(9,F238:F302)</f>
        <v>426120000</v>
      </c>
      <c r="G303" s="191"/>
    </row>
    <row r="304" spans="1:7" outlineLevel="2" x14ac:dyDescent="0.45">
      <c r="A304" s="189">
        <v>46088</v>
      </c>
      <c r="B304" s="182" t="s">
        <v>330</v>
      </c>
      <c r="C304" s="183" t="s">
        <v>360</v>
      </c>
      <c r="D304" s="183" t="s">
        <v>390</v>
      </c>
      <c r="E304" s="203">
        <v>9</v>
      </c>
      <c r="F304" s="184">
        <f t="shared" si="4"/>
        <v>6300000</v>
      </c>
      <c r="G304" s="191">
        <f>IF(A304&lt;&gt;"", F304/ VLOOKUP(A304, '[1]Курс валют'!$A:$D, 4, 0), "")</f>
        <v>520.6611570247934</v>
      </c>
    </row>
    <row r="305" spans="1:7" outlineLevel="2" x14ac:dyDescent="0.45">
      <c r="A305" s="189">
        <v>46088</v>
      </c>
      <c r="B305" s="182" t="s">
        <v>330</v>
      </c>
      <c r="C305" s="183" t="s">
        <v>334</v>
      </c>
      <c r="D305" s="183" t="s">
        <v>390</v>
      </c>
      <c r="E305" s="203">
        <v>10</v>
      </c>
      <c r="F305" s="184">
        <f t="shared" si="4"/>
        <v>7000000</v>
      </c>
      <c r="G305" s="191">
        <f>IF(A305&lt;&gt;"", F305/ VLOOKUP(A305, '[1]Курс валют'!$A:$D, 4, 0), "")</f>
        <v>578.51239669421489</v>
      </c>
    </row>
    <row r="306" spans="1:7" outlineLevel="2" x14ac:dyDescent="0.45">
      <c r="A306" s="189">
        <v>46088</v>
      </c>
      <c r="B306" s="182" t="s">
        <v>330</v>
      </c>
      <c r="C306" s="183" t="s">
        <v>351</v>
      </c>
      <c r="D306" s="183" t="s">
        <v>390</v>
      </c>
      <c r="E306" s="203">
        <v>12</v>
      </c>
      <c r="F306" s="184">
        <f t="shared" si="4"/>
        <v>8400000</v>
      </c>
      <c r="G306" s="191">
        <f>IF(A306&lt;&gt;"", F306/ VLOOKUP(A306, '[1]Курс валют'!$A:$D, 4, 0), "")</f>
        <v>694.21487603305786</v>
      </c>
    </row>
    <row r="307" spans="1:7" outlineLevel="2" x14ac:dyDescent="0.45">
      <c r="A307" s="189">
        <v>46088</v>
      </c>
      <c r="B307" s="182" t="s">
        <v>330</v>
      </c>
      <c r="C307" s="183" t="s">
        <v>374</v>
      </c>
      <c r="D307" s="183" t="s">
        <v>390</v>
      </c>
      <c r="E307" s="203">
        <v>9</v>
      </c>
      <c r="F307" s="184">
        <f t="shared" si="4"/>
        <v>6300000</v>
      </c>
      <c r="G307" s="191">
        <f>IF(A307&lt;&gt;"", F307/ VLOOKUP(A307, '[1]Курс валют'!$A:$D, 4, 0), "")</f>
        <v>520.6611570247934</v>
      </c>
    </row>
    <row r="308" spans="1:7" outlineLevel="2" x14ac:dyDescent="0.45">
      <c r="A308" s="189">
        <v>46088</v>
      </c>
      <c r="B308" s="182" t="s">
        <v>330</v>
      </c>
      <c r="C308" s="183" t="s">
        <v>378</v>
      </c>
      <c r="D308" s="183" t="s">
        <v>390</v>
      </c>
      <c r="E308" s="203">
        <v>10</v>
      </c>
      <c r="F308" s="184">
        <f t="shared" si="4"/>
        <v>7000000</v>
      </c>
      <c r="G308" s="191">
        <f>IF(A308&lt;&gt;"", F308/ VLOOKUP(A308, '[1]Курс валют'!$A:$D, 4, 0), "")</f>
        <v>578.51239669421489</v>
      </c>
    </row>
    <row r="309" spans="1:7" outlineLevel="2" x14ac:dyDescent="0.45">
      <c r="A309" s="189">
        <v>46088</v>
      </c>
      <c r="B309" s="182" t="s">
        <v>330</v>
      </c>
      <c r="C309" s="183" t="s">
        <v>335</v>
      </c>
      <c r="D309" s="183" t="s">
        <v>390</v>
      </c>
      <c r="E309" s="203">
        <v>10</v>
      </c>
      <c r="F309" s="184">
        <f t="shared" si="4"/>
        <v>7000000</v>
      </c>
      <c r="G309" s="191">
        <f>IF(A309&lt;&gt;"", F309/ VLOOKUP(A309, '[1]Курс валют'!$A:$D, 4, 0), "")</f>
        <v>578.51239669421489</v>
      </c>
    </row>
    <row r="310" spans="1:7" outlineLevel="2" x14ac:dyDescent="0.45">
      <c r="A310" s="189">
        <v>46088</v>
      </c>
      <c r="B310" s="182" t="s">
        <v>330</v>
      </c>
      <c r="C310" s="183" t="s">
        <v>359</v>
      </c>
      <c r="D310" s="183" t="s">
        <v>390</v>
      </c>
      <c r="E310" s="203">
        <v>12</v>
      </c>
      <c r="F310" s="184">
        <f t="shared" si="4"/>
        <v>8400000</v>
      </c>
      <c r="G310" s="191">
        <f>IF(A310&lt;&gt;"", F310/ VLOOKUP(A310, '[1]Курс валют'!$A:$D, 4, 0), "")</f>
        <v>694.21487603305786</v>
      </c>
    </row>
    <row r="311" spans="1:7" outlineLevel="2" x14ac:dyDescent="0.45">
      <c r="A311" s="189">
        <v>46088</v>
      </c>
      <c r="B311" s="182" t="s">
        <v>330</v>
      </c>
      <c r="C311" s="183" t="s">
        <v>364</v>
      </c>
      <c r="D311" s="183" t="s">
        <v>390</v>
      </c>
      <c r="E311" s="203">
        <v>12</v>
      </c>
      <c r="F311" s="184">
        <f t="shared" si="4"/>
        <v>8400000</v>
      </c>
      <c r="G311" s="191">
        <f>IF(A311&lt;&gt;"", F311/ VLOOKUP(A311, '[1]Курс валют'!$A:$D, 4, 0), "")</f>
        <v>694.21487603305786</v>
      </c>
    </row>
    <row r="312" spans="1:7" outlineLevel="2" x14ac:dyDescent="0.45">
      <c r="A312" s="189">
        <v>46088</v>
      </c>
      <c r="B312" s="182" t="s">
        <v>330</v>
      </c>
      <c r="C312" s="183" t="s">
        <v>372</v>
      </c>
      <c r="D312" s="183" t="s">
        <v>390</v>
      </c>
      <c r="E312" s="203">
        <v>8</v>
      </c>
      <c r="F312" s="184">
        <f t="shared" si="4"/>
        <v>5600000</v>
      </c>
      <c r="G312" s="191">
        <f>IF(A312&lt;&gt;"", F312/ VLOOKUP(A312, '[1]Курс валют'!$A:$D, 4, 0), "")</f>
        <v>462.80991735537191</v>
      </c>
    </row>
    <row r="313" spans="1:7" outlineLevel="2" x14ac:dyDescent="0.45">
      <c r="A313" s="189">
        <v>46088</v>
      </c>
      <c r="B313" s="182" t="s">
        <v>330</v>
      </c>
      <c r="C313" s="183" t="s">
        <v>370</v>
      </c>
      <c r="D313" s="183" t="s">
        <v>390</v>
      </c>
      <c r="E313" s="203">
        <v>8</v>
      </c>
      <c r="F313" s="184">
        <f t="shared" si="4"/>
        <v>5600000</v>
      </c>
      <c r="G313" s="191">
        <f>IF(A313&lt;&gt;"", F313/ VLOOKUP(A313, '[1]Курс валют'!$A:$D, 4, 0), "")</f>
        <v>462.80991735537191</v>
      </c>
    </row>
    <row r="314" spans="1:7" outlineLevel="1" x14ac:dyDescent="0.45">
      <c r="A314" s="189" t="s">
        <v>98</v>
      </c>
      <c r="B314" s="182"/>
      <c r="C314" s="183"/>
      <c r="D314" s="183"/>
      <c r="E314" s="203">
        <f>SUBTOTAL(9,E304:E313)</f>
        <v>100</v>
      </c>
      <c r="F314" s="184">
        <f>SUBTOTAL(9,F304:F313)</f>
        <v>70000000</v>
      </c>
      <c r="G314" s="191"/>
    </row>
    <row r="315" spans="1:7" outlineLevel="2" x14ac:dyDescent="0.45">
      <c r="A315" s="189">
        <v>46094</v>
      </c>
      <c r="B315" s="182" t="s">
        <v>330</v>
      </c>
      <c r="C315" s="183" t="s">
        <v>383</v>
      </c>
      <c r="D315" s="183" t="s">
        <v>390</v>
      </c>
      <c r="E315" s="203">
        <v>10</v>
      </c>
      <c r="F315" s="184">
        <f t="shared" si="4"/>
        <v>7000000</v>
      </c>
      <c r="G315" s="191">
        <f>IF(A315&lt;&gt;"", F315/ VLOOKUP(A315, '[1]Курс валют'!$A:$D, 4, 0), "")</f>
        <v>583.33333333333337</v>
      </c>
    </row>
    <row r="316" spans="1:7" outlineLevel="2" x14ac:dyDescent="0.45">
      <c r="A316" s="189">
        <v>46094</v>
      </c>
      <c r="B316" s="182" t="s">
        <v>330</v>
      </c>
      <c r="C316" s="183" t="s">
        <v>365</v>
      </c>
      <c r="D316" s="183" t="s">
        <v>390</v>
      </c>
      <c r="E316" s="203">
        <v>10</v>
      </c>
      <c r="F316" s="184">
        <f t="shared" si="4"/>
        <v>7000000</v>
      </c>
      <c r="G316" s="191">
        <f>IF(A316&lt;&gt;"", F316/ VLOOKUP(A316, '[1]Курс валют'!$A:$D, 4, 0), "")</f>
        <v>583.33333333333337</v>
      </c>
    </row>
    <row r="317" spans="1:7" outlineLevel="2" x14ac:dyDescent="0.45">
      <c r="A317" s="189">
        <v>46094</v>
      </c>
      <c r="B317" s="182" t="s">
        <v>330</v>
      </c>
      <c r="C317" s="183" t="s">
        <v>373</v>
      </c>
      <c r="D317" s="183" t="s">
        <v>390</v>
      </c>
      <c r="E317" s="203">
        <v>9</v>
      </c>
      <c r="F317" s="184">
        <f t="shared" si="4"/>
        <v>6300000</v>
      </c>
      <c r="G317" s="191">
        <f>IF(A317&lt;&gt;"", F317/ VLOOKUP(A317, '[1]Курс валют'!$A:$D, 4, 0), "")</f>
        <v>525</v>
      </c>
    </row>
    <row r="318" spans="1:7" outlineLevel="2" x14ac:dyDescent="0.45">
      <c r="A318" s="189">
        <v>46094</v>
      </c>
      <c r="B318" s="182" t="s">
        <v>330</v>
      </c>
      <c r="C318" s="183" t="s">
        <v>391</v>
      </c>
      <c r="D318" s="183" t="s">
        <v>390</v>
      </c>
      <c r="E318" s="203">
        <v>10</v>
      </c>
      <c r="F318" s="184">
        <f t="shared" si="4"/>
        <v>7000000</v>
      </c>
      <c r="G318" s="191">
        <f>IF(A318&lt;&gt;"", F318/ VLOOKUP(A318, '[1]Курс валют'!$A:$D, 4, 0), "")</f>
        <v>583.33333333333337</v>
      </c>
    </row>
    <row r="319" spans="1:7" outlineLevel="2" x14ac:dyDescent="0.45">
      <c r="A319" s="189">
        <v>46094</v>
      </c>
      <c r="B319" s="182" t="s">
        <v>330</v>
      </c>
      <c r="C319" s="183" t="s">
        <v>370</v>
      </c>
      <c r="D319" s="183" t="s">
        <v>390</v>
      </c>
      <c r="E319" s="203">
        <v>10</v>
      </c>
      <c r="F319" s="184">
        <f t="shared" si="4"/>
        <v>7000000</v>
      </c>
      <c r="G319" s="191">
        <f>IF(A319&lt;&gt;"", F319/ VLOOKUP(A319, '[1]Курс валют'!$A:$D, 4, 0), "")</f>
        <v>583.33333333333337</v>
      </c>
    </row>
    <row r="320" spans="1:7" outlineLevel="2" x14ac:dyDescent="0.45">
      <c r="A320" s="189">
        <v>46094</v>
      </c>
      <c r="B320" s="182" t="s">
        <v>330</v>
      </c>
      <c r="C320" s="183" t="s">
        <v>385</v>
      </c>
      <c r="D320" s="183" t="s">
        <v>390</v>
      </c>
      <c r="E320" s="203">
        <v>10</v>
      </c>
      <c r="F320" s="184">
        <f t="shared" si="4"/>
        <v>7000000</v>
      </c>
      <c r="G320" s="191">
        <f>IF(A320&lt;&gt;"", F320/ VLOOKUP(A320, '[1]Курс валют'!$A:$D, 4, 0), "")</f>
        <v>583.33333333333337</v>
      </c>
    </row>
    <row r="321" spans="1:7" outlineLevel="2" x14ac:dyDescent="0.45">
      <c r="A321" s="189">
        <v>46094</v>
      </c>
      <c r="B321" s="182" t="s">
        <v>330</v>
      </c>
      <c r="C321" s="183" t="s">
        <v>384</v>
      </c>
      <c r="D321" s="183" t="s">
        <v>390</v>
      </c>
      <c r="E321" s="203">
        <v>10</v>
      </c>
      <c r="F321" s="184">
        <f t="shared" si="4"/>
        <v>7000000</v>
      </c>
      <c r="G321" s="191">
        <f>IF(A321&lt;&gt;"", F321/ VLOOKUP(A321, '[1]Курс валют'!$A:$D, 4, 0), "")</f>
        <v>583.33333333333337</v>
      </c>
    </row>
    <row r="322" spans="1:7" outlineLevel="2" x14ac:dyDescent="0.45">
      <c r="A322" s="189">
        <v>46094</v>
      </c>
      <c r="B322" s="182" t="s">
        <v>330</v>
      </c>
      <c r="C322" s="183" t="s">
        <v>355</v>
      </c>
      <c r="D322" s="183" t="s">
        <v>390</v>
      </c>
      <c r="E322" s="203">
        <v>10</v>
      </c>
      <c r="F322" s="184">
        <f t="shared" si="4"/>
        <v>7000000</v>
      </c>
      <c r="G322" s="191">
        <f>IF(A322&lt;&gt;"", F322/ VLOOKUP(A322, '[1]Курс валют'!$A:$D, 4, 0), "")</f>
        <v>583.33333333333337</v>
      </c>
    </row>
    <row r="323" spans="1:7" outlineLevel="2" x14ac:dyDescent="0.45">
      <c r="A323" s="189">
        <v>46094</v>
      </c>
      <c r="B323" s="182" t="s">
        <v>330</v>
      </c>
      <c r="C323" s="183" t="s">
        <v>388</v>
      </c>
      <c r="D323" s="183" t="s">
        <v>390</v>
      </c>
      <c r="E323" s="203">
        <v>10</v>
      </c>
      <c r="F323" s="184">
        <f t="shared" ref="F323:F386" si="5">IF(D323="М400", E323*740000, IF(D323="M150", E323*600000, IF(D323="M300", E323*670000, IF(D323="M350", E323*700000, 0))))</f>
        <v>7000000</v>
      </c>
      <c r="G323" s="191">
        <f>IF(A323&lt;&gt;"", F323/ VLOOKUP(A323, '[1]Курс валют'!$A:$D, 4, 0), "")</f>
        <v>583.33333333333337</v>
      </c>
    </row>
    <row r="324" spans="1:7" outlineLevel="2" x14ac:dyDescent="0.45">
      <c r="A324" s="189">
        <v>46094</v>
      </c>
      <c r="B324" s="182" t="s">
        <v>330</v>
      </c>
      <c r="C324" s="183" t="s">
        <v>365</v>
      </c>
      <c r="D324" s="183" t="s">
        <v>390</v>
      </c>
      <c r="E324" s="203">
        <v>10</v>
      </c>
      <c r="F324" s="184">
        <f t="shared" si="5"/>
        <v>7000000</v>
      </c>
      <c r="G324" s="191">
        <f>IF(A324&lt;&gt;"", F324/ VLOOKUP(A324, '[1]Курс валют'!$A:$D, 4, 0), "")</f>
        <v>583.33333333333337</v>
      </c>
    </row>
    <row r="325" spans="1:7" outlineLevel="2" x14ac:dyDescent="0.45">
      <c r="A325" s="189">
        <v>46094</v>
      </c>
      <c r="B325" s="182" t="s">
        <v>330</v>
      </c>
      <c r="C325" s="183" t="s">
        <v>359</v>
      </c>
      <c r="D325" s="183" t="s">
        <v>390</v>
      </c>
      <c r="E325" s="203">
        <v>11</v>
      </c>
      <c r="F325" s="184">
        <f t="shared" si="5"/>
        <v>7700000</v>
      </c>
      <c r="G325" s="191">
        <f>IF(A325&lt;&gt;"", F325/ VLOOKUP(A325, '[1]Курс валют'!$A:$D, 4, 0), "")</f>
        <v>641.66666666666663</v>
      </c>
    </row>
    <row r="326" spans="1:7" outlineLevel="1" x14ac:dyDescent="0.45">
      <c r="A326" s="189" t="s">
        <v>392</v>
      </c>
      <c r="B326" s="182"/>
      <c r="C326" s="183"/>
      <c r="D326" s="183"/>
      <c r="E326" s="203">
        <f>SUBTOTAL(9,E315:E325)</f>
        <v>110</v>
      </c>
      <c r="F326" s="184">
        <f>SUBTOTAL(9,F315:F325)</f>
        <v>77000000</v>
      </c>
      <c r="G326" s="191"/>
    </row>
    <row r="327" spans="1:7" outlineLevel="2" x14ac:dyDescent="0.45">
      <c r="A327" s="189">
        <v>46099</v>
      </c>
      <c r="B327" s="182" t="s">
        <v>330</v>
      </c>
      <c r="C327" s="183" t="s">
        <v>358</v>
      </c>
      <c r="D327" s="183" t="s">
        <v>393</v>
      </c>
      <c r="E327" s="203">
        <v>8</v>
      </c>
      <c r="F327" s="184">
        <f>IF(D327="M400", E327*740000, IF(D327="M150", E327*600000, IF(D327="M300", E327*670000, IF(D327="M350", E327*700000, 0))))</f>
        <v>5920000</v>
      </c>
      <c r="G327" s="191">
        <f>IF(A327&lt;&gt;"", F327/ VLOOKUP(A327, '[1]Курс валют'!$A:$D, 4, 0), "")</f>
        <v>487.24279835390945</v>
      </c>
    </row>
    <row r="328" spans="1:7" outlineLevel="2" x14ac:dyDescent="0.45">
      <c r="A328" s="189">
        <v>46099</v>
      </c>
      <c r="B328" s="182" t="s">
        <v>330</v>
      </c>
      <c r="C328" s="183" t="s">
        <v>354</v>
      </c>
      <c r="D328" s="183" t="s">
        <v>390</v>
      </c>
      <c r="E328" s="203">
        <v>8</v>
      </c>
      <c r="F328" s="184">
        <f t="shared" si="5"/>
        <v>5600000</v>
      </c>
      <c r="G328" s="191">
        <f>IF(A328&lt;&gt;"", F328/ VLOOKUP(A328, '[1]Курс валют'!$A:$D, 4, 0), "")</f>
        <v>460.9053497942387</v>
      </c>
    </row>
    <row r="329" spans="1:7" outlineLevel="2" x14ac:dyDescent="0.45">
      <c r="A329" s="189">
        <v>46099</v>
      </c>
      <c r="B329" s="182" t="s">
        <v>330</v>
      </c>
      <c r="C329" s="183" t="s">
        <v>385</v>
      </c>
      <c r="D329" s="183" t="s">
        <v>390</v>
      </c>
      <c r="E329" s="203">
        <v>10</v>
      </c>
      <c r="F329" s="184">
        <f t="shared" si="5"/>
        <v>7000000</v>
      </c>
      <c r="G329" s="191">
        <f>IF(A329&lt;&gt;"", F329/ VLOOKUP(A329, '[1]Курс валют'!$A:$D, 4, 0), "")</f>
        <v>576.13168724279831</v>
      </c>
    </row>
    <row r="330" spans="1:7" outlineLevel="2" x14ac:dyDescent="0.45">
      <c r="A330" s="189">
        <v>46099</v>
      </c>
      <c r="B330" s="182" t="s">
        <v>330</v>
      </c>
      <c r="C330" s="183" t="s">
        <v>339</v>
      </c>
      <c r="D330" s="183" t="s">
        <v>390</v>
      </c>
      <c r="E330" s="203">
        <v>12</v>
      </c>
      <c r="F330" s="184">
        <f t="shared" si="5"/>
        <v>8400000</v>
      </c>
      <c r="G330" s="191">
        <f>IF(A330&lt;&gt;"", F330/ VLOOKUP(A330, '[1]Курс валют'!$A:$D, 4, 0), "")</f>
        <v>691.35802469135797</v>
      </c>
    </row>
    <row r="331" spans="1:7" outlineLevel="2" x14ac:dyDescent="0.45">
      <c r="A331" s="189">
        <v>46099</v>
      </c>
      <c r="B331" s="182" t="s">
        <v>330</v>
      </c>
      <c r="C331" s="183" t="s">
        <v>360</v>
      </c>
      <c r="D331" s="183" t="s">
        <v>390</v>
      </c>
      <c r="E331" s="203">
        <v>10</v>
      </c>
      <c r="F331" s="184">
        <f t="shared" si="5"/>
        <v>7000000</v>
      </c>
      <c r="G331" s="191">
        <f>IF(A331&lt;&gt;"", F331/ VLOOKUP(A331, '[1]Курс валют'!$A:$D, 4, 0), "")</f>
        <v>576.13168724279831</v>
      </c>
    </row>
    <row r="332" spans="1:7" outlineLevel="2" x14ac:dyDescent="0.45">
      <c r="A332" s="189">
        <v>46099</v>
      </c>
      <c r="B332" s="182" t="s">
        <v>330</v>
      </c>
      <c r="C332" s="183" t="s">
        <v>362</v>
      </c>
      <c r="D332" s="183" t="s">
        <v>390</v>
      </c>
      <c r="E332" s="203">
        <v>9</v>
      </c>
      <c r="F332" s="184">
        <f t="shared" si="5"/>
        <v>6300000</v>
      </c>
      <c r="G332" s="191">
        <f>IF(A332&lt;&gt;"", F332/ VLOOKUP(A332, '[1]Курс валют'!$A:$D, 4, 0), "")</f>
        <v>518.51851851851848</v>
      </c>
    </row>
    <row r="333" spans="1:7" outlineLevel="2" x14ac:dyDescent="0.45">
      <c r="A333" s="189">
        <v>46099</v>
      </c>
      <c r="B333" s="182" t="s">
        <v>330</v>
      </c>
      <c r="C333" s="183" t="s">
        <v>347</v>
      </c>
      <c r="D333" s="183" t="s">
        <v>390</v>
      </c>
      <c r="E333" s="203">
        <v>12</v>
      </c>
      <c r="F333" s="184">
        <f t="shared" si="5"/>
        <v>8400000</v>
      </c>
      <c r="G333" s="191">
        <f>IF(A333&lt;&gt;"", F333/ VLOOKUP(A333, '[1]Курс валют'!$A:$D, 4, 0), "")</f>
        <v>691.35802469135797</v>
      </c>
    </row>
    <row r="334" spans="1:7" outlineLevel="2" x14ac:dyDescent="0.45">
      <c r="A334" s="189">
        <v>46099</v>
      </c>
      <c r="B334" s="182" t="s">
        <v>330</v>
      </c>
      <c r="C334" s="183" t="s">
        <v>375</v>
      </c>
      <c r="D334" s="183" t="s">
        <v>390</v>
      </c>
      <c r="E334" s="203">
        <v>9</v>
      </c>
      <c r="F334" s="184">
        <f t="shared" si="5"/>
        <v>6300000</v>
      </c>
      <c r="G334" s="191">
        <f>IF(A334&lt;&gt;"", F334/ VLOOKUP(A334, '[1]Курс валют'!$A:$D, 4, 0), "")</f>
        <v>518.51851851851848</v>
      </c>
    </row>
    <row r="335" spans="1:7" outlineLevel="2" x14ac:dyDescent="0.45">
      <c r="A335" s="189">
        <v>46099</v>
      </c>
      <c r="B335" s="182" t="s">
        <v>330</v>
      </c>
      <c r="C335" s="183" t="s">
        <v>352</v>
      </c>
      <c r="D335" s="183" t="s">
        <v>390</v>
      </c>
      <c r="E335" s="203">
        <v>9</v>
      </c>
      <c r="F335" s="184">
        <f t="shared" si="5"/>
        <v>6300000</v>
      </c>
      <c r="G335" s="191">
        <f>IF(A335&lt;&gt;"", F335/ VLOOKUP(A335, '[1]Курс валют'!$A:$D, 4, 0), "")</f>
        <v>518.51851851851848</v>
      </c>
    </row>
    <row r="336" spans="1:7" outlineLevel="2" x14ac:dyDescent="0.45">
      <c r="A336" s="189">
        <v>46099</v>
      </c>
      <c r="B336" s="182" t="s">
        <v>330</v>
      </c>
      <c r="C336" s="183" t="s">
        <v>365</v>
      </c>
      <c r="D336" s="183" t="s">
        <v>390</v>
      </c>
      <c r="E336" s="203">
        <v>10</v>
      </c>
      <c r="F336" s="184">
        <f t="shared" si="5"/>
        <v>7000000</v>
      </c>
      <c r="G336" s="191">
        <f>IF(A336&lt;&gt;"", F336/ VLOOKUP(A336, '[1]Курс валют'!$A:$D, 4, 0), "")</f>
        <v>576.13168724279831</v>
      </c>
    </row>
    <row r="337" spans="1:7" outlineLevel="2" x14ac:dyDescent="0.45">
      <c r="A337" s="189">
        <v>46099</v>
      </c>
      <c r="B337" s="182" t="s">
        <v>330</v>
      </c>
      <c r="C337" s="183" t="s">
        <v>385</v>
      </c>
      <c r="D337" s="183" t="s">
        <v>390</v>
      </c>
      <c r="E337" s="203">
        <v>10</v>
      </c>
      <c r="F337" s="184">
        <f t="shared" si="5"/>
        <v>7000000</v>
      </c>
      <c r="G337" s="191">
        <f>IF(A337&lt;&gt;"", F337/ VLOOKUP(A337, '[1]Курс валют'!$A:$D, 4, 0), "")</f>
        <v>576.13168724279831</v>
      </c>
    </row>
    <row r="338" spans="1:7" outlineLevel="2" x14ac:dyDescent="0.45">
      <c r="A338" s="189">
        <v>46099</v>
      </c>
      <c r="B338" s="182" t="s">
        <v>330</v>
      </c>
      <c r="C338" s="183" t="s">
        <v>394</v>
      </c>
      <c r="D338" s="183" t="s">
        <v>390</v>
      </c>
      <c r="E338" s="203">
        <v>10</v>
      </c>
      <c r="F338" s="184">
        <f t="shared" si="5"/>
        <v>7000000</v>
      </c>
      <c r="G338" s="191">
        <f>IF(A338&lt;&gt;"", F338/ VLOOKUP(A338, '[1]Курс валют'!$A:$D, 4, 0), "")</f>
        <v>576.13168724279831</v>
      </c>
    </row>
    <row r="339" spans="1:7" outlineLevel="2" x14ac:dyDescent="0.45">
      <c r="A339" s="189">
        <v>46099</v>
      </c>
      <c r="B339" s="182" t="s">
        <v>330</v>
      </c>
      <c r="C339" s="183" t="s">
        <v>395</v>
      </c>
      <c r="D339" s="183" t="s">
        <v>390</v>
      </c>
      <c r="E339" s="203">
        <v>11</v>
      </c>
      <c r="F339" s="184">
        <f t="shared" si="5"/>
        <v>7700000</v>
      </c>
      <c r="G339" s="191">
        <f>IF(A339&lt;&gt;"", F339/ VLOOKUP(A339, '[1]Курс валют'!$A:$D, 4, 0), "")</f>
        <v>633.74485596707814</v>
      </c>
    </row>
    <row r="340" spans="1:7" outlineLevel="2" x14ac:dyDescent="0.45">
      <c r="A340" s="189">
        <v>46099</v>
      </c>
      <c r="B340" s="182" t="s">
        <v>330</v>
      </c>
      <c r="C340" s="183" t="s">
        <v>372</v>
      </c>
      <c r="D340" s="183" t="s">
        <v>390</v>
      </c>
      <c r="E340" s="203">
        <v>9</v>
      </c>
      <c r="F340" s="184">
        <f t="shared" si="5"/>
        <v>6300000</v>
      </c>
      <c r="G340" s="191">
        <f>IF(A340&lt;&gt;"", F340/ VLOOKUP(A340, '[1]Курс валют'!$A:$D, 4, 0), "")</f>
        <v>518.51851851851848</v>
      </c>
    </row>
    <row r="341" spans="1:7" outlineLevel="2" x14ac:dyDescent="0.45">
      <c r="A341" s="189">
        <v>46099</v>
      </c>
      <c r="B341" s="182" t="s">
        <v>330</v>
      </c>
      <c r="C341" s="183" t="s">
        <v>381</v>
      </c>
      <c r="D341" s="183" t="s">
        <v>390</v>
      </c>
      <c r="E341" s="203">
        <v>9</v>
      </c>
      <c r="F341" s="184">
        <f t="shared" si="5"/>
        <v>6300000</v>
      </c>
      <c r="G341" s="191">
        <f>IF(A341&lt;&gt;"", F341/ VLOOKUP(A341, '[1]Курс валют'!$A:$D, 4, 0), "")</f>
        <v>518.51851851851848</v>
      </c>
    </row>
    <row r="342" spans="1:7" outlineLevel="2" x14ac:dyDescent="0.45">
      <c r="A342" s="189">
        <v>46099</v>
      </c>
      <c r="B342" s="182" t="s">
        <v>330</v>
      </c>
      <c r="C342" s="183" t="s">
        <v>354</v>
      </c>
      <c r="D342" s="183" t="s">
        <v>390</v>
      </c>
      <c r="E342" s="203">
        <v>9</v>
      </c>
      <c r="F342" s="184">
        <f t="shared" si="5"/>
        <v>6300000</v>
      </c>
      <c r="G342" s="191">
        <f>IF(A342&lt;&gt;"", F342/ VLOOKUP(A342, '[1]Курс валют'!$A:$D, 4, 0), "")</f>
        <v>518.51851851851848</v>
      </c>
    </row>
    <row r="343" spans="1:7" outlineLevel="2" x14ac:dyDescent="0.45">
      <c r="A343" s="189">
        <v>46099</v>
      </c>
      <c r="B343" s="182" t="s">
        <v>330</v>
      </c>
      <c r="C343" s="183" t="s">
        <v>376</v>
      </c>
      <c r="D343" s="183" t="s">
        <v>390</v>
      </c>
      <c r="E343" s="203">
        <v>9</v>
      </c>
      <c r="F343" s="184">
        <f t="shared" si="5"/>
        <v>6300000</v>
      </c>
      <c r="G343" s="191">
        <f>IF(A343&lt;&gt;"", F343/ VLOOKUP(A343, '[1]Курс валют'!$A:$D, 4, 0), "")</f>
        <v>518.51851851851848</v>
      </c>
    </row>
    <row r="344" spans="1:7" outlineLevel="2" x14ac:dyDescent="0.45">
      <c r="A344" s="189">
        <v>46099</v>
      </c>
      <c r="B344" s="182" t="s">
        <v>330</v>
      </c>
      <c r="C344" s="183" t="s">
        <v>396</v>
      </c>
      <c r="D344" s="183" t="s">
        <v>390</v>
      </c>
      <c r="E344" s="203">
        <v>12</v>
      </c>
      <c r="F344" s="184">
        <f t="shared" si="5"/>
        <v>8400000</v>
      </c>
      <c r="G344" s="191">
        <f>IF(A344&lt;&gt;"", F344/ VLOOKUP(A344, '[1]Курс валют'!$A:$D, 4, 0), "")</f>
        <v>691.35802469135797</v>
      </c>
    </row>
    <row r="345" spans="1:7" outlineLevel="2" x14ac:dyDescent="0.45">
      <c r="A345" s="189">
        <v>46099</v>
      </c>
      <c r="B345" s="182" t="s">
        <v>330</v>
      </c>
      <c r="C345" s="183" t="s">
        <v>336</v>
      </c>
      <c r="D345" s="183" t="s">
        <v>390</v>
      </c>
      <c r="E345" s="203">
        <v>10</v>
      </c>
      <c r="F345" s="184">
        <f t="shared" si="5"/>
        <v>7000000</v>
      </c>
      <c r="G345" s="191">
        <f>IF(A345&lt;&gt;"", F345/ VLOOKUP(A345, '[1]Курс валют'!$A:$D, 4, 0), "")</f>
        <v>576.13168724279831</v>
      </c>
    </row>
    <row r="346" spans="1:7" outlineLevel="2" x14ac:dyDescent="0.45">
      <c r="A346" s="189">
        <v>46099</v>
      </c>
      <c r="B346" s="182" t="s">
        <v>330</v>
      </c>
      <c r="C346" s="183" t="s">
        <v>339</v>
      </c>
      <c r="D346" s="183" t="s">
        <v>390</v>
      </c>
      <c r="E346" s="203">
        <v>12</v>
      </c>
      <c r="F346" s="184">
        <f t="shared" si="5"/>
        <v>8400000</v>
      </c>
      <c r="G346" s="191">
        <f>IF(A346&lt;&gt;"", F346/ VLOOKUP(A346, '[1]Курс валют'!$A:$D, 4, 0), "")</f>
        <v>691.35802469135797</v>
      </c>
    </row>
    <row r="347" spans="1:7" outlineLevel="2" x14ac:dyDescent="0.45">
      <c r="A347" s="189">
        <v>46099</v>
      </c>
      <c r="B347" s="182" t="s">
        <v>330</v>
      </c>
      <c r="C347" s="183" t="s">
        <v>355</v>
      </c>
      <c r="D347" s="183" t="s">
        <v>390</v>
      </c>
      <c r="E347" s="203">
        <v>10</v>
      </c>
      <c r="F347" s="184">
        <f t="shared" si="5"/>
        <v>7000000</v>
      </c>
      <c r="G347" s="191">
        <f>IF(A347&lt;&gt;"", F347/ VLOOKUP(A347, '[1]Курс валют'!$A:$D, 4, 0), "")</f>
        <v>576.13168724279831</v>
      </c>
    </row>
    <row r="348" spans="1:7" outlineLevel="2" x14ac:dyDescent="0.45">
      <c r="A348" s="189">
        <v>46099</v>
      </c>
      <c r="B348" s="182" t="s">
        <v>330</v>
      </c>
      <c r="C348" s="183" t="s">
        <v>374</v>
      </c>
      <c r="D348" s="183" t="s">
        <v>390</v>
      </c>
      <c r="E348" s="203">
        <v>10</v>
      </c>
      <c r="F348" s="184">
        <f t="shared" si="5"/>
        <v>7000000</v>
      </c>
      <c r="G348" s="191">
        <f>IF(A348&lt;&gt;"", F348/ VLOOKUP(A348, '[1]Курс валют'!$A:$D, 4, 0), "")</f>
        <v>576.13168724279831</v>
      </c>
    </row>
    <row r="349" spans="1:7" outlineLevel="2" x14ac:dyDescent="0.45">
      <c r="A349" s="189">
        <v>46099</v>
      </c>
      <c r="B349" s="182" t="s">
        <v>330</v>
      </c>
      <c r="C349" s="183" t="s">
        <v>362</v>
      </c>
      <c r="D349" s="183" t="s">
        <v>390</v>
      </c>
      <c r="E349" s="203">
        <v>9</v>
      </c>
      <c r="F349" s="184">
        <f t="shared" si="5"/>
        <v>6300000</v>
      </c>
      <c r="G349" s="191">
        <f>IF(A349&lt;&gt;"", F349/ VLOOKUP(A349, '[1]Курс валют'!$A:$D, 4, 0), "")</f>
        <v>518.51851851851848</v>
      </c>
    </row>
    <row r="350" spans="1:7" outlineLevel="1" x14ac:dyDescent="0.45">
      <c r="A350" s="189" t="s">
        <v>397</v>
      </c>
      <c r="B350" s="182"/>
      <c r="C350" s="183"/>
      <c r="D350" s="183"/>
      <c r="E350" s="203">
        <f>SUBTOTAL(9,E327:E349)</f>
        <v>227</v>
      </c>
      <c r="F350" s="184">
        <f>SUBTOTAL(9,F327:F349)</f>
        <v>159220000</v>
      </c>
      <c r="G350" s="191"/>
    </row>
    <row r="351" spans="1:7" outlineLevel="2" x14ac:dyDescent="0.45">
      <c r="A351" s="189">
        <v>46100</v>
      </c>
      <c r="B351" s="182" t="s">
        <v>330</v>
      </c>
      <c r="C351" s="183" t="s">
        <v>336</v>
      </c>
      <c r="D351" s="183" t="s">
        <v>390</v>
      </c>
      <c r="E351" s="203">
        <v>8.5</v>
      </c>
      <c r="F351" s="184">
        <f t="shared" si="5"/>
        <v>5950000</v>
      </c>
      <c r="G351" s="191">
        <f>IF(A351&lt;&gt;"", F351/ VLOOKUP(A351, 'Курс валют'!$A:$D, 4, 0), "")</f>
        <v>489.71193415637862</v>
      </c>
    </row>
    <row r="352" spans="1:7" outlineLevel="1" x14ac:dyDescent="0.45">
      <c r="A352" s="189" t="s">
        <v>398</v>
      </c>
      <c r="B352" s="182"/>
      <c r="C352" s="183"/>
      <c r="D352" s="183"/>
      <c r="E352" s="203">
        <f>SUBTOTAL(9,E351:E351)</f>
        <v>8.5</v>
      </c>
      <c r="F352" s="184">
        <f>SUBTOTAL(9,F351:F351)</f>
        <v>5950000</v>
      </c>
      <c r="G352" s="191" t="e">
        <f>IF(A352&lt;&gt;"", F352/ VLOOKUP(A352, 'Курс валют'!$A:$D, 4, 0), "")</f>
        <v>#N/A</v>
      </c>
    </row>
    <row r="353" spans="1:7" outlineLevel="2" x14ac:dyDescent="0.45">
      <c r="A353" s="189">
        <v>46106</v>
      </c>
      <c r="B353" s="182" t="s">
        <v>330</v>
      </c>
      <c r="C353" s="183" t="s">
        <v>331</v>
      </c>
      <c r="D353" s="183" t="s">
        <v>390</v>
      </c>
      <c r="E353" s="203">
        <v>9</v>
      </c>
      <c r="F353" s="184">
        <f t="shared" si="5"/>
        <v>6300000</v>
      </c>
      <c r="G353" s="191">
        <f>IF(A353&lt;&gt;"", F353/ VLOOKUP(A353, 'Курс валют'!$A:$D, 4, 0), "")</f>
        <v>515.97051597051598</v>
      </c>
    </row>
    <row r="354" spans="1:7" outlineLevel="2" x14ac:dyDescent="0.45">
      <c r="A354" s="189">
        <v>46106</v>
      </c>
      <c r="B354" s="182" t="s">
        <v>330</v>
      </c>
      <c r="C354" s="183" t="s">
        <v>336</v>
      </c>
      <c r="D354" s="183" t="s">
        <v>390</v>
      </c>
      <c r="E354" s="203">
        <v>10</v>
      </c>
      <c r="F354" s="184">
        <f t="shared" si="5"/>
        <v>7000000</v>
      </c>
      <c r="G354" s="191">
        <f>IF(A354&lt;&gt;"", F354/ VLOOKUP(A354, 'Курс валют'!$A:$D, 4, 0), "")</f>
        <v>573.30057330057332</v>
      </c>
    </row>
    <row r="355" spans="1:7" outlineLevel="2" x14ac:dyDescent="0.45">
      <c r="A355" s="189">
        <v>46106</v>
      </c>
      <c r="B355" s="182" t="s">
        <v>330</v>
      </c>
      <c r="C355" s="183" t="s">
        <v>338</v>
      </c>
      <c r="D355" s="183" t="s">
        <v>390</v>
      </c>
      <c r="E355" s="203">
        <v>7</v>
      </c>
      <c r="F355" s="184">
        <f t="shared" si="5"/>
        <v>4900000</v>
      </c>
      <c r="G355" s="191">
        <f>IF(A355&lt;&gt;"", F355/ VLOOKUP(A355, 'Курс валют'!$A:$D, 4, 0), "")</f>
        <v>401.31040131040129</v>
      </c>
    </row>
    <row r="356" spans="1:7" outlineLevel="2" x14ac:dyDescent="0.45">
      <c r="A356" s="189">
        <v>46106</v>
      </c>
      <c r="B356" s="182" t="s">
        <v>330</v>
      </c>
      <c r="C356" s="183" t="s">
        <v>376</v>
      </c>
      <c r="D356" s="183" t="s">
        <v>390</v>
      </c>
      <c r="E356" s="203">
        <v>9</v>
      </c>
      <c r="F356" s="184">
        <f t="shared" si="5"/>
        <v>6300000</v>
      </c>
      <c r="G356" s="191">
        <f>IF(A356&lt;&gt;"", F356/ VLOOKUP(A356, 'Курс валют'!$A:$D, 4, 0), "")</f>
        <v>515.97051597051598</v>
      </c>
    </row>
    <row r="357" spans="1:7" outlineLevel="2" x14ac:dyDescent="0.45">
      <c r="A357" s="189">
        <v>46106</v>
      </c>
      <c r="B357" s="182" t="s">
        <v>330</v>
      </c>
      <c r="C357" s="183" t="s">
        <v>383</v>
      </c>
      <c r="D357" s="183" t="s">
        <v>390</v>
      </c>
      <c r="E357" s="203">
        <v>10</v>
      </c>
      <c r="F357" s="184">
        <f t="shared" si="5"/>
        <v>7000000</v>
      </c>
      <c r="G357" s="191">
        <f>IF(A357&lt;&gt;"", F357/ VLOOKUP(A357, 'Курс валют'!$A:$D, 4, 0), "")</f>
        <v>573.30057330057332</v>
      </c>
    </row>
    <row r="358" spans="1:7" outlineLevel="2" x14ac:dyDescent="0.45">
      <c r="A358" s="189">
        <v>46106</v>
      </c>
      <c r="B358" s="182" t="s">
        <v>330</v>
      </c>
      <c r="C358" s="183" t="s">
        <v>359</v>
      </c>
      <c r="D358" s="183" t="s">
        <v>390</v>
      </c>
      <c r="E358" s="203">
        <v>12</v>
      </c>
      <c r="F358" s="184">
        <f t="shared" si="5"/>
        <v>8400000</v>
      </c>
      <c r="G358" s="191">
        <f>IF(A358&lt;&gt;"", F358/ VLOOKUP(A358, 'Курс валют'!$A:$D, 4, 0), "")</f>
        <v>687.96068796068801</v>
      </c>
    </row>
    <row r="359" spans="1:7" outlineLevel="2" x14ac:dyDescent="0.45">
      <c r="A359" s="189">
        <v>46106</v>
      </c>
      <c r="B359" s="182" t="s">
        <v>330</v>
      </c>
      <c r="C359" s="183" t="s">
        <v>382</v>
      </c>
      <c r="D359" s="183" t="s">
        <v>390</v>
      </c>
      <c r="E359" s="203">
        <v>10</v>
      </c>
      <c r="F359" s="184">
        <f t="shared" si="5"/>
        <v>7000000</v>
      </c>
      <c r="G359" s="191">
        <f>IF(A359&lt;&gt;"", F359/ VLOOKUP(A359, 'Курс валют'!$A:$D, 4, 0), "")</f>
        <v>573.30057330057332</v>
      </c>
    </row>
    <row r="360" spans="1:7" outlineLevel="2" x14ac:dyDescent="0.45">
      <c r="A360" s="189">
        <v>46106</v>
      </c>
      <c r="B360" s="182" t="s">
        <v>330</v>
      </c>
      <c r="C360" s="183" t="s">
        <v>371</v>
      </c>
      <c r="D360" s="183" t="s">
        <v>390</v>
      </c>
      <c r="E360" s="203">
        <v>9</v>
      </c>
      <c r="F360" s="184">
        <f t="shared" si="5"/>
        <v>6300000</v>
      </c>
      <c r="G360" s="191">
        <f>IF(A360&lt;&gt;"", F360/ VLOOKUP(A360, 'Курс валют'!$A:$D, 4, 0), "")</f>
        <v>515.97051597051598</v>
      </c>
    </row>
    <row r="361" spans="1:7" outlineLevel="2" x14ac:dyDescent="0.45">
      <c r="A361" s="189">
        <v>46106</v>
      </c>
      <c r="B361" s="182" t="s">
        <v>330</v>
      </c>
      <c r="C361" s="183" t="s">
        <v>384</v>
      </c>
      <c r="D361" s="183" t="s">
        <v>390</v>
      </c>
      <c r="E361" s="203">
        <v>10</v>
      </c>
      <c r="F361" s="184">
        <f t="shared" si="5"/>
        <v>7000000</v>
      </c>
      <c r="G361" s="191">
        <f>IF(A361&lt;&gt;"", F361/ VLOOKUP(A361, 'Курс валют'!$A:$D, 4, 0), "")</f>
        <v>573.30057330057332</v>
      </c>
    </row>
    <row r="362" spans="1:7" outlineLevel="2" x14ac:dyDescent="0.45">
      <c r="A362" s="189">
        <v>46106</v>
      </c>
      <c r="B362" s="182" t="s">
        <v>330</v>
      </c>
      <c r="C362" s="183" t="s">
        <v>375</v>
      </c>
      <c r="D362" s="183" t="s">
        <v>390</v>
      </c>
      <c r="E362" s="203">
        <v>9</v>
      </c>
      <c r="F362" s="184">
        <f t="shared" si="5"/>
        <v>6300000</v>
      </c>
      <c r="G362" s="191">
        <f>IF(A362&lt;&gt;"", F362/ VLOOKUP(A362, 'Курс валют'!$A:$D, 4, 0), "")</f>
        <v>515.97051597051598</v>
      </c>
    </row>
    <row r="363" spans="1:7" outlineLevel="2" x14ac:dyDescent="0.45">
      <c r="A363" s="189">
        <v>46106</v>
      </c>
      <c r="B363" s="182" t="s">
        <v>330</v>
      </c>
      <c r="C363" s="183" t="s">
        <v>338</v>
      </c>
      <c r="D363" s="183" t="s">
        <v>390</v>
      </c>
      <c r="E363" s="203">
        <v>10</v>
      </c>
      <c r="F363" s="184">
        <f t="shared" si="5"/>
        <v>7000000</v>
      </c>
      <c r="G363" s="191">
        <f>IF(A363&lt;&gt;"", F363/ VLOOKUP(A363, 'Курс валют'!$A:$D, 4, 0), "")</f>
        <v>573.30057330057332</v>
      </c>
    </row>
    <row r="364" spans="1:7" outlineLevel="2" x14ac:dyDescent="0.45">
      <c r="A364" s="189">
        <v>46106</v>
      </c>
      <c r="B364" s="182" t="s">
        <v>330</v>
      </c>
      <c r="C364" s="183" t="s">
        <v>385</v>
      </c>
      <c r="D364" s="183" t="s">
        <v>390</v>
      </c>
      <c r="E364" s="203">
        <v>10</v>
      </c>
      <c r="F364" s="184">
        <f t="shared" si="5"/>
        <v>7000000</v>
      </c>
      <c r="G364" s="191">
        <f>IF(A364&lt;&gt;"", F364/ VLOOKUP(A364, 'Курс валют'!$A:$D, 4, 0), "")</f>
        <v>573.30057330057332</v>
      </c>
    </row>
    <row r="365" spans="1:7" outlineLevel="2" x14ac:dyDescent="0.45">
      <c r="A365" s="189">
        <v>46106</v>
      </c>
      <c r="B365" s="182" t="s">
        <v>330</v>
      </c>
      <c r="C365" s="183" t="s">
        <v>374</v>
      </c>
      <c r="D365" s="183" t="s">
        <v>390</v>
      </c>
      <c r="E365" s="203">
        <v>10</v>
      </c>
      <c r="F365" s="184">
        <f t="shared" si="5"/>
        <v>7000000</v>
      </c>
      <c r="G365" s="191">
        <f>IF(A365&lt;&gt;"", F365/ VLOOKUP(A365, 'Курс валют'!$A:$D, 4, 0), "")</f>
        <v>573.30057330057332</v>
      </c>
    </row>
    <row r="366" spans="1:7" outlineLevel="2" x14ac:dyDescent="0.45">
      <c r="A366" s="189">
        <v>46106</v>
      </c>
      <c r="B366" s="182" t="s">
        <v>330</v>
      </c>
      <c r="C366" s="183" t="s">
        <v>334</v>
      </c>
      <c r="D366" s="183" t="s">
        <v>390</v>
      </c>
      <c r="E366" s="203">
        <v>9</v>
      </c>
      <c r="F366" s="184">
        <f t="shared" si="5"/>
        <v>6300000</v>
      </c>
      <c r="G366" s="191">
        <f>IF(A366&lt;&gt;"", F366/ VLOOKUP(A366, 'Курс валют'!$A:$D, 4, 0), "")</f>
        <v>515.97051597051598</v>
      </c>
    </row>
    <row r="367" spans="1:7" outlineLevel="2" x14ac:dyDescent="0.45">
      <c r="A367" s="189">
        <v>46106</v>
      </c>
      <c r="B367" s="182" t="s">
        <v>330</v>
      </c>
      <c r="C367" s="183" t="s">
        <v>335</v>
      </c>
      <c r="D367" s="183" t="s">
        <v>390</v>
      </c>
      <c r="E367" s="203">
        <v>10</v>
      </c>
      <c r="F367" s="184">
        <f t="shared" si="5"/>
        <v>7000000</v>
      </c>
      <c r="G367" s="191">
        <f>IF(A367&lt;&gt;"", F367/ VLOOKUP(A367, 'Курс валют'!$A:$D, 4, 0), "")</f>
        <v>573.30057330057332</v>
      </c>
    </row>
    <row r="368" spans="1:7" outlineLevel="2" x14ac:dyDescent="0.45">
      <c r="A368" s="189">
        <v>46106</v>
      </c>
      <c r="B368" s="182" t="s">
        <v>330</v>
      </c>
      <c r="C368" s="183" t="s">
        <v>355</v>
      </c>
      <c r="D368" s="183" t="s">
        <v>390</v>
      </c>
      <c r="E368" s="203">
        <v>10</v>
      </c>
      <c r="F368" s="184">
        <f t="shared" si="5"/>
        <v>7000000</v>
      </c>
      <c r="G368" s="191">
        <f>IF(A368&lt;&gt;"", F368/ VLOOKUP(A368, 'Курс валют'!$A:$D, 4, 0), "")</f>
        <v>573.30057330057332</v>
      </c>
    </row>
    <row r="369" spans="1:7" outlineLevel="2" x14ac:dyDescent="0.45">
      <c r="A369" s="189">
        <v>46106</v>
      </c>
      <c r="B369" s="182" t="s">
        <v>330</v>
      </c>
      <c r="C369" s="183" t="s">
        <v>376</v>
      </c>
      <c r="D369" s="183" t="s">
        <v>390</v>
      </c>
      <c r="E369" s="203">
        <v>9</v>
      </c>
      <c r="F369" s="184">
        <f t="shared" si="5"/>
        <v>6300000</v>
      </c>
      <c r="G369" s="191">
        <f>IF(A369&lt;&gt;"", F369/ VLOOKUP(A369, 'Курс валют'!$A:$D, 4, 0), "")</f>
        <v>515.97051597051598</v>
      </c>
    </row>
    <row r="370" spans="1:7" outlineLevel="2" x14ac:dyDescent="0.45">
      <c r="A370" s="189">
        <v>46106</v>
      </c>
      <c r="B370" s="182" t="s">
        <v>330</v>
      </c>
      <c r="C370" s="183" t="s">
        <v>399</v>
      </c>
      <c r="D370" s="183" t="s">
        <v>390</v>
      </c>
      <c r="E370" s="203">
        <v>12</v>
      </c>
      <c r="F370" s="184">
        <f t="shared" si="5"/>
        <v>8400000</v>
      </c>
      <c r="G370" s="191">
        <f>IF(A370&lt;&gt;"", F370/ VLOOKUP(A370, 'Курс валют'!$A:$D, 4, 0), "")</f>
        <v>687.96068796068801</v>
      </c>
    </row>
    <row r="371" spans="1:7" outlineLevel="2" x14ac:dyDescent="0.45">
      <c r="A371" s="189">
        <v>46106</v>
      </c>
      <c r="B371" s="182" t="s">
        <v>330</v>
      </c>
      <c r="C371" s="183" t="s">
        <v>356</v>
      </c>
      <c r="D371" s="183" t="s">
        <v>390</v>
      </c>
      <c r="E371" s="203">
        <v>9</v>
      </c>
      <c r="F371" s="184">
        <f t="shared" si="5"/>
        <v>6300000</v>
      </c>
      <c r="G371" s="191">
        <f>IF(A371&lt;&gt;"", F371/ VLOOKUP(A371, 'Курс валют'!$A:$D, 4, 0), "")</f>
        <v>515.97051597051598</v>
      </c>
    </row>
    <row r="372" spans="1:7" outlineLevel="2" x14ac:dyDescent="0.45">
      <c r="A372" s="189">
        <v>46106</v>
      </c>
      <c r="B372" s="182" t="s">
        <v>330</v>
      </c>
      <c r="C372" s="183" t="s">
        <v>358</v>
      </c>
      <c r="D372" s="183" t="s">
        <v>390</v>
      </c>
      <c r="E372" s="203">
        <v>9</v>
      </c>
      <c r="F372" s="184">
        <f t="shared" si="5"/>
        <v>6300000</v>
      </c>
      <c r="G372" s="191">
        <f>IF(A372&lt;&gt;"", F372/ VLOOKUP(A372, 'Курс валют'!$A:$D, 4, 0), "")</f>
        <v>515.97051597051598</v>
      </c>
    </row>
    <row r="373" spans="1:7" outlineLevel="2" x14ac:dyDescent="0.45">
      <c r="A373" s="189">
        <v>46106</v>
      </c>
      <c r="B373" s="182" t="s">
        <v>330</v>
      </c>
      <c r="C373" s="183" t="s">
        <v>362</v>
      </c>
      <c r="D373" s="183" t="s">
        <v>390</v>
      </c>
      <c r="E373" s="203">
        <v>9</v>
      </c>
      <c r="F373" s="184">
        <f t="shared" si="5"/>
        <v>6300000</v>
      </c>
      <c r="G373" s="191">
        <f>IF(A373&lt;&gt;"", F373/ VLOOKUP(A373, 'Курс валют'!$A:$D, 4, 0), "")</f>
        <v>515.97051597051598</v>
      </c>
    </row>
    <row r="374" spans="1:7" outlineLevel="1" x14ac:dyDescent="0.45">
      <c r="A374" s="189" t="s">
        <v>106</v>
      </c>
      <c r="B374" s="182"/>
      <c r="C374" s="183"/>
      <c r="D374" s="183"/>
      <c r="E374" s="203">
        <f>SUBTOTAL(9,E353:E373)</f>
        <v>202</v>
      </c>
      <c r="F374" s="184">
        <f>SUBTOTAL(9,F353:F373)</f>
        <v>141400000</v>
      </c>
      <c r="G374" s="191" t="e">
        <f>IF(A374&lt;&gt;"", F374/ VLOOKUP(A374, 'Курс валют'!$A:$D, 4, 0), "")</f>
        <v>#N/A</v>
      </c>
    </row>
    <row r="375" spans="1:7" outlineLevel="2" x14ac:dyDescent="0.45">
      <c r="A375" s="189">
        <v>46111</v>
      </c>
      <c r="B375" s="182" t="s">
        <v>330</v>
      </c>
      <c r="C375" s="183" t="s">
        <v>341</v>
      </c>
      <c r="D375" s="183" t="s">
        <v>390</v>
      </c>
      <c r="E375" s="203">
        <v>12</v>
      </c>
      <c r="F375" s="184">
        <f t="shared" si="5"/>
        <v>8400000</v>
      </c>
      <c r="G375" s="191">
        <f>IF(A375&lt;&gt;"", F375/ VLOOKUP(A375, 'Курс валют'!$A:$D, 4, 0), "")</f>
        <v>694.21487603305786</v>
      </c>
    </row>
    <row r="376" spans="1:7" outlineLevel="2" x14ac:dyDescent="0.45">
      <c r="A376" s="189">
        <v>46111</v>
      </c>
      <c r="B376" s="182" t="s">
        <v>330</v>
      </c>
      <c r="C376" s="183" t="s">
        <v>370</v>
      </c>
      <c r="D376" s="183" t="s">
        <v>390</v>
      </c>
      <c r="E376" s="203">
        <v>10</v>
      </c>
      <c r="F376" s="184">
        <f t="shared" si="5"/>
        <v>7000000</v>
      </c>
      <c r="G376" s="191">
        <f>IF(A376&lt;&gt;"", F376/ VLOOKUP(A376, 'Курс валют'!$A:$D, 4, 0), "")</f>
        <v>578.51239669421489</v>
      </c>
    </row>
    <row r="377" spans="1:7" outlineLevel="2" x14ac:dyDescent="0.45">
      <c r="A377" s="189">
        <v>46111</v>
      </c>
      <c r="B377" s="182" t="s">
        <v>330</v>
      </c>
      <c r="C377" s="183" t="s">
        <v>382</v>
      </c>
      <c r="D377" s="183" t="s">
        <v>390</v>
      </c>
      <c r="E377" s="203">
        <v>10</v>
      </c>
      <c r="F377" s="184">
        <f t="shared" si="5"/>
        <v>7000000</v>
      </c>
      <c r="G377" s="191">
        <f>IF(A377&lt;&gt;"", F377/ VLOOKUP(A377, 'Курс валют'!$A:$D, 4, 0), "")</f>
        <v>578.51239669421489</v>
      </c>
    </row>
    <row r="378" spans="1:7" outlineLevel="2" x14ac:dyDescent="0.45">
      <c r="A378" s="189">
        <v>46111</v>
      </c>
      <c r="B378" s="182" t="s">
        <v>330</v>
      </c>
      <c r="C378" s="183" t="s">
        <v>400</v>
      </c>
      <c r="D378" s="183" t="s">
        <v>390</v>
      </c>
      <c r="E378" s="203">
        <v>12</v>
      </c>
      <c r="F378" s="184">
        <f t="shared" si="5"/>
        <v>8400000</v>
      </c>
      <c r="G378" s="191">
        <f>IF(A378&lt;&gt;"", F378/ VLOOKUP(A378, 'Курс валют'!$A:$D, 4, 0), "")</f>
        <v>694.21487603305786</v>
      </c>
    </row>
    <row r="379" spans="1:7" outlineLevel="2" x14ac:dyDescent="0.45">
      <c r="A379" s="189">
        <v>46111</v>
      </c>
      <c r="B379" s="182" t="s">
        <v>330</v>
      </c>
      <c r="C379" s="183" t="s">
        <v>362</v>
      </c>
      <c r="D379" s="183" t="s">
        <v>390</v>
      </c>
      <c r="E379" s="203">
        <v>9</v>
      </c>
      <c r="F379" s="184">
        <f t="shared" si="5"/>
        <v>6300000</v>
      </c>
      <c r="G379" s="191">
        <f>IF(A379&lt;&gt;"", F379/ VLOOKUP(A379, 'Курс валют'!$A:$D, 4, 0), "")</f>
        <v>520.6611570247934</v>
      </c>
    </row>
    <row r="380" spans="1:7" outlineLevel="2" x14ac:dyDescent="0.45">
      <c r="A380" s="189">
        <v>46111</v>
      </c>
      <c r="B380" s="182" t="s">
        <v>330</v>
      </c>
      <c r="C380" s="183" t="s">
        <v>359</v>
      </c>
      <c r="D380" s="183" t="s">
        <v>390</v>
      </c>
      <c r="E380" s="203">
        <v>12</v>
      </c>
      <c r="F380" s="184">
        <f t="shared" si="5"/>
        <v>8400000</v>
      </c>
      <c r="G380" s="191">
        <f>IF(A380&lt;&gt;"", F380/ VLOOKUP(A380, 'Курс валют'!$A:$D, 4, 0), "")</f>
        <v>694.21487603305786</v>
      </c>
    </row>
    <row r="381" spans="1:7" outlineLevel="2" x14ac:dyDescent="0.45">
      <c r="A381" s="189">
        <v>46111</v>
      </c>
      <c r="B381" s="182" t="s">
        <v>330</v>
      </c>
      <c r="C381" s="183" t="s">
        <v>384</v>
      </c>
      <c r="D381" s="183" t="s">
        <v>390</v>
      </c>
      <c r="E381" s="203">
        <v>10</v>
      </c>
      <c r="F381" s="184">
        <f t="shared" si="5"/>
        <v>7000000</v>
      </c>
      <c r="G381" s="191">
        <f>IF(A381&lt;&gt;"", F381/ VLOOKUP(A381, 'Курс валют'!$A:$D, 4, 0), "")</f>
        <v>578.51239669421489</v>
      </c>
    </row>
    <row r="382" spans="1:7" outlineLevel="2" x14ac:dyDescent="0.45">
      <c r="A382" s="189">
        <v>46111</v>
      </c>
      <c r="B382" s="182" t="s">
        <v>330</v>
      </c>
      <c r="C382" s="183" t="s">
        <v>354</v>
      </c>
      <c r="D382" s="183" t="s">
        <v>390</v>
      </c>
      <c r="E382" s="203">
        <v>10</v>
      </c>
      <c r="F382" s="184">
        <f t="shared" si="5"/>
        <v>7000000</v>
      </c>
      <c r="G382" s="191">
        <f>IF(A382&lt;&gt;"", F382/ VLOOKUP(A382, 'Курс валют'!$A:$D, 4, 0), "")</f>
        <v>578.51239669421489</v>
      </c>
    </row>
    <row r="383" spans="1:7" outlineLevel="2" x14ac:dyDescent="0.45">
      <c r="A383" s="189">
        <v>46111</v>
      </c>
      <c r="B383" s="182" t="s">
        <v>330</v>
      </c>
      <c r="C383" s="183" t="s">
        <v>373</v>
      </c>
      <c r="D383" s="183" t="s">
        <v>390</v>
      </c>
      <c r="E383" s="203">
        <v>9</v>
      </c>
      <c r="F383" s="184">
        <f t="shared" si="5"/>
        <v>6300000</v>
      </c>
      <c r="G383" s="191">
        <f>IF(A383&lt;&gt;"", F383/ VLOOKUP(A383, 'Курс валют'!$A:$D, 4, 0), "")</f>
        <v>520.6611570247934</v>
      </c>
    </row>
    <row r="384" spans="1:7" outlineLevel="2" x14ac:dyDescent="0.45">
      <c r="A384" s="189">
        <v>46111</v>
      </c>
      <c r="B384" s="182" t="s">
        <v>330</v>
      </c>
      <c r="C384" s="183" t="s">
        <v>341</v>
      </c>
      <c r="D384" s="183" t="s">
        <v>390</v>
      </c>
      <c r="E384" s="203">
        <v>10</v>
      </c>
      <c r="F384" s="184">
        <f t="shared" si="5"/>
        <v>7000000</v>
      </c>
      <c r="G384" s="191">
        <f>IF(A384&lt;&gt;"", F384/ VLOOKUP(A384, 'Курс валют'!$A:$D, 4, 0), "")</f>
        <v>578.51239669421489</v>
      </c>
    </row>
    <row r="385" spans="1:7" outlineLevel="2" x14ac:dyDescent="0.45">
      <c r="A385" s="189">
        <v>46111</v>
      </c>
      <c r="B385" s="182" t="s">
        <v>330</v>
      </c>
      <c r="C385" s="183" t="s">
        <v>360</v>
      </c>
      <c r="D385" s="183" t="s">
        <v>390</v>
      </c>
      <c r="E385" s="203">
        <v>10</v>
      </c>
      <c r="F385" s="184">
        <f t="shared" si="5"/>
        <v>7000000</v>
      </c>
      <c r="G385" s="191">
        <f>IF(A385&lt;&gt;"", F385/ VLOOKUP(A385, 'Курс валют'!$A:$D, 4, 0), "")</f>
        <v>578.51239669421489</v>
      </c>
    </row>
    <row r="386" spans="1:7" outlineLevel="2" x14ac:dyDescent="0.45">
      <c r="A386" s="189">
        <v>46111</v>
      </c>
      <c r="B386" s="182" t="s">
        <v>330</v>
      </c>
      <c r="C386" s="183" t="s">
        <v>356</v>
      </c>
      <c r="D386" s="183" t="s">
        <v>390</v>
      </c>
      <c r="E386" s="203">
        <v>9</v>
      </c>
      <c r="F386" s="184">
        <f t="shared" si="5"/>
        <v>6300000</v>
      </c>
      <c r="G386" s="191">
        <f>IF(A386&lt;&gt;"", F386/ VLOOKUP(A386, 'Курс валют'!$A:$D, 4, 0), "")</f>
        <v>520.6611570247934</v>
      </c>
    </row>
    <row r="387" spans="1:7" outlineLevel="2" x14ac:dyDescent="0.45">
      <c r="A387" s="189">
        <v>46111</v>
      </c>
      <c r="B387" s="182" t="s">
        <v>330</v>
      </c>
      <c r="C387" s="183" t="s">
        <v>336</v>
      </c>
      <c r="D387" s="183" t="s">
        <v>390</v>
      </c>
      <c r="E387" s="203">
        <v>10</v>
      </c>
      <c r="F387" s="184">
        <f t="shared" ref="F387:F464" si="6">IF(D387="М400", E387*740000, IF(D387="M150", E387*600000, IF(D387="M300", E387*670000, IF(D387="M350", E387*700000, 0))))</f>
        <v>7000000</v>
      </c>
      <c r="G387" s="191">
        <f>IF(A387&lt;&gt;"", F387/ VLOOKUP(A387, 'Курс валют'!$A:$D, 4, 0), "")</f>
        <v>578.51239669421489</v>
      </c>
    </row>
    <row r="388" spans="1:7" outlineLevel="2" x14ac:dyDescent="0.45">
      <c r="A388" s="189">
        <v>46111</v>
      </c>
      <c r="B388" s="182" t="s">
        <v>330</v>
      </c>
      <c r="C388" s="183" t="s">
        <v>349</v>
      </c>
      <c r="D388" s="183" t="s">
        <v>390</v>
      </c>
      <c r="E388" s="203">
        <v>12</v>
      </c>
      <c r="F388" s="184">
        <f t="shared" si="6"/>
        <v>8400000</v>
      </c>
      <c r="G388" s="191">
        <f>IF(A388&lt;&gt;"", F388/ VLOOKUP(A388, 'Курс валют'!$A:$D, 4, 0), "")</f>
        <v>694.21487603305786</v>
      </c>
    </row>
    <row r="389" spans="1:7" outlineLevel="2" x14ac:dyDescent="0.45">
      <c r="A389" s="189">
        <v>46111</v>
      </c>
      <c r="B389" s="182" t="s">
        <v>330</v>
      </c>
      <c r="C389" s="183" t="s">
        <v>370</v>
      </c>
      <c r="D389" s="183" t="s">
        <v>390</v>
      </c>
      <c r="E389" s="203">
        <v>10</v>
      </c>
      <c r="F389" s="184">
        <f t="shared" si="6"/>
        <v>7000000</v>
      </c>
      <c r="G389" s="191">
        <f>IF(A389&lt;&gt;"", F389/ VLOOKUP(A389, 'Курс валют'!$A:$D, 4, 0), "")</f>
        <v>578.51239669421489</v>
      </c>
    </row>
    <row r="390" spans="1:7" outlineLevel="2" x14ac:dyDescent="0.45">
      <c r="A390" s="189">
        <v>46111</v>
      </c>
      <c r="B390" s="182" t="s">
        <v>330</v>
      </c>
      <c r="C390" s="183" t="s">
        <v>355</v>
      </c>
      <c r="D390" s="183" t="s">
        <v>390</v>
      </c>
      <c r="E390" s="203">
        <v>10</v>
      </c>
      <c r="F390" s="184">
        <f t="shared" si="6"/>
        <v>7000000</v>
      </c>
      <c r="G390" s="191">
        <f>IF(A390&lt;&gt;"", F390/ VLOOKUP(A390, 'Курс валют'!$A:$D, 4, 0), "")</f>
        <v>578.51239669421489</v>
      </c>
    </row>
    <row r="391" spans="1:7" outlineLevel="2" x14ac:dyDescent="0.45">
      <c r="A391" s="189">
        <v>46111</v>
      </c>
      <c r="B391" s="182" t="s">
        <v>330</v>
      </c>
      <c r="C391" s="183" t="s">
        <v>354</v>
      </c>
      <c r="D391" s="183" t="s">
        <v>390</v>
      </c>
      <c r="E391" s="203">
        <v>10</v>
      </c>
      <c r="F391" s="184">
        <f t="shared" si="6"/>
        <v>7000000</v>
      </c>
      <c r="G391" s="191">
        <f>IF(A391&lt;&gt;"", F391/ VLOOKUP(A391, 'Курс валют'!$A:$D, 4, 0), "")</f>
        <v>578.51239669421489</v>
      </c>
    </row>
    <row r="392" spans="1:7" outlineLevel="2" x14ac:dyDescent="0.45">
      <c r="A392" s="189">
        <v>46111</v>
      </c>
      <c r="B392" s="182" t="s">
        <v>330</v>
      </c>
      <c r="C392" s="183" t="s">
        <v>388</v>
      </c>
      <c r="D392" s="183" t="s">
        <v>390</v>
      </c>
      <c r="E392" s="203">
        <v>10</v>
      </c>
      <c r="F392" s="184">
        <f t="shared" si="6"/>
        <v>7000000</v>
      </c>
      <c r="G392" s="191">
        <f>IF(A392&lt;&gt;"", F392/ VLOOKUP(A392, 'Курс валют'!$A:$D, 4, 0), "")</f>
        <v>578.51239669421489</v>
      </c>
    </row>
    <row r="393" spans="1:7" outlineLevel="2" x14ac:dyDescent="0.45">
      <c r="A393" s="189">
        <v>46111</v>
      </c>
      <c r="B393" s="182" t="s">
        <v>330</v>
      </c>
      <c r="C393" s="183" t="s">
        <v>341</v>
      </c>
      <c r="D393" s="183" t="s">
        <v>390</v>
      </c>
      <c r="E393" s="203">
        <v>11</v>
      </c>
      <c r="F393" s="184">
        <f t="shared" si="6"/>
        <v>7700000</v>
      </c>
      <c r="G393" s="191">
        <f>IF(A393&lt;&gt;"", F393/ VLOOKUP(A393, 'Курс валют'!$A:$D, 4, 0), "")</f>
        <v>636.36363636363637</v>
      </c>
    </row>
    <row r="394" spans="1:7" outlineLevel="2" x14ac:dyDescent="0.45">
      <c r="A394" s="189">
        <v>46111</v>
      </c>
      <c r="B394" s="182" t="s">
        <v>330</v>
      </c>
      <c r="C394" s="183" t="s">
        <v>371</v>
      </c>
      <c r="D394" s="183" t="s">
        <v>390</v>
      </c>
      <c r="E394" s="203">
        <v>9</v>
      </c>
      <c r="F394" s="184">
        <f t="shared" si="6"/>
        <v>6300000</v>
      </c>
      <c r="G394" s="191">
        <f>IF(A394&lt;&gt;"", F394/ VLOOKUP(A394, 'Курс валют'!$A:$D, 4, 0), "")</f>
        <v>520.6611570247934</v>
      </c>
    </row>
    <row r="395" spans="1:7" outlineLevel="2" x14ac:dyDescent="0.45">
      <c r="A395" s="189">
        <v>46111</v>
      </c>
      <c r="B395" s="182" t="s">
        <v>330</v>
      </c>
      <c r="C395" s="183" t="s">
        <v>339</v>
      </c>
      <c r="D395" s="183" t="s">
        <v>390</v>
      </c>
      <c r="E395" s="203">
        <v>12</v>
      </c>
      <c r="F395" s="184">
        <f t="shared" si="6"/>
        <v>8400000</v>
      </c>
      <c r="G395" s="191">
        <f>IF(A395&lt;&gt;"", F395/ VLOOKUP(A395, 'Курс валют'!$A:$D, 4, 0), "")</f>
        <v>694.21487603305786</v>
      </c>
    </row>
    <row r="396" spans="1:7" outlineLevel="2" x14ac:dyDescent="0.45">
      <c r="A396" s="189">
        <v>46111</v>
      </c>
      <c r="B396" s="182" t="s">
        <v>330</v>
      </c>
      <c r="C396" s="183" t="s">
        <v>389</v>
      </c>
      <c r="D396" s="183" t="s">
        <v>390</v>
      </c>
      <c r="E396" s="203">
        <v>10</v>
      </c>
      <c r="F396" s="184">
        <f t="shared" si="6"/>
        <v>7000000</v>
      </c>
      <c r="G396" s="191">
        <f>IF(A396&lt;&gt;"", F396/ VLOOKUP(A396, 'Курс валют'!$A:$D, 4, 0), "")</f>
        <v>578.51239669421489</v>
      </c>
    </row>
    <row r="397" spans="1:7" outlineLevel="2" x14ac:dyDescent="0.45">
      <c r="A397" s="189">
        <v>46111</v>
      </c>
      <c r="B397" s="182" t="s">
        <v>330</v>
      </c>
      <c r="C397" s="183" t="s">
        <v>401</v>
      </c>
      <c r="D397" s="183" t="s">
        <v>390</v>
      </c>
      <c r="E397" s="203">
        <v>9</v>
      </c>
      <c r="F397" s="184">
        <f t="shared" si="6"/>
        <v>6300000</v>
      </c>
      <c r="G397" s="191">
        <f>IF(A397&lt;&gt;"", F397/ VLOOKUP(A397, 'Курс валют'!$A:$D, 4, 0), "")</f>
        <v>520.6611570247934</v>
      </c>
    </row>
    <row r="398" spans="1:7" outlineLevel="1" x14ac:dyDescent="0.45">
      <c r="A398" s="189" t="s">
        <v>111</v>
      </c>
      <c r="B398" s="182"/>
      <c r="C398" s="183"/>
      <c r="D398" s="183"/>
      <c r="E398" s="203">
        <f>SUBTOTAL(9,E375:E397)</f>
        <v>236</v>
      </c>
      <c r="F398" s="184">
        <f>SUBTOTAL(9,F375:F397)</f>
        <v>165200000</v>
      </c>
      <c r="G398" s="191" t="e">
        <f>IF(A398&lt;&gt;"", F398/ VLOOKUP(A398, 'Курс валют'!$A:$D, 4, 0), "")</f>
        <v>#N/A</v>
      </c>
    </row>
    <row r="399" spans="1:7" outlineLevel="2" x14ac:dyDescent="0.45">
      <c r="A399" s="189">
        <v>46113</v>
      </c>
      <c r="B399" s="182" t="s">
        <v>330</v>
      </c>
      <c r="C399" s="183" t="s">
        <v>362</v>
      </c>
      <c r="D399" s="183" t="s">
        <v>390</v>
      </c>
      <c r="E399" s="203">
        <v>9</v>
      </c>
      <c r="F399" s="184">
        <f t="shared" si="6"/>
        <v>6300000</v>
      </c>
      <c r="G399" s="191">
        <f>IF(A399&lt;&gt;"", F399/ VLOOKUP(A399, 'Курс валют'!$A:$D, 4, 0), "")</f>
        <v>520.6611570247934</v>
      </c>
    </row>
    <row r="400" spans="1:7" outlineLevel="2" x14ac:dyDescent="0.45">
      <c r="A400" s="189">
        <v>46113</v>
      </c>
      <c r="B400" s="182" t="s">
        <v>330</v>
      </c>
      <c r="C400" s="183" t="s">
        <v>345</v>
      </c>
      <c r="D400" s="183" t="s">
        <v>390</v>
      </c>
      <c r="E400" s="203">
        <v>9</v>
      </c>
      <c r="F400" s="184">
        <f t="shared" si="6"/>
        <v>6300000</v>
      </c>
      <c r="G400" s="191">
        <f>IF(A400&lt;&gt;"", F400/ VLOOKUP(A400, 'Курс валют'!$A:$D, 4, 0), "")</f>
        <v>520.6611570247934</v>
      </c>
    </row>
    <row r="401" spans="1:7" outlineLevel="1" x14ac:dyDescent="0.45">
      <c r="A401" s="189" t="s">
        <v>402</v>
      </c>
      <c r="B401" s="182"/>
      <c r="C401" s="183"/>
      <c r="D401" s="183"/>
      <c r="E401" s="203">
        <f>SUBTOTAL(9,E399:E400)</f>
        <v>18</v>
      </c>
      <c r="F401" s="184">
        <f>SUBTOTAL(9,F399:F400)</f>
        <v>12600000</v>
      </c>
      <c r="G401" s="191" t="e">
        <f>IF(A401&lt;&gt;"", F401/ VLOOKUP(A401, 'Курс валют'!$A:$D, 4, 0), "")</f>
        <v>#N/A</v>
      </c>
    </row>
    <row r="402" spans="1:7" outlineLevel="2" x14ac:dyDescent="0.45">
      <c r="A402" s="189">
        <v>46117</v>
      </c>
      <c r="B402" s="182" t="s">
        <v>330</v>
      </c>
      <c r="C402" s="183" t="s">
        <v>383</v>
      </c>
      <c r="D402" s="183" t="s">
        <v>390</v>
      </c>
      <c r="E402" s="203">
        <v>9</v>
      </c>
      <c r="F402" s="184">
        <f t="shared" si="6"/>
        <v>6300000</v>
      </c>
      <c r="G402" s="191">
        <f>IF(A402&lt;&gt;"", F402/ VLOOKUP(A402, 'Курс валют'!$A:$D, 4, 0), "")</f>
        <v>525</v>
      </c>
    </row>
    <row r="403" spans="1:7" outlineLevel="2" x14ac:dyDescent="0.45">
      <c r="A403" s="189">
        <v>46117</v>
      </c>
      <c r="B403" s="182" t="s">
        <v>330</v>
      </c>
      <c r="C403" s="183" t="s">
        <v>361</v>
      </c>
      <c r="D403" s="183" t="s">
        <v>390</v>
      </c>
      <c r="E403" s="203">
        <v>9</v>
      </c>
      <c r="F403" s="184">
        <f t="shared" si="6"/>
        <v>6300000</v>
      </c>
      <c r="G403" s="191">
        <f>IF(A403&lt;&gt;"", F403/ VLOOKUP(A403, 'Курс валют'!$A:$D, 4, 0), "")</f>
        <v>525</v>
      </c>
    </row>
    <row r="404" spans="1:7" outlineLevel="2" x14ac:dyDescent="0.45">
      <c r="A404" s="189">
        <v>46117</v>
      </c>
      <c r="B404" s="182" t="s">
        <v>330</v>
      </c>
      <c r="C404" s="183" t="s">
        <v>373</v>
      </c>
      <c r="D404" s="183" t="s">
        <v>390</v>
      </c>
      <c r="E404" s="203">
        <v>9</v>
      </c>
      <c r="F404" s="184">
        <f t="shared" si="6"/>
        <v>6300000</v>
      </c>
      <c r="G404" s="191">
        <f>IF(A404&lt;&gt;"", F404/ VLOOKUP(A404, 'Курс валют'!$A:$D, 4, 0), "")</f>
        <v>525</v>
      </c>
    </row>
    <row r="405" spans="1:7" outlineLevel="2" x14ac:dyDescent="0.45">
      <c r="A405" s="189">
        <v>46117</v>
      </c>
      <c r="B405" s="182" t="s">
        <v>330</v>
      </c>
      <c r="C405" s="183" t="s">
        <v>365</v>
      </c>
      <c r="D405" s="183" t="s">
        <v>390</v>
      </c>
      <c r="E405" s="203">
        <v>10</v>
      </c>
      <c r="F405" s="184">
        <f t="shared" si="6"/>
        <v>7000000</v>
      </c>
      <c r="G405" s="191">
        <f>IF(A405&lt;&gt;"", F405/ VLOOKUP(A405, 'Курс валют'!$A:$D, 4, 0), "")</f>
        <v>583.33333333333337</v>
      </c>
    </row>
    <row r="406" spans="1:7" outlineLevel="2" x14ac:dyDescent="0.45">
      <c r="A406" s="189">
        <v>46117</v>
      </c>
      <c r="B406" s="182" t="s">
        <v>330</v>
      </c>
      <c r="C406" s="183" t="s">
        <v>349</v>
      </c>
      <c r="D406" s="183" t="s">
        <v>390</v>
      </c>
      <c r="E406" s="203">
        <v>12</v>
      </c>
      <c r="F406" s="184">
        <f t="shared" si="6"/>
        <v>8400000</v>
      </c>
      <c r="G406" s="191">
        <f>IF(A406&lt;&gt;"", F406/ VLOOKUP(A406, 'Курс валют'!$A:$D, 4, 0), "")</f>
        <v>700</v>
      </c>
    </row>
    <row r="407" spans="1:7" outlineLevel="2" x14ac:dyDescent="0.45">
      <c r="A407" s="189">
        <v>46117</v>
      </c>
      <c r="B407" s="182" t="s">
        <v>330</v>
      </c>
      <c r="C407" s="183" t="s">
        <v>356</v>
      </c>
      <c r="D407" s="183" t="s">
        <v>390</v>
      </c>
      <c r="E407" s="203">
        <v>9</v>
      </c>
      <c r="F407" s="184">
        <f t="shared" si="6"/>
        <v>6300000</v>
      </c>
      <c r="G407" s="191">
        <f>IF(A407&lt;&gt;"", F407/ VLOOKUP(A407, 'Курс валют'!$A:$D, 4, 0), "")</f>
        <v>525</v>
      </c>
    </row>
    <row r="408" spans="1:7" outlineLevel="2" x14ac:dyDescent="0.45">
      <c r="A408" s="189">
        <v>46117</v>
      </c>
      <c r="B408" s="182" t="s">
        <v>330</v>
      </c>
      <c r="C408" s="183" t="s">
        <v>351</v>
      </c>
      <c r="D408" s="183" t="s">
        <v>390</v>
      </c>
      <c r="E408" s="203">
        <v>12</v>
      </c>
      <c r="F408" s="184">
        <f t="shared" si="6"/>
        <v>8400000</v>
      </c>
      <c r="G408" s="191">
        <f>IF(A408&lt;&gt;"", F408/ VLOOKUP(A408, 'Курс валют'!$A:$D, 4, 0), "")</f>
        <v>700</v>
      </c>
    </row>
    <row r="409" spans="1:7" outlineLevel="2" x14ac:dyDescent="0.45">
      <c r="A409" s="189">
        <v>46117</v>
      </c>
      <c r="B409" s="182" t="s">
        <v>330</v>
      </c>
      <c r="C409" s="183" t="s">
        <v>375</v>
      </c>
      <c r="D409" s="183" t="s">
        <v>390</v>
      </c>
      <c r="E409" s="203">
        <v>9</v>
      </c>
      <c r="F409" s="184">
        <f t="shared" si="6"/>
        <v>6300000</v>
      </c>
      <c r="G409" s="191">
        <f>IF(A409&lt;&gt;"", F409/ VLOOKUP(A409, 'Курс валют'!$A:$D, 4, 0), "")</f>
        <v>525</v>
      </c>
    </row>
    <row r="410" spans="1:7" outlineLevel="2" x14ac:dyDescent="0.45">
      <c r="A410" s="189">
        <v>46117</v>
      </c>
      <c r="B410" s="182" t="s">
        <v>330</v>
      </c>
      <c r="C410" s="183" t="s">
        <v>335</v>
      </c>
      <c r="D410" s="183" t="s">
        <v>390</v>
      </c>
      <c r="E410" s="203">
        <v>10</v>
      </c>
      <c r="F410" s="184">
        <f t="shared" si="6"/>
        <v>7000000</v>
      </c>
      <c r="G410" s="191">
        <f>IF(A410&lt;&gt;"", F410/ VLOOKUP(A410, 'Курс валют'!$A:$D, 4, 0), "")</f>
        <v>583.33333333333337</v>
      </c>
    </row>
    <row r="411" spans="1:7" outlineLevel="2" x14ac:dyDescent="0.45">
      <c r="A411" s="189">
        <v>46117</v>
      </c>
      <c r="B411" s="182" t="s">
        <v>330</v>
      </c>
      <c r="C411" s="183" t="s">
        <v>378</v>
      </c>
      <c r="D411" s="183" t="s">
        <v>390</v>
      </c>
      <c r="E411" s="203">
        <v>8</v>
      </c>
      <c r="F411" s="184">
        <f t="shared" si="6"/>
        <v>5600000</v>
      </c>
      <c r="G411" s="191">
        <f>IF(A411&lt;&gt;"", F411/ VLOOKUP(A411, 'Курс валют'!$A:$D, 4, 0), "")</f>
        <v>466.66666666666669</v>
      </c>
    </row>
    <row r="412" spans="1:7" outlineLevel="2" x14ac:dyDescent="0.45">
      <c r="A412" s="189">
        <v>46117</v>
      </c>
      <c r="B412" s="182" t="s">
        <v>330</v>
      </c>
      <c r="C412" s="183" t="s">
        <v>338</v>
      </c>
      <c r="D412" s="183" t="s">
        <v>390</v>
      </c>
      <c r="E412" s="203">
        <v>10</v>
      </c>
      <c r="F412" s="184">
        <f t="shared" si="6"/>
        <v>7000000</v>
      </c>
      <c r="G412" s="191">
        <f>IF(A412&lt;&gt;"", F412/ VLOOKUP(A412, 'Курс валют'!$A:$D, 4, 0), "")</f>
        <v>583.33333333333337</v>
      </c>
    </row>
    <row r="413" spans="1:7" outlineLevel="2" x14ac:dyDescent="0.45">
      <c r="A413" s="189">
        <v>46117</v>
      </c>
      <c r="B413" s="182" t="s">
        <v>330</v>
      </c>
      <c r="C413" s="183" t="s">
        <v>365</v>
      </c>
      <c r="D413" s="183" t="s">
        <v>390</v>
      </c>
      <c r="E413" s="203">
        <v>10</v>
      </c>
      <c r="F413" s="184">
        <f t="shared" si="6"/>
        <v>7000000</v>
      </c>
      <c r="G413" s="191">
        <f>IF(A413&lt;&gt;"", F413/ VLOOKUP(A413, 'Курс валют'!$A:$D, 4, 0), "")</f>
        <v>583.33333333333337</v>
      </c>
    </row>
    <row r="414" spans="1:7" outlineLevel="1" x14ac:dyDescent="0.45">
      <c r="A414" s="189" t="s">
        <v>403</v>
      </c>
      <c r="B414" s="182"/>
      <c r="C414" s="183"/>
      <c r="D414" s="183"/>
      <c r="E414" s="203">
        <f>SUBTOTAL(9,E402:E413)</f>
        <v>117</v>
      </c>
      <c r="F414" s="184">
        <f>SUBTOTAL(9,F402:F413)</f>
        <v>81900000</v>
      </c>
      <c r="G414" s="191" t="e">
        <f>IF(A414&lt;&gt;"", F414/ VLOOKUP(A414, 'Курс валют'!$A:$D, 4, 0), "")</f>
        <v>#N/A</v>
      </c>
    </row>
    <row r="415" spans="1:7" outlineLevel="1" x14ac:dyDescent="0.45">
      <c r="A415" s="189">
        <v>46118</v>
      </c>
      <c r="B415" s="182" t="s">
        <v>330</v>
      </c>
      <c r="C415" s="183" t="s">
        <v>382</v>
      </c>
      <c r="D415" s="183" t="s">
        <v>390</v>
      </c>
      <c r="E415" s="203">
        <v>10</v>
      </c>
      <c r="F415" s="184">
        <f t="shared" si="6"/>
        <v>7000000</v>
      </c>
      <c r="G415" s="191">
        <f>IF(A415&lt;&gt;"", F415/ VLOOKUP(A415, 'Курс валют'!$A:$D, 4, 0), "")</f>
        <v>583.33333333333337</v>
      </c>
    </row>
    <row r="416" spans="1:7" outlineLevel="1" x14ac:dyDescent="0.45">
      <c r="A416" s="189">
        <v>46118</v>
      </c>
      <c r="B416" s="182" t="s">
        <v>330</v>
      </c>
      <c r="C416" s="183" t="s">
        <v>336</v>
      </c>
      <c r="D416" s="183" t="s">
        <v>390</v>
      </c>
      <c r="E416" s="203">
        <v>10</v>
      </c>
      <c r="F416" s="184">
        <f t="shared" si="6"/>
        <v>7000000</v>
      </c>
      <c r="G416" s="191">
        <f>IF(A416&lt;&gt;"", F416/ VLOOKUP(A416, 'Курс валют'!$A:$D, 4, 0), "")</f>
        <v>583.33333333333337</v>
      </c>
    </row>
    <row r="417" spans="1:7" outlineLevel="1" x14ac:dyDescent="0.45">
      <c r="A417" s="189">
        <v>46118</v>
      </c>
      <c r="B417" s="182" t="s">
        <v>330</v>
      </c>
      <c r="C417" s="183" t="s">
        <v>388</v>
      </c>
      <c r="D417" s="183" t="s">
        <v>390</v>
      </c>
      <c r="E417" s="203">
        <v>10</v>
      </c>
      <c r="F417" s="184">
        <f t="shared" si="6"/>
        <v>7000000</v>
      </c>
      <c r="G417" s="191">
        <f>IF(A417&lt;&gt;"", F417/ VLOOKUP(A417, 'Курс валют'!$A:$D, 4, 0), "")</f>
        <v>583.33333333333337</v>
      </c>
    </row>
    <row r="418" spans="1:7" outlineLevel="1" x14ac:dyDescent="0.45">
      <c r="A418" s="189">
        <v>46118</v>
      </c>
      <c r="B418" s="182" t="s">
        <v>330</v>
      </c>
      <c r="C418" s="183" t="s">
        <v>382</v>
      </c>
      <c r="D418" s="183" t="s">
        <v>390</v>
      </c>
      <c r="E418" s="203">
        <v>10</v>
      </c>
      <c r="F418" s="184">
        <f t="shared" si="6"/>
        <v>7000000</v>
      </c>
      <c r="G418" s="191">
        <f>IF(A418&lt;&gt;"", F418/ VLOOKUP(A418, 'Курс валют'!$A:$D, 4, 0), "")</f>
        <v>583.33333333333337</v>
      </c>
    </row>
    <row r="419" spans="1:7" outlineLevel="1" x14ac:dyDescent="0.45">
      <c r="A419" s="189">
        <v>46118</v>
      </c>
      <c r="B419" s="182" t="s">
        <v>330</v>
      </c>
      <c r="C419" s="183" t="s">
        <v>382</v>
      </c>
      <c r="D419" s="183" t="s">
        <v>390</v>
      </c>
      <c r="E419" s="203">
        <v>10</v>
      </c>
      <c r="F419" s="184">
        <f t="shared" si="6"/>
        <v>7000000</v>
      </c>
      <c r="G419" s="191">
        <f>IF(A419&lt;&gt;"", F419/ VLOOKUP(A419, 'Курс валют'!$A:$D, 4, 0), "")</f>
        <v>583.33333333333337</v>
      </c>
    </row>
    <row r="420" spans="1:7" outlineLevel="1" x14ac:dyDescent="0.45">
      <c r="A420" s="189">
        <v>46118</v>
      </c>
      <c r="B420" s="182" t="s">
        <v>330</v>
      </c>
      <c r="C420" s="183" t="s">
        <v>336</v>
      </c>
      <c r="D420" s="183" t="s">
        <v>390</v>
      </c>
      <c r="E420" s="203">
        <v>10</v>
      </c>
      <c r="F420" s="184">
        <f t="shared" si="6"/>
        <v>7000000</v>
      </c>
      <c r="G420" s="191">
        <f>IF(A420&lt;&gt;"", F420/ VLOOKUP(A420, 'Курс валют'!$A:$D, 4, 0), "")</f>
        <v>583.33333333333337</v>
      </c>
    </row>
    <row r="421" spans="1:7" outlineLevel="1" x14ac:dyDescent="0.45">
      <c r="A421" s="189">
        <v>46118</v>
      </c>
      <c r="B421" s="182" t="s">
        <v>330</v>
      </c>
      <c r="C421" s="183" t="s">
        <v>388</v>
      </c>
      <c r="D421" s="183" t="s">
        <v>390</v>
      </c>
      <c r="E421" s="203">
        <v>10</v>
      </c>
      <c r="F421" s="184">
        <f t="shared" si="6"/>
        <v>7000000</v>
      </c>
      <c r="G421" s="191">
        <f>IF(A421&lt;&gt;"", F421/ VLOOKUP(A421, 'Курс валют'!$A:$D, 4, 0), "")</f>
        <v>583.33333333333337</v>
      </c>
    </row>
    <row r="422" spans="1:7" outlineLevel="1" x14ac:dyDescent="0.45">
      <c r="A422" s="189">
        <v>46118</v>
      </c>
      <c r="B422" s="182" t="s">
        <v>330</v>
      </c>
      <c r="C422" s="183" t="s">
        <v>388</v>
      </c>
      <c r="D422" s="183" t="s">
        <v>390</v>
      </c>
      <c r="E422" s="203">
        <v>10</v>
      </c>
      <c r="F422" s="184">
        <f t="shared" si="6"/>
        <v>7000000</v>
      </c>
      <c r="G422" s="191">
        <f>IF(A422&lt;&gt;"", F422/ VLOOKUP(A422, 'Курс валют'!$A:$D, 4, 0), "")</f>
        <v>583.33333333333337</v>
      </c>
    </row>
    <row r="423" spans="1:7" outlineLevel="1" x14ac:dyDescent="0.45">
      <c r="A423" s="189">
        <v>46118</v>
      </c>
      <c r="B423" s="182" t="s">
        <v>330</v>
      </c>
      <c r="C423" s="183" t="s">
        <v>382</v>
      </c>
      <c r="D423" s="183" t="s">
        <v>390</v>
      </c>
      <c r="E423" s="203">
        <v>10</v>
      </c>
      <c r="F423" s="184">
        <f t="shared" si="6"/>
        <v>7000000</v>
      </c>
      <c r="G423" s="191">
        <f>IF(A423&lt;&gt;"", F423/ VLOOKUP(A423, 'Курс валют'!$A:$D, 4, 0), "")</f>
        <v>583.33333333333337</v>
      </c>
    </row>
    <row r="424" spans="1:7" outlineLevel="1" x14ac:dyDescent="0.45">
      <c r="A424" s="189">
        <v>46118</v>
      </c>
      <c r="B424" s="182" t="s">
        <v>330</v>
      </c>
      <c r="C424" s="503" t="s">
        <v>336</v>
      </c>
      <c r="D424" s="503" t="s">
        <v>390</v>
      </c>
      <c r="E424" s="504">
        <v>10</v>
      </c>
      <c r="F424" s="184">
        <f t="shared" si="6"/>
        <v>7000000</v>
      </c>
      <c r="G424" s="191">
        <f>IF(A424&lt;&gt;"", F424/ VLOOKUP(A424, 'Курс валют'!$A:$D, 4, 0), "")</f>
        <v>583.33333333333337</v>
      </c>
    </row>
    <row r="425" spans="1:7" outlineLevel="1" x14ac:dyDescent="0.45">
      <c r="A425" s="189">
        <v>46118</v>
      </c>
      <c r="B425" s="182" t="s">
        <v>330</v>
      </c>
      <c r="C425" s="195" t="s">
        <v>388</v>
      </c>
      <c r="D425" s="505" t="s">
        <v>390</v>
      </c>
      <c r="E425" s="506">
        <v>10</v>
      </c>
      <c r="F425" s="184">
        <f t="shared" si="6"/>
        <v>7000000</v>
      </c>
      <c r="G425" s="191">
        <f>IF(A425&lt;&gt;"", F425/ VLOOKUP(A425, 'Курс валют'!$A:$D, 4, 0), "")</f>
        <v>583.33333333333337</v>
      </c>
    </row>
    <row r="426" spans="1:7" outlineLevel="1" x14ac:dyDescent="0.45">
      <c r="A426" s="189">
        <v>46118</v>
      </c>
      <c r="B426" s="182" t="s">
        <v>330</v>
      </c>
      <c r="C426" s="183" t="s">
        <v>382</v>
      </c>
      <c r="D426" s="183" t="s">
        <v>390</v>
      </c>
      <c r="E426" s="203">
        <v>10</v>
      </c>
      <c r="F426" s="184">
        <f t="shared" si="6"/>
        <v>7000000</v>
      </c>
      <c r="G426" s="191">
        <f>IF(A426&lt;&gt;"", F426/ VLOOKUP(A426, 'Курс валют'!$A:$D, 4, 0), "")</f>
        <v>583.33333333333337</v>
      </c>
    </row>
    <row r="427" spans="1:7" outlineLevel="1" x14ac:dyDescent="0.45">
      <c r="A427" s="189">
        <v>46118</v>
      </c>
      <c r="B427" s="182" t="s">
        <v>330</v>
      </c>
      <c r="C427" s="503" t="s">
        <v>336</v>
      </c>
      <c r="D427" s="503" t="s">
        <v>390</v>
      </c>
      <c r="E427" s="504">
        <v>10</v>
      </c>
      <c r="F427" s="184">
        <f t="shared" si="6"/>
        <v>7000000</v>
      </c>
      <c r="G427" s="191">
        <f>IF(A427&lt;&gt;"", F427/ VLOOKUP(A427, 'Курс валют'!$A:$D, 4, 0), "")</f>
        <v>583.33333333333337</v>
      </c>
    </row>
    <row r="428" spans="1:7" outlineLevel="1" x14ac:dyDescent="0.45">
      <c r="A428" s="189">
        <v>46118</v>
      </c>
      <c r="B428" s="182" t="s">
        <v>330</v>
      </c>
      <c r="C428" s="195" t="s">
        <v>388</v>
      </c>
      <c r="D428" s="505" t="s">
        <v>390</v>
      </c>
      <c r="E428" s="506">
        <v>10</v>
      </c>
      <c r="F428" s="184">
        <f t="shared" si="6"/>
        <v>7000000</v>
      </c>
      <c r="G428" s="191">
        <f>IF(A428&lt;&gt;"", F428/ VLOOKUP(A428, 'Курс валют'!$A:$D, 4, 0), "")</f>
        <v>583.33333333333337</v>
      </c>
    </row>
    <row r="429" spans="1:7" outlineLevel="2" x14ac:dyDescent="0.45">
      <c r="A429" s="189">
        <v>46120</v>
      </c>
      <c r="B429" s="182" t="s">
        <v>330</v>
      </c>
      <c r="C429" s="183" t="s">
        <v>400</v>
      </c>
      <c r="D429" s="183" t="s">
        <v>390</v>
      </c>
      <c r="E429" s="203">
        <v>12</v>
      </c>
      <c r="F429" s="184">
        <f t="shared" si="6"/>
        <v>8400000</v>
      </c>
      <c r="G429" s="191">
        <f>IF(A429&lt;&gt;"", F429/ VLOOKUP(A429, 'Курс валют'!$A:$D, 4, 0), "")</f>
        <v>691.35802469135797</v>
      </c>
    </row>
    <row r="430" spans="1:7" outlineLevel="2" x14ac:dyDescent="0.45">
      <c r="A430" s="189">
        <v>46120</v>
      </c>
      <c r="B430" s="182" t="s">
        <v>330</v>
      </c>
      <c r="C430" s="183" t="s">
        <v>339</v>
      </c>
      <c r="D430" s="183" t="s">
        <v>390</v>
      </c>
      <c r="E430" s="203">
        <v>12</v>
      </c>
      <c r="F430" s="184">
        <f t="shared" si="6"/>
        <v>8400000</v>
      </c>
      <c r="G430" s="191">
        <f>IF(A430&lt;&gt;"", F430/ VLOOKUP(A430, 'Курс валют'!$A:$D, 4, 0), "")</f>
        <v>691.35802469135797</v>
      </c>
    </row>
    <row r="431" spans="1:7" outlineLevel="1" x14ac:dyDescent="0.45">
      <c r="A431" s="189" t="s">
        <v>404</v>
      </c>
      <c r="B431" s="182"/>
      <c r="C431" s="183"/>
      <c r="D431" s="183"/>
      <c r="E431" s="203">
        <f>SUBTOTAL(9,E429:E430)</f>
        <v>24</v>
      </c>
      <c r="F431" s="184">
        <f>SUBTOTAL(9,F429:F430)</f>
        <v>16800000</v>
      </c>
      <c r="G431" s="191" t="e">
        <f>IF(A431&lt;&gt;"", F431/ VLOOKUP(A431, 'Курс валют'!$A:$D, 4, 0), "")</f>
        <v>#N/A</v>
      </c>
    </row>
    <row r="432" spans="1:7" outlineLevel="2" x14ac:dyDescent="0.45">
      <c r="A432" s="189">
        <v>46122</v>
      </c>
      <c r="B432" s="182" t="s">
        <v>330</v>
      </c>
      <c r="C432" s="183" t="s">
        <v>383</v>
      </c>
      <c r="D432" s="183" t="s">
        <v>390</v>
      </c>
      <c r="E432" s="203">
        <v>3.5</v>
      </c>
      <c r="F432" s="184">
        <f t="shared" si="6"/>
        <v>2450000</v>
      </c>
      <c r="G432" s="191">
        <f>IF(A432&lt;&gt;"", F432/ VLOOKUP(A432, 'Курс валют'!$A:$D, 4, 0), "")</f>
        <v>200.81967213114754</v>
      </c>
    </row>
    <row r="433" spans="1:7" outlineLevel="2" x14ac:dyDescent="0.45">
      <c r="A433" s="189">
        <v>46122</v>
      </c>
      <c r="B433" s="182" t="s">
        <v>330</v>
      </c>
      <c r="C433" s="183" t="s">
        <v>384</v>
      </c>
      <c r="D433" s="183" t="s">
        <v>390</v>
      </c>
      <c r="E433" s="203">
        <v>10</v>
      </c>
      <c r="F433" s="184">
        <f t="shared" si="6"/>
        <v>7000000</v>
      </c>
      <c r="G433" s="191">
        <f>IF(A433&lt;&gt;"", F433/ VLOOKUP(A433, 'Курс валют'!$A:$D, 4, 0), "")</f>
        <v>573.77049180327867</v>
      </c>
    </row>
    <row r="434" spans="1:7" outlineLevel="2" x14ac:dyDescent="0.45">
      <c r="A434" s="189">
        <v>46122</v>
      </c>
      <c r="B434" s="182" t="s">
        <v>330</v>
      </c>
      <c r="C434" s="183" t="s">
        <v>338</v>
      </c>
      <c r="D434" s="183" t="s">
        <v>390</v>
      </c>
      <c r="E434" s="203">
        <v>10</v>
      </c>
      <c r="F434" s="184">
        <f t="shared" si="6"/>
        <v>7000000</v>
      </c>
      <c r="G434" s="191">
        <f>IF(A434&lt;&gt;"", F434/ VLOOKUP(A434, 'Курс валют'!$A:$D, 4, 0), "")</f>
        <v>573.77049180327867</v>
      </c>
    </row>
    <row r="435" spans="1:7" outlineLevel="2" x14ac:dyDescent="0.45">
      <c r="A435" s="189">
        <v>46122</v>
      </c>
      <c r="B435" s="182" t="s">
        <v>330</v>
      </c>
      <c r="C435" s="183" t="s">
        <v>383</v>
      </c>
      <c r="D435" s="183" t="s">
        <v>390</v>
      </c>
      <c r="E435" s="203">
        <v>10</v>
      </c>
      <c r="F435" s="184">
        <f t="shared" si="6"/>
        <v>7000000</v>
      </c>
      <c r="G435" s="191">
        <f>IF(A435&lt;&gt;"", F435/ VLOOKUP(A435, 'Курс валют'!$A:$D, 4, 0), "")</f>
        <v>573.77049180327867</v>
      </c>
    </row>
    <row r="436" spans="1:7" outlineLevel="2" x14ac:dyDescent="0.45">
      <c r="A436" s="189">
        <v>46122</v>
      </c>
      <c r="B436" s="182" t="s">
        <v>330</v>
      </c>
      <c r="C436" s="183" t="s">
        <v>384</v>
      </c>
      <c r="D436" s="183" t="s">
        <v>390</v>
      </c>
      <c r="E436" s="203">
        <v>10</v>
      </c>
      <c r="F436" s="184">
        <f t="shared" si="6"/>
        <v>7000000</v>
      </c>
      <c r="G436" s="191">
        <f>IF(A436&lt;&gt;"", F436/ VLOOKUP(A436, 'Курс валют'!$A:$D, 4, 0), "")</f>
        <v>573.77049180327867</v>
      </c>
    </row>
    <row r="437" spans="1:7" outlineLevel="2" x14ac:dyDescent="0.45">
      <c r="A437" s="189">
        <v>46122</v>
      </c>
      <c r="B437" s="182" t="s">
        <v>330</v>
      </c>
      <c r="C437" s="183" t="s">
        <v>338</v>
      </c>
      <c r="D437" s="183" t="s">
        <v>390</v>
      </c>
      <c r="E437" s="203">
        <v>10</v>
      </c>
      <c r="F437" s="184">
        <f t="shared" si="6"/>
        <v>7000000</v>
      </c>
      <c r="G437" s="191">
        <f>IF(A437&lt;&gt;"", F437/ VLOOKUP(A437, 'Курс валют'!$A:$D, 4, 0), "")</f>
        <v>573.77049180327867</v>
      </c>
    </row>
    <row r="438" spans="1:7" outlineLevel="2" x14ac:dyDescent="0.45">
      <c r="A438" s="189">
        <v>46122</v>
      </c>
      <c r="B438" s="182" t="s">
        <v>330</v>
      </c>
      <c r="C438" s="183" t="s">
        <v>383</v>
      </c>
      <c r="D438" s="183" t="s">
        <v>390</v>
      </c>
      <c r="E438" s="203">
        <v>10</v>
      </c>
      <c r="F438" s="184">
        <f t="shared" si="6"/>
        <v>7000000</v>
      </c>
      <c r="G438" s="191">
        <f>IF(A438&lt;&gt;"", F438/ VLOOKUP(A438, 'Курс валют'!$A:$D, 4, 0), "")</f>
        <v>573.77049180327867</v>
      </c>
    </row>
    <row r="439" spans="1:7" outlineLevel="2" x14ac:dyDescent="0.45">
      <c r="A439" s="189">
        <v>46122</v>
      </c>
      <c r="B439" s="182" t="s">
        <v>330</v>
      </c>
      <c r="C439" s="183" t="s">
        <v>384</v>
      </c>
      <c r="D439" s="183" t="s">
        <v>390</v>
      </c>
      <c r="E439" s="203">
        <v>10</v>
      </c>
      <c r="F439" s="184">
        <f t="shared" si="6"/>
        <v>7000000</v>
      </c>
      <c r="G439" s="191">
        <f>IF(A439&lt;&gt;"", F439/ VLOOKUP(A439, 'Курс валют'!$A:$D, 4, 0), "")</f>
        <v>573.77049180327867</v>
      </c>
    </row>
    <row r="440" spans="1:7" outlineLevel="2" x14ac:dyDescent="0.45">
      <c r="A440" s="189">
        <v>46122</v>
      </c>
      <c r="B440" s="182" t="s">
        <v>330</v>
      </c>
      <c r="C440" s="183" t="s">
        <v>383</v>
      </c>
      <c r="D440" s="183" t="s">
        <v>390</v>
      </c>
      <c r="E440" s="203">
        <v>10</v>
      </c>
      <c r="F440" s="184">
        <f t="shared" si="6"/>
        <v>7000000</v>
      </c>
      <c r="G440" s="191">
        <f>IF(A440&lt;&gt;"", F440/ VLOOKUP(A440, 'Курс валют'!$A:$D, 4, 0), "")</f>
        <v>573.77049180327867</v>
      </c>
    </row>
    <row r="441" spans="1:7" outlineLevel="2" x14ac:dyDescent="0.45">
      <c r="A441" s="189">
        <v>46122</v>
      </c>
      <c r="B441" s="182" t="s">
        <v>330</v>
      </c>
      <c r="C441" s="183" t="s">
        <v>384</v>
      </c>
      <c r="D441" s="183" t="s">
        <v>390</v>
      </c>
      <c r="E441" s="203">
        <v>10</v>
      </c>
      <c r="F441" s="184">
        <f t="shared" si="6"/>
        <v>7000000</v>
      </c>
      <c r="G441" s="191">
        <f>IF(A441&lt;&gt;"", F441/ VLOOKUP(A441, 'Курс валют'!$A:$D, 4, 0), "")</f>
        <v>573.77049180327867</v>
      </c>
    </row>
    <row r="442" spans="1:7" outlineLevel="2" x14ac:dyDescent="0.45">
      <c r="A442" s="189">
        <v>46122</v>
      </c>
      <c r="B442" s="182" t="s">
        <v>330</v>
      </c>
      <c r="C442" s="183" t="s">
        <v>384</v>
      </c>
      <c r="D442" s="183" t="s">
        <v>390</v>
      </c>
      <c r="E442" s="203">
        <v>10</v>
      </c>
      <c r="F442" s="184">
        <f t="shared" si="6"/>
        <v>7000000</v>
      </c>
      <c r="G442" s="191">
        <f>IF(A442&lt;&gt;"", F442/ VLOOKUP(A442, 'Курс валют'!$A:$D, 4, 0), "")</f>
        <v>573.77049180327867</v>
      </c>
    </row>
    <row r="443" spans="1:7" outlineLevel="1" x14ac:dyDescent="0.45">
      <c r="A443" s="189" t="s">
        <v>405</v>
      </c>
      <c r="B443" s="182"/>
      <c r="C443" s="183"/>
      <c r="D443" s="183"/>
      <c r="E443" s="203">
        <f>SUBTOTAL(9,E432:E442)</f>
        <v>103.5</v>
      </c>
      <c r="F443" s="184">
        <f>SUBTOTAL(9,F432:F442)</f>
        <v>72450000</v>
      </c>
      <c r="G443" s="191" t="e">
        <f>IF(A443&lt;&gt;"", F443/ VLOOKUP(A443, 'Курс валют'!$A:$D, 4, 0), "")</f>
        <v>#N/A</v>
      </c>
    </row>
    <row r="444" spans="1:7" outlineLevel="2" x14ac:dyDescent="0.45">
      <c r="A444" s="189">
        <v>46124</v>
      </c>
      <c r="B444" s="182" t="s">
        <v>330</v>
      </c>
      <c r="C444" s="183" t="s">
        <v>354</v>
      </c>
      <c r="D444" s="183" t="s">
        <v>390</v>
      </c>
      <c r="E444" s="203">
        <v>8</v>
      </c>
      <c r="F444" s="184">
        <f t="shared" si="6"/>
        <v>5600000</v>
      </c>
      <c r="G444" s="191">
        <f>IF(A444&lt;&gt;"", F444/ VLOOKUP(A444, 'Курс валют'!$A:$D, 4, 0), "")</f>
        <v>459.01639344262293</v>
      </c>
    </row>
    <row r="445" spans="1:7" outlineLevel="1" x14ac:dyDescent="0.45">
      <c r="A445" s="189" t="s">
        <v>406</v>
      </c>
      <c r="B445" s="182"/>
      <c r="C445" s="183"/>
      <c r="D445" s="183"/>
      <c r="E445" s="203">
        <f>SUBTOTAL(9,E444:E444)</f>
        <v>8</v>
      </c>
      <c r="F445" s="184">
        <f>SUBTOTAL(9,F444:F444)</f>
        <v>5600000</v>
      </c>
      <c r="G445" s="191" t="e">
        <f>IF(A445&lt;&gt;"", F445/ VLOOKUP(A445, 'Курс валют'!$A:$D, 4, 0), "")</f>
        <v>#N/A</v>
      </c>
    </row>
    <row r="446" spans="1:7" outlineLevel="2" x14ac:dyDescent="0.45">
      <c r="A446" s="189">
        <v>46127</v>
      </c>
      <c r="B446" s="182" t="s">
        <v>330</v>
      </c>
      <c r="C446" s="183" t="s">
        <v>336</v>
      </c>
      <c r="D446" s="183" t="s">
        <v>390</v>
      </c>
      <c r="E446" s="203">
        <v>10</v>
      </c>
      <c r="F446" s="184">
        <f t="shared" si="6"/>
        <v>7000000</v>
      </c>
      <c r="G446" s="191">
        <f>IF(A446&lt;&gt;"", F446/ VLOOKUP(A446, 'Курс валют'!$A:$D, 4, 0), "")</f>
        <v>583.33333333333337</v>
      </c>
    </row>
    <row r="447" spans="1:7" outlineLevel="2" x14ac:dyDescent="0.45">
      <c r="A447" s="189">
        <v>46127</v>
      </c>
      <c r="B447" s="182" t="s">
        <v>330</v>
      </c>
      <c r="C447" s="183" t="s">
        <v>338</v>
      </c>
      <c r="D447" s="183" t="s">
        <v>390</v>
      </c>
      <c r="E447" s="203">
        <v>10</v>
      </c>
      <c r="F447" s="184">
        <f t="shared" si="6"/>
        <v>7000000</v>
      </c>
      <c r="G447" s="191">
        <f>IF(A447&lt;&gt;"", F447/ VLOOKUP(A447, 'Курс валют'!$A:$D, 4, 0), "")</f>
        <v>583.33333333333337</v>
      </c>
    </row>
    <row r="448" spans="1:7" outlineLevel="2" x14ac:dyDescent="0.45">
      <c r="A448" s="189">
        <v>46127</v>
      </c>
      <c r="B448" s="182" t="s">
        <v>330</v>
      </c>
      <c r="C448" s="183" t="s">
        <v>385</v>
      </c>
      <c r="D448" s="183" t="s">
        <v>390</v>
      </c>
      <c r="E448" s="203">
        <v>10</v>
      </c>
      <c r="F448" s="184">
        <f t="shared" si="6"/>
        <v>7000000</v>
      </c>
      <c r="G448" s="191">
        <f>IF(A448&lt;&gt;"", F448/ VLOOKUP(A448, 'Курс валют'!$A:$D, 4, 0), "")</f>
        <v>583.33333333333337</v>
      </c>
    </row>
    <row r="449" spans="1:7" outlineLevel="2" x14ac:dyDescent="0.45">
      <c r="A449" s="189">
        <v>46127</v>
      </c>
      <c r="B449" s="182" t="s">
        <v>330</v>
      </c>
      <c r="C449" s="183" t="s">
        <v>336</v>
      </c>
      <c r="D449" s="183" t="s">
        <v>390</v>
      </c>
      <c r="E449" s="203">
        <v>10</v>
      </c>
      <c r="F449" s="184">
        <f t="shared" si="6"/>
        <v>7000000</v>
      </c>
      <c r="G449" s="191">
        <f>IF(A449&lt;&gt;"", F449/ VLOOKUP(A449, 'Курс валют'!$A:$D, 4, 0), "")</f>
        <v>583.33333333333337</v>
      </c>
    </row>
    <row r="450" spans="1:7" outlineLevel="2" x14ac:dyDescent="0.45">
      <c r="A450" s="189">
        <v>46127</v>
      </c>
      <c r="B450" s="182" t="s">
        <v>330</v>
      </c>
      <c r="C450" s="183" t="s">
        <v>338</v>
      </c>
      <c r="D450" s="183" t="s">
        <v>390</v>
      </c>
      <c r="E450" s="203">
        <v>10</v>
      </c>
      <c r="F450" s="184">
        <f t="shared" si="6"/>
        <v>7000000</v>
      </c>
      <c r="G450" s="191">
        <f>IF(A450&lt;&gt;"", F450/ VLOOKUP(A450, 'Курс валют'!$A:$D, 4, 0), "")</f>
        <v>583.33333333333337</v>
      </c>
    </row>
    <row r="451" spans="1:7" outlineLevel="2" x14ac:dyDescent="0.45">
      <c r="A451" s="189">
        <v>46127</v>
      </c>
      <c r="B451" s="182" t="s">
        <v>330</v>
      </c>
      <c r="C451" s="183" t="s">
        <v>385</v>
      </c>
      <c r="D451" s="183" t="s">
        <v>390</v>
      </c>
      <c r="E451" s="203">
        <v>10</v>
      </c>
      <c r="F451" s="184">
        <f t="shared" si="6"/>
        <v>7000000</v>
      </c>
      <c r="G451" s="191">
        <f>IF(A451&lt;&gt;"", F451/ VLOOKUP(A451, 'Курс валют'!$A:$D, 4, 0), "")</f>
        <v>583.33333333333337</v>
      </c>
    </row>
    <row r="452" spans="1:7" outlineLevel="2" x14ac:dyDescent="0.45">
      <c r="A452" s="189">
        <v>46127</v>
      </c>
      <c r="B452" s="182" t="s">
        <v>330</v>
      </c>
      <c r="C452" s="183" t="s">
        <v>336</v>
      </c>
      <c r="D452" s="183" t="s">
        <v>390</v>
      </c>
      <c r="E452" s="203">
        <v>10</v>
      </c>
      <c r="F452" s="184">
        <f t="shared" si="6"/>
        <v>7000000</v>
      </c>
      <c r="G452" s="191">
        <f>IF(A452&lt;&gt;"", F452/ VLOOKUP(A452, 'Курс валют'!$A:$D, 4, 0), "")</f>
        <v>583.33333333333337</v>
      </c>
    </row>
    <row r="453" spans="1:7" outlineLevel="2" x14ac:dyDescent="0.45">
      <c r="A453" s="189">
        <v>46127</v>
      </c>
      <c r="B453" s="182" t="s">
        <v>330</v>
      </c>
      <c r="C453" s="183" t="s">
        <v>338</v>
      </c>
      <c r="D453" s="183" t="s">
        <v>390</v>
      </c>
      <c r="E453" s="203">
        <v>10</v>
      </c>
      <c r="F453" s="184">
        <f t="shared" si="6"/>
        <v>7000000</v>
      </c>
      <c r="G453" s="191">
        <f>IF(A453&lt;&gt;"", F453/ VLOOKUP(A453, 'Курс валют'!$A:$D, 4, 0), "")</f>
        <v>583.33333333333337</v>
      </c>
    </row>
    <row r="454" spans="1:7" outlineLevel="2" x14ac:dyDescent="0.45">
      <c r="A454" s="189">
        <v>46127</v>
      </c>
      <c r="B454" s="182" t="s">
        <v>330</v>
      </c>
      <c r="C454" s="183" t="s">
        <v>385</v>
      </c>
      <c r="D454" s="183" t="s">
        <v>390</v>
      </c>
      <c r="E454" s="203">
        <v>10</v>
      </c>
      <c r="F454" s="184">
        <f t="shared" si="6"/>
        <v>7000000</v>
      </c>
      <c r="G454" s="191">
        <f>IF(A454&lt;&gt;"", F454/ VLOOKUP(A454, 'Курс валют'!$A:$D, 4, 0), "")</f>
        <v>583.33333333333337</v>
      </c>
    </row>
    <row r="455" spans="1:7" outlineLevel="2" x14ac:dyDescent="0.45">
      <c r="A455" s="189">
        <v>46127</v>
      </c>
      <c r="B455" s="182" t="s">
        <v>330</v>
      </c>
      <c r="C455" s="183" t="s">
        <v>336</v>
      </c>
      <c r="D455" s="183" t="s">
        <v>390</v>
      </c>
      <c r="E455" s="203">
        <v>10</v>
      </c>
      <c r="F455" s="184">
        <f t="shared" si="6"/>
        <v>7000000</v>
      </c>
      <c r="G455" s="191">
        <f>IF(A455&lt;&gt;"", F455/ VLOOKUP(A455, 'Курс валют'!$A:$D, 4, 0), "")</f>
        <v>583.33333333333337</v>
      </c>
    </row>
    <row r="456" spans="1:7" outlineLevel="2" x14ac:dyDescent="0.45">
      <c r="A456" s="189">
        <v>46127</v>
      </c>
      <c r="B456" s="182" t="s">
        <v>330</v>
      </c>
      <c r="C456" s="183" t="s">
        <v>338</v>
      </c>
      <c r="D456" s="183" t="s">
        <v>390</v>
      </c>
      <c r="E456" s="203">
        <v>10</v>
      </c>
      <c r="F456" s="184">
        <f t="shared" si="6"/>
        <v>7000000</v>
      </c>
      <c r="G456" s="191">
        <f>IF(A456&lt;&gt;"", F456/ VLOOKUP(A456, 'Курс валют'!$A:$D, 4, 0), "")</f>
        <v>583.33333333333337</v>
      </c>
    </row>
    <row r="457" spans="1:7" outlineLevel="2" x14ac:dyDescent="0.45">
      <c r="A457" s="189">
        <v>46127</v>
      </c>
      <c r="B457" s="182" t="s">
        <v>330</v>
      </c>
      <c r="C457" s="183" t="s">
        <v>385</v>
      </c>
      <c r="D457" s="183" t="s">
        <v>390</v>
      </c>
      <c r="E457" s="203">
        <v>10</v>
      </c>
      <c r="F457" s="184">
        <f t="shared" si="6"/>
        <v>7000000</v>
      </c>
      <c r="G457" s="191">
        <f>IF(A457&lt;&gt;"", F457/ VLOOKUP(A457, 'Курс валют'!$A:$D, 4, 0), "")</f>
        <v>583.33333333333337</v>
      </c>
    </row>
    <row r="458" spans="1:7" outlineLevel="2" x14ac:dyDescent="0.45">
      <c r="A458" s="189">
        <v>46127</v>
      </c>
      <c r="B458" s="182" t="s">
        <v>330</v>
      </c>
      <c r="C458" s="183" t="s">
        <v>336</v>
      </c>
      <c r="D458" s="183" t="s">
        <v>390</v>
      </c>
      <c r="E458" s="203">
        <v>10</v>
      </c>
      <c r="F458" s="184">
        <f t="shared" si="6"/>
        <v>7000000</v>
      </c>
      <c r="G458" s="191">
        <f>IF(A458&lt;&gt;"", F458/ VLOOKUP(A458, 'Курс валют'!$A:$D, 4, 0), "")</f>
        <v>583.33333333333337</v>
      </c>
    </row>
    <row r="459" spans="1:7" outlineLevel="2" x14ac:dyDescent="0.45">
      <c r="A459" s="189">
        <v>46127</v>
      </c>
      <c r="B459" s="182" t="s">
        <v>330</v>
      </c>
      <c r="C459" s="183" t="s">
        <v>338</v>
      </c>
      <c r="D459" s="183" t="s">
        <v>390</v>
      </c>
      <c r="E459" s="203">
        <v>10</v>
      </c>
      <c r="F459" s="184">
        <f t="shared" si="6"/>
        <v>7000000</v>
      </c>
      <c r="G459" s="191">
        <f>IF(A459&lt;&gt;"", F459/ VLOOKUP(A459, 'Курс валют'!$A:$D, 4, 0), "")</f>
        <v>583.33333333333337</v>
      </c>
    </row>
    <row r="460" spans="1:7" outlineLevel="2" x14ac:dyDescent="0.45">
      <c r="A460" s="189">
        <v>46127</v>
      </c>
      <c r="B460" s="182" t="s">
        <v>330</v>
      </c>
      <c r="C460" s="183" t="s">
        <v>385</v>
      </c>
      <c r="D460" s="183" t="s">
        <v>390</v>
      </c>
      <c r="E460" s="203">
        <v>10</v>
      </c>
      <c r="F460" s="184">
        <f t="shared" si="6"/>
        <v>7000000</v>
      </c>
      <c r="G460" s="191">
        <f>IF(A460&lt;&gt;"", F460/ VLOOKUP(A460, 'Курс валют'!$A:$D, 4, 0), "")</f>
        <v>583.33333333333337</v>
      </c>
    </row>
    <row r="461" spans="1:7" outlineLevel="2" x14ac:dyDescent="0.45">
      <c r="A461" s="189">
        <v>46127</v>
      </c>
      <c r="B461" s="182" t="s">
        <v>330</v>
      </c>
      <c r="C461" s="183" t="s">
        <v>336</v>
      </c>
      <c r="D461" s="183" t="s">
        <v>390</v>
      </c>
      <c r="E461" s="203">
        <v>10</v>
      </c>
      <c r="F461" s="184">
        <f t="shared" si="6"/>
        <v>7000000</v>
      </c>
      <c r="G461" s="191">
        <f>IF(A461&lt;&gt;"", F461/ VLOOKUP(A461, 'Курс валют'!$A:$D, 4, 0), "")</f>
        <v>583.33333333333337</v>
      </c>
    </row>
    <row r="462" spans="1:7" outlineLevel="2" x14ac:dyDescent="0.45">
      <c r="A462" s="189">
        <v>46127</v>
      </c>
      <c r="B462" s="182" t="s">
        <v>330</v>
      </c>
      <c r="C462" s="183" t="s">
        <v>338</v>
      </c>
      <c r="D462" s="183" t="s">
        <v>390</v>
      </c>
      <c r="E462" s="203">
        <v>10</v>
      </c>
      <c r="F462" s="184">
        <f t="shared" si="6"/>
        <v>7000000</v>
      </c>
      <c r="G462" s="191">
        <f>IF(A462&lt;&gt;"", F462/ VLOOKUP(A462, 'Курс валют'!$A:$D, 4, 0), "")</f>
        <v>583.33333333333337</v>
      </c>
    </row>
    <row r="463" spans="1:7" outlineLevel="2" x14ac:dyDescent="0.45">
      <c r="A463" s="189">
        <v>46127</v>
      </c>
      <c r="B463" s="182" t="s">
        <v>330</v>
      </c>
      <c r="C463" s="183" t="s">
        <v>385</v>
      </c>
      <c r="D463" s="183" t="s">
        <v>390</v>
      </c>
      <c r="E463" s="203">
        <v>10</v>
      </c>
      <c r="F463" s="184">
        <f t="shared" si="6"/>
        <v>7000000</v>
      </c>
      <c r="G463" s="191">
        <f>IF(A463&lt;&gt;"", F463/ VLOOKUP(A463, 'Курс валют'!$A:$D, 4, 0), "")</f>
        <v>583.33333333333337</v>
      </c>
    </row>
    <row r="464" spans="1:7" outlineLevel="2" x14ac:dyDescent="0.45">
      <c r="A464" s="189">
        <v>46127</v>
      </c>
      <c r="B464" s="182" t="s">
        <v>330</v>
      </c>
      <c r="C464" s="183" t="s">
        <v>336</v>
      </c>
      <c r="D464" s="183" t="s">
        <v>390</v>
      </c>
      <c r="E464" s="203">
        <v>2</v>
      </c>
      <c r="F464" s="184">
        <f t="shared" si="6"/>
        <v>1400000</v>
      </c>
      <c r="G464" s="191">
        <f>IF(A464&lt;&gt;"", F464/ VLOOKUP(A464, 'Курс валют'!$A:$D, 4, 0), "")</f>
        <v>116.66666666666667</v>
      </c>
    </row>
    <row r="465" spans="1:7" outlineLevel="1" x14ac:dyDescent="0.45">
      <c r="A465" s="189" t="s">
        <v>407</v>
      </c>
      <c r="B465" s="182"/>
      <c r="C465" s="183"/>
      <c r="D465" s="183"/>
      <c r="E465" s="203">
        <f>SUBTOTAL(9,E446:E464)</f>
        <v>182</v>
      </c>
      <c r="F465" s="184">
        <f>SUBTOTAL(9,F446:F464)</f>
        <v>127400000</v>
      </c>
      <c r="G465" s="191" t="e">
        <f>IF(A465&lt;&gt;"", F465/ VLOOKUP(A465, 'Курс валют'!$A:$D, 4, 0), "")</f>
        <v>#N/A</v>
      </c>
    </row>
    <row r="466" spans="1:7" outlineLevel="2" x14ac:dyDescent="0.45">
      <c r="A466" s="189">
        <v>46129</v>
      </c>
      <c r="B466" s="182" t="s">
        <v>330</v>
      </c>
      <c r="C466" s="183" t="s">
        <v>338</v>
      </c>
      <c r="D466" s="183" t="s">
        <v>390</v>
      </c>
      <c r="E466" s="203">
        <v>10</v>
      </c>
      <c r="F466" s="184">
        <f t="shared" ref="F466:F537" si="7">IF(D466="М400", E466*740000, IF(D466="M150", E466*600000, IF(D466="M300", E466*670000, IF(D466="M350", E466*700000, 0))))</f>
        <v>7000000</v>
      </c>
      <c r="G466" s="191">
        <f>IF(A466&lt;&gt;"", F466/ VLOOKUP(A466, 'Курс валют'!$A:$D, 4, 0), "")</f>
        <v>573.77049180327867</v>
      </c>
    </row>
    <row r="467" spans="1:7" outlineLevel="1" x14ac:dyDescent="0.45">
      <c r="A467" s="189" t="s">
        <v>118</v>
      </c>
      <c r="B467" s="182"/>
      <c r="C467" s="183"/>
      <c r="D467" s="183"/>
      <c r="E467" s="203">
        <f>SUBTOTAL(9,E466:E466)</f>
        <v>10</v>
      </c>
      <c r="F467" s="184">
        <f>SUBTOTAL(9,F466:F466)</f>
        <v>7000000</v>
      </c>
      <c r="G467" s="191" t="e">
        <f>IF(A467&lt;&gt;"", F467/ VLOOKUP(A467, 'Курс валют'!$A:$D, 4, 0), "")</f>
        <v>#N/A</v>
      </c>
    </row>
    <row r="468" spans="1:7" outlineLevel="2" x14ac:dyDescent="0.45">
      <c r="A468" s="189">
        <v>46130</v>
      </c>
      <c r="B468" s="182" t="s">
        <v>330</v>
      </c>
      <c r="C468" s="183" t="s">
        <v>338</v>
      </c>
      <c r="D468" s="183" t="s">
        <v>390</v>
      </c>
      <c r="E468" s="203">
        <v>10</v>
      </c>
      <c r="F468" s="184">
        <f t="shared" si="7"/>
        <v>7000000</v>
      </c>
      <c r="G468" s="191">
        <f>IF(A468&lt;&gt;"", F468/ VLOOKUP(A468, 'Курс валют'!$A:$D, 4, 0), "")</f>
        <v>576.13168724279831</v>
      </c>
    </row>
    <row r="469" spans="1:7" outlineLevel="1" x14ac:dyDescent="0.45">
      <c r="A469" s="189" t="s">
        <v>408</v>
      </c>
      <c r="B469" s="182"/>
      <c r="C469" s="183"/>
      <c r="D469" s="183"/>
      <c r="E469" s="203">
        <f>SUBTOTAL(9,E468:E468)</f>
        <v>10</v>
      </c>
      <c r="F469" s="184">
        <f>SUBTOTAL(9,F468:F468)</f>
        <v>7000000</v>
      </c>
      <c r="G469" s="191" t="e">
        <f>IF(A469&lt;&gt;"", F469/ VLOOKUP(A469, 'Курс валют'!$A:$D, 4, 0), "")</f>
        <v>#N/A</v>
      </c>
    </row>
    <row r="470" spans="1:7" outlineLevel="2" x14ac:dyDescent="0.45">
      <c r="A470" s="189">
        <v>46132</v>
      </c>
      <c r="B470" s="182" t="s">
        <v>330</v>
      </c>
      <c r="C470" s="183" t="s">
        <v>378</v>
      </c>
      <c r="D470" s="183" t="s">
        <v>390</v>
      </c>
      <c r="E470" s="203">
        <v>10</v>
      </c>
      <c r="F470" s="184">
        <f t="shared" si="7"/>
        <v>7000000</v>
      </c>
      <c r="G470" s="191">
        <f>IF(A470&lt;&gt;"", F470/ VLOOKUP(A470, 'Курс валют'!$A:$D, 4, 0), "")</f>
        <v>581.39534883720933</v>
      </c>
    </row>
    <row r="471" spans="1:7" outlineLevel="1" x14ac:dyDescent="0.45">
      <c r="A471" s="189" t="s">
        <v>409</v>
      </c>
      <c r="B471" s="182"/>
      <c r="C471" s="183"/>
      <c r="D471" s="183"/>
      <c r="E471" s="203">
        <f>SUBTOTAL(9,E470:E470)</f>
        <v>10</v>
      </c>
      <c r="F471" s="184">
        <f>SUBTOTAL(9,F470:F470)</f>
        <v>7000000</v>
      </c>
      <c r="G471" s="191" t="e">
        <f>IF(A471&lt;&gt;"", F471/ VLOOKUP(A471, 'Курс валют'!$A:$D, 4, 0), "")</f>
        <v>#N/A</v>
      </c>
    </row>
    <row r="472" spans="1:7" outlineLevel="2" x14ac:dyDescent="0.45">
      <c r="A472" s="189">
        <v>46133</v>
      </c>
      <c r="B472" s="182" t="s">
        <v>330</v>
      </c>
      <c r="C472" s="183" t="s">
        <v>389</v>
      </c>
      <c r="D472" s="183" t="s">
        <v>390</v>
      </c>
      <c r="E472" s="203">
        <v>9</v>
      </c>
      <c r="F472" s="184">
        <f t="shared" si="7"/>
        <v>6300000</v>
      </c>
      <c r="G472" s="191">
        <f>IF(A472&lt;&gt;"", F472/ VLOOKUP(A472, 'Курс валют'!$A:$D, 4, 0), "")</f>
        <v>519.37345424567184</v>
      </c>
    </row>
    <row r="473" spans="1:7" outlineLevel="2" x14ac:dyDescent="0.45">
      <c r="A473" s="189">
        <v>46133</v>
      </c>
      <c r="B473" s="182" t="s">
        <v>330</v>
      </c>
      <c r="C473" s="183" t="s">
        <v>389</v>
      </c>
      <c r="D473" s="183" t="s">
        <v>390</v>
      </c>
      <c r="E473" s="203">
        <v>10</v>
      </c>
      <c r="F473" s="184">
        <f t="shared" si="7"/>
        <v>7000000</v>
      </c>
      <c r="G473" s="191">
        <f>IF(A473&lt;&gt;"", F473/ VLOOKUP(A473, 'Курс валют'!$A:$D, 4, 0), "")</f>
        <v>577.08161582852426</v>
      </c>
    </row>
    <row r="474" spans="1:7" outlineLevel="2" x14ac:dyDescent="0.45">
      <c r="A474" s="189">
        <v>46133</v>
      </c>
      <c r="B474" s="182" t="s">
        <v>330</v>
      </c>
      <c r="C474" s="183" t="s">
        <v>335</v>
      </c>
      <c r="D474" s="183" t="s">
        <v>390</v>
      </c>
      <c r="E474" s="203">
        <v>10</v>
      </c>
      <c r="F474" s="184">
        <f t="shared" si="7"/>
        <v>7000000</v>
      </c>
      <c r="G474" s="191">
        <f>IF(A474&lt;&gt;"", F474/ VLOOKUP(A474, 'Курс валют'!$A:$D, 4, 0), "")</f>
        <v>577.08161582852426</v>
      </c>
    </row>
    <row r="475" spans="1:7" outlineLevel="2" x14ac:dyDescent="0.45">
      <c r="A475" s="189">
        <v>46133</v>
      </c>
      <c r="B475" s="182" t="s">
        <v>330</v>
      </c>
      <c r="C475" s="183" t="s">
        <v>365</v>
      </c>
      <c r="D475" s="183" t="s">
        <v>390</v>
      </c>
      <c r="E475" s="203">
        <v>10</v>
      </c>
      <c r="F475" s="184">
        <f t="shared" si="7"/>
        <v>7000000</v>
      </c>
      <c r="G475" s="191">
        <f>IF(A475&lt;&gt;"", F475/ VLOOKUP(A475, 'Курс валют'!$A:$D, 4, 0), "")</f>
        <v>577.08161582852426</v>
      </c>
    </row>
    <row r="476" spans="1:7" outlineLevel="2" x14ac:dyDescent="0.45">
      <c r="A476" s="189">
        <v>46133</v>
      </c>
      <c r="B476" s="182" t="s">
        <v>330</v>
      </c>
      <c r="C476" s="183" t="s">
        <v>389</v>
      </c>
      <c r="D476" s="183" t="s">
        <v>390</v>
      </c>
      <c r="E476" s="203">
        <v>10</v>
      </c>
      <c r="F476" s="184">
        <f t="shared" si="7"/>
        <v>7000000</v>
      </c>
      <c r="G476" s="191">
        <f>IF(A476&lt;&gt;"", F476/ VLOOKUP(A476, 'Курс валют'!$A:$D, 4, 0), "")</f>
        <v>577.08161582852426</v>
      </c>
    </row>
    <row r="477" spans="1:7" outlineLevel="2" x14ac:dyDescent="0.45">
      <c r="A477" s="189">
        <v>46133</v>
      </c>
      <c r="B477" s="182" t="s">
        <v>330</v>
      </c>
      <c r="C477" s="183" t="s">
        <v>365</v>
      </c>
      <c r="D477" s="183" t="s">
        <v>390</v>
      </c>
      <c r="E477" s="203">
        <v>10</v>
      </c>
      <c r="F477" s="184">
        <f t="shared" si="7"/>
        <v>7000000</v>
      </c>
      <c r="G477" s="191">
        <f>IF(A477&lt;&gt;"", F477/ VLOOKUP(A477, 'Курс валют'!$A:$D, 4, 0), "")</f>
        <v>577.08161582852426</v>
      </c>
    </row>
    <row r="478" spans="1:7" outlineLevel="2" x14ac:dyDescent="0.45">
      <c r="A478" s="189">
        <v>46133</v>
      </c>
      <c r="B478" s="182" t="s">
        <v>330</v>
      </c>
      <c r="C478" s="183" t="s">
        <v>335</v>
      </c>
      <c r="D478" s="183" t="s">
        <v>390</v>
      </c>
      <c r="E478" s="203">
        <v>10</v>
      </c>
      <c r="F478" s="184">
        <f t="shared" si="7"/>
        <v>7000000</v>
      </c>
      <c r="G478" s="191">
        <f>IF(A478&lt;&gt;"", F478/ VLOOKUP(A478, 'Курс валют'!$A:$D, 4, 0), "")</f>
        <v>577.08161582852426</v>
      </c>
    </row>
    <row r="479" spans="1:7" outlineLevel="2" x14ac:dyDescent="0.45">
      <c r="A479" s="189">
        <v>46133</v>
      </c>
      <c r="B479" s="182" t="s">
        <v>330</v>
      </c>
      <c r="C479" s="183" t="s">
        <v>389</v>
      </c>
      <c r="D479" s="183" t="s">
        <v>390</v>
      </c>
      <c r="E479" s="203">
        <v>10</v>
      </c>
      <c r="F479" s="184">
        <f t="shared" si="7"/>
        <v>7000000</v>
      </c>
      <c r="G479" s="191">
        <f>IF(A479&lt;&gt;"", F479/ VLOOKUP(A479, 'Курс валют'!$A:$D, 4, 0), "")</f>
        <v>577.08161582852426</v>
      </c>
    </row>
    <row r="480" spans="1:7" outlineLevel="2" x14ac:dyDescent="0.45">
      <c r="A480" s="189">
        <v>46133</v>
      </c>
      <c r="B480" s="182" t="s">
        <v>330</v>
      </c>
      <c r="C480" s="183" t="s">
        <v>365</v>
      </c>
      <c r="D480" s="183" t="s">
        <v>390</v>
      </c>
      <c r="E480" s="203">
        <v>10</v>
      </c>
      <c r="F480" s="184">
        <f t="shared" si="7"/>
        <v>7000000</v>
      </c>
      <c r="G480" s="191">
        <f>IF(A480&lt;&gt;"", F480/ VLOOKUP(A480, 'Курс валют'!$A:$D, 4, 0), "")</f>
        <v>577.08161582852426</v>
      </c>
    </row>
    <row r="481" spans="1:7" outlineLevel="2" x14ac:dyDescent="0.45">
      <c r="A481" s="189">
        <v>46133</v>
      </c>
      <c r="B481" s="182" t="s">
        <v>330</v>
      </c>
      <c r="C481" s="183" t="s">
        <v>335</v>
      </c>
      <c r="D481" s="183" t="s">
        <v>390</v>
      </c>
      <c r="E481" s="203">
        <v>10</v>
      </c>
      <c r="F481" s="184">
        <f t="shared" si="7"/>
        <v>7000000</v>
      </c>
      <c r="G481" s="191">
        <f>IF(A481&lt;&gt;"", F481/ VLOOKUP(A481, 'Курс валют'!$A:$D, 4, 0), "")</f>
        <v>577.08161582852426</v>
      </c>
    </row>
    <row r="482" spans="1:7" outlineLevel="2" x14ac:dyDescent="0.45">
      <c r="A482" s="189">
        <v>46133</v>
      </c>
      <c r="B482" s="182" t="s">
        <v>330</v>
      </c>
      <c r="C482" s="183" t="s">
        <v>389</v>
      </c>
      <c r="D482" s="183" t="s">
        <v>390</v>
      </c>
      <c r="E482" s="203">
        <v>10</v>
      </c>
      <c r="F482" s="184">
        <f t="shared" si="7"/>
        <v>7000000</v>
      </c>
      <c r="G482" s="191">
        <f>IF(A482&lt;&gt;"", F482/ VLOOKUP(A482, 'Курс валют'!$A:$D, 4, 0), "")</f>
        <v>577.08161582852426</v>
      </c>
    </row>
    <row r="483" spans="1:7" outlineLevel="2" x14ac:dyDescent="0.45">
      <c r="A483" s="189">
        <v>46133</v>
      </c>
      <c r="B483" s="182" t="s">
        <v>330</v>
      </c>
      <c r="C483" s="183" t="s">
        <v>365</v>
      </c>
      <c r="D483" s="183" t="s">
        <v>390</v>
      </c>
      <c r="E483" s="203">
        <v>10</v>
      </c>
      <c r="F483" s="184">
        <f t="shared" si="7"/>
        <v>7000000</v>
      </c>
      <c r="G483" s="191">
        <f>IF(A483&lt;&gt;"", F483/ VLOOKUP(A483, 'Курс валют'!$A:$D, 4, 0), "")</f>
        <v>577.08161582852426</v>
      </c>
    </row>
    <row r="484" spans="1:7" outlineLevel="2" x14ac:dyDescent="0.45">
      <c r="A484" s="189">
        <v>46133</v>
      </c>
      <c r="B484" s="182" t="s">
        <v>330</v>
      </c>
      <c r="C484" s="183" t="s">
        <v>335</v>
      </c>
      <c r="D484" s="183" t="s">
        <v>390</v>
      </c>
      <c r="E484" s="203">
        <v>10</v>
      </c>
      <c r="F484" s="184">
        <f t="shared" si="7"/>
        <v>7000000</v>
      </c>
      <c r="G484" s="191">
        <f>IF(A484&lt;&gt;"", F484/ VLOOKUP(A484, 'Курс валют'!$A:$D, 4, 0), "")</f>
        <v>577.08161582852426</v>
      </c>
    </row>
    <row r="485" spans="1:7" outlineLevel="2" x14ac:dyDescent="0.45">
      <c r="A485" s="189">
        <v>46133</v>
      </c>
      <c r="B485" s="182" t="s">
        <v>330</v>
      </c>
      <c r="C485" s="183" t="s">
        <v>389</v>
      </c>
      <c r="D485" s="183" t="s">
        <v>390</v>
      </c>
      <c r="E485" s="203">
        <v>10</v>
      </c>
      <c r="F485" s="184">
        <f t="shared" si="7"/>
        <v>7000000</v>
      </c>
      <c r="G485" s="191">
        <f>IF(A485&lt;&gt;"", F485/ VLOOKUP(A485, 'Курс валют'!$A:$D, 4, 0), "")</f>
        <v>577.08161582852426</v>
      </c>
    </row>
    <row r="486" spans="1:7" outlineLevel="2" x14ac:dyDescent="0.45">
      <c r="A486" s="189">
        <v>46133</v>
      </c>
      <c r="B486" s="182" t="s">
        <v>330</v>
      </c>
      <c r="C486" s="183" t="s">
        <v>389</v>
      </c>
      <c r="D486" s="183" t="s">
        <v>390</v>
      </c>
      <c r="E486" s="203">
        <v>10</v>
      </c>
      <c r="F486" s="184">
        <f t="shared" si="7"/>
        <v>7000000</v>
      </c>
      <c r="G486" s="191">
        <f>IF(A486&lt;&gt;"", F486/ VLOOKUP(A486, 'Курс валют'!$A:$D, 4, 0), "")</f>
        <v>577.08161582852426</v>
      </c>
    </row>
    <row r="487" spans="1:7" outlineLevel="2" x14ac:dyDescent="0.45">
      <c r="A487" s="189">
        <v>46133</v>
      </c>
      <c r="B487" s="182" t="s">
        <v>330</v>
      </c>
      <c r="C487" s="183" t="s">
        <v>365</v>
      </c>
      <c r="D487" s="183" t="s">
        <v>390</v>
      </c>
      <c r="E487" s="203">
        <v>10</v>
      </c>
      <c r="F487" s="184">
        <f t="shared" si="7"/>
        <v>7000000</v>
      </c>
      <c r="G487" s="191">
        <f>IF(A487&lt;&gt;"", F487/ VLOOKUP(A487, 'Курс валют'!$A:$D, 4, 0), "")</f>
        <v>577.08161582852426</v>
      </c>
    </row>
    <row r="488" spans="1:7" outlineLevel="2" x14ac:dyDescent="0.45">
      <c r="A488" s="189">
        <v>46133</v>
      </c>
      <c r="B488" s="182" t="s">
        <v>330</v>
      </c>
      <c r="C488" s="183" t="s">
        <v>335</v>
      </c>
      <c r="D488" s="183" t="s">
        <v>390</v>
      </c>
      <c r="E488" s="203">
        <v>10</v>
      </c>
      <c r="F488" s="184">
        <f t="shared" si="7"/>
        <v>7000000</v>
      </c>
      <c r="G488" s="191">
        <f>IF(A488&lt;&gt;"", F488/ VLOOKUP(A488, 'Курс валют'!$A:$D, 4, 0), "")</f>
        <v>577.08161582852426</v>
      </c>
    </row>
    <row r="489" spans="1:7" outlineLevel="1" x14ac:dyDescent="0.45">
      <c r="A489" s="189" t="s">
        <v>410</v>
      </c>
      <c r="B489" s="182"/>
      <c r="C489" s="183"/>
      <c r="D489" s="183"/>
      <c r="E489" s="203">
        <f>SUBTOTAL(9,E472:E488)</f>
        <v>169</v>
      </c>
      <c r="F489" s="184">
        <f>SUBTOTAL(9,F472:F488)</f>
        <v>118300000</v>
      </c>
      <c r="G489" s="191" t="e">
        <f>IF(A489&lt;&gt;"", F489/ VLOOKUP(A489, 'Курс валют'!$A:$D, 4, 0), "")</f>
        <v>#N/A</v>
      </c>
    </row>
    <row r="490" spans="1:7" outlineLevel="2" x14ac:dyDescent="0.45">
      <c r="A490" s="189">
        <v>46135</v>
      </c>
      <c r="B490" s="182" t="s">
        <v>330</v>
      </c>
      <c r="C490" s="183" t="s">
        <v>347</v>
      </c>
      <c r="D490" s="183" t="s">
        <v>390</v>
      </c>
      <c r="E490" s="203">
        <v>10</v>
      </c>
      <c r="F490" s="184">
        <f t="shared" si="7"/>
        <v>7000000</v>
      </c>
      <c r="G490" s="191">
        <f>IF(A490&lt;&gt;"", F490/ VLOOKUP(A490, 'Курс валют'!$A:$D, 4, 0), "")</f>
        <v>578.51239669421489</v>
      </c>
    </row>
    <row r="491" spans="1:7" outlineLevel="1" x14ac:dyDescent="0.45">
      <c r="A491" s="189" t="s">
        <v>411</v>
      </c>
      <c r="B491" s="182"/>
      <c r="C491" s="183"/>
      <c r="D491" s="183"/>
      <c r="E491" s="203">
        <f>SUBTOTAL(9,E490:E490)</f>
        <v>10</v>
      </c>
      <c r="F491" s="184">
        <f>SUBTOTAL(9,F490:F490)</f>
        <v>7000000</v>
      </c>
      <c r="G491" s="191" t="e">
        <f>IF(A491&lt;&gt;"", F491/ VLOOKUP(A491, 'Курс валют'!$A:$D, 4, 0), "")</f>
        <v>#N/A</v>
      </c>
    </row>
    <row r="492" spans="1:7" outlineLevel="2" x14ac:dyDescent="0.45">
      <c r="A492" s="189">
        <v>46137</v>
      </c>
      <c r="B492" s="182" t="s">
        <v>330</v>
      </c>
      <c r="C492" s="183" t="s">
        <v>388</v>
      </c>
      <c r="D492" s="183" t="s">
        <v>390</v>
      </c>
      <c r="E492" s="203">
        <v>10</v>
      </c>
      <c r="F492" s="184">
        <f t="shared" si="7"/>
        <v>7000000</v>
      </c>
      <c r="G492" s="191">
        <f>IF(A492&lt;&gt;"", F492/ VLOOKUP(A492, 'Курс валют'!$A:$D, 4, 0), "")</f>
        <v>580.43117744610277</v>
      </c>
    </row>
    <row r="493" spans="1:7" outlineLevel="2" x14ac:dyDescent="0.45">
      <c r="A493" s="189">
        <v>46137</v>
      </c>
      <c r="B493" s="182" t="s">
        <v>330</v>
      </c>
      <c r="C493" s="183" t="s">
        <v>355</v>
      </c>
      <c r="D493" s="183" t="s">
        <v>390</v>
      </c>
      <c r="E493" s="203">
        <v>7</v>
      </c>
      <c r="F493" s="184">
        <f t="shared" si="7"/>
        <v>4900000</v>
      </c>
      <c r="G493" s="191">
        <f>IF(A493&lt;&gt;"", F493/ VLOOKUP(A493, 'Курс валют'!$A:$D, 4, 0), "")</f>
        <v>406.30182421227198</v>
      </c>
    </row>
    <row r="494" spans="1:7" outlineLevel="2" x14ac:dyDescent="0.45">
      <c r="A494" s="189">
        <v>46137</v>
      </c>
      <c r="B494" s="182" t="s">
        <v>330</v>
      </c>
      <c r="C494" s="183" t="s">
        <v>385</v>
      </c>
      <c r="D494" s="183" t="s">
        <v>390</v>
      </c>
      <c r="E494" s="203">
        <v>10</v>
      </c>
      <c r="F494" s="184">
        <f t="shared" si="7"/>
        <v>7000000</v>
      </c>
      <c r="G494" s="191">
        <f>IF(A494&lt;&gt;"", F494/ VLOOKUP(A494, 'Курс валют'!$A:$D, 4, 0), "")</f>
        <v>580.43117744610277</v>
      </c>
    </row>
    <row r="495" spans="1:7" outlineLevel="2" x14ac:dyDescent="0.45">
      <c r="A495" s="189">
        <v>46137</v>
      </c>
      <c r="B495" s="182" t="s">
        <v>330</v>
      </c>
      <c r="C495" s="183" t="s">
        <v>355</v>
      </c>
      <c r="D495" s="183" t="s">
        <v>390</v>
      </c>
      <c r="E495" s="203">
        <v>10</v>
      </c>
      <c r="F495" s="184">
        <f t="shared" si="7"/>
        <v>7000000</v>
      </c>
      <c r="G495" s="191">
        <f>IF(A495&lt;&gt;"", F495/ VLOOKUP(A495, 'Курс валют'!$A:$D, 4, 0), "")</f>
        <v>580.43117744610277</v>
      </c>
    </row>
    <row r="496" spans="1:7" outlineLevel="2" x14ac:dyDescent="0.45">
      <c r="A496" s="189">
        <v>46137</v>
      </c>
      <c r="B496" s="182" t="s">
        <v>330</v>
      </c>
      <c r="C496" s="183" t="s">
        <v>388</v>
      </c>
      <c r="D496" s="183" t="s">
        <v>390</v>
      </c>
      <c r="E496" s="203">
        <v>10</v>
      </c>
      <c r="F496" s="184">
        <f t="shared" si="7"/>
        <v>7000000</v>
      </c>
      <c r="G496" s="191">
        <f>IF(A496&lt;&gt;"", F496/ VLOOKUP(A496, 'Курс валют'!$A:$D, 4, 0), "")</f>
        <v>580.43117744610277</v>
      </c>
    </row>
    <row r="497" spans="1:7" outlineLevel="2" x14ac:dyDescent="0.45">
      <c r="A497" s="189">
        <v>46137</v>
      </c>
      <c r="B497" s="182" t="s">
        <v>330</v>
      </c>
      <c r="C497" s="183" t="s">
        <v>385</v>
      </c>
      <c r="D497" s="183" t="s">
        <v>390</v>
      </c>
      <c r="E497" s="203">
        <v>10</v>
      </c>
      <c r="F497" s="184">
        <f t="shared" si="7"/>
        <v>7000000</v>
      </c>
      <c r="G497" s="191">
        <f>IF(A497&lt;&gt;"", F497/ VLOOKUP(A497, 'Курс валют'!$A:$D, 4, 0), "")</f>
        <v>580.43117744610277</v>
      </c>
    </row>
    <row r="498" spans="1:7" outlineLevel="2" x14ac:dyDescent="0.45">
      <c r="A498" s="189">
        <v>46137</v>
      </c>
      <c r="B498" s="182" t="s">
        <v>330</v>
      </c>
      <c r="C498" s="183" t="s">
        <v>355</v>
      </c>
      <c r="D498" s="183" t="s">
        <v>390</v>
      </c>
      <c r="E498" s="203">
        <v>10</v>
      </c>
      <c r="F498" s="184">
        <f t="shared" si="7"/>
        <v>7000000</v>
      </c>
      <c r="G498" s="191">
        <f>IF(A498&lt;&gt;"", F498/ VLOOKUP(A498, 'Курс валют'!$A:$D, 4, 0), "")</f>
        <v>580.43117744610277</v>
      </c>
    </row>
    <row r="499" spans="1:7" outlineLevel="2" x14ac:dyDescent="0.45">
      <c r="A499" s="189">
        <v>46137</v>
      </c>
      <c r="B499" s="182" t="s">
        <v>330</v>
      </c>
      <c r="C499" s="183" t="s">
        <v>388</v>
      </c>
      <c r="D499" s="183" t="s">
        <v>390</v>
      </c>
      <c r="E499" s="203">
        <v>10</v>
      </c>
      <c r="F499" s="184">
        <f t="shared" si="7"/>
        <v>7000000</v>
      </c>
      <c r="G499" s="191">
        <f>IF(A499&lt;&gt;"", F499/ VLOOKUP(A499, 'Курс валют'!$A:$D, 4, 0), "")</f>
        <v>580.43117744610277</v>
      </c>
    </row>
    <row r="500" spans="1:7" outlineLevel="2" x14ac:dyDescent="0.45">
      <c r="A500" s="189">
        <v>46137</v>
      </c>
      <c r="B500" s="182" t="s">
        <v>330</v>
      </c>
      <c r="C500" s="183" t="s">
        <v>385</v>
      </c>
      <c r="D500" s="183" t="s">
        <v>390</v>
      </c>
      <c r="E500" s="203">
        <v>10</v>
      </c>
      <c r="F500" s="184">
        <f t="shared" si="7"/>
        <v>7000000</v>
      </c>
      <c r="G500" s="191">
        <f>IF(A500&lt;&gt;"", F500/ VLOOKUP(A500, 'Курс валют'!$A:$D, 4, 0), "")</f>
        <v>580.43117744610277</v>
      </c>
    </row>
    <row r="501" spans="1:7" outlineLevel="2" x14ac:dyDescent="0.45">
      <c r="A501" s="189">
        <v>46137</v>
      </c>
      <c r="B501" s="182" t="s">
        <v>330</v>
      </c>
      <c r="C501" s="183" t="s">
        <v>355</v>
      </c>
      <c r="D501" s="183" t="s">
        <v>390</v>
      </c>
      <c r="E501" s="203">
        <v>10</v>
      </c>
      <c r="F501" s="184">
        <f t="shared" si="7"/>
        <v>7000000</v>
      </c>
      <c r="G501" s="191">
        <f>IF(A501&lt;&gt;"", F501/ VLOOKUP(A501, 'Курс валют'!$A:$D, 4, 0), "")</f>
        <v>580.43117744610277</v>
      </c>
    </row>
    <row r="502" spans="1:7" outlineLevel="2" x14ac:dyDescent="0.45">
      <c r="A502" s="189">
        <v>46137</v>
      </c>
      <c r="B502" s="182" t="s">
        <v>330</v>
      </c>
      <c r="C502" s="183" t="s">
        <v>388</v>
      </c>
      <c r="D502" s="183" t="s">
        <v>390</v>
      </c>
      <c r="E502" s="203">
        <v>10</v>
      </c>
      <c r="F502" s="184">
        <f t="shared" si="7"/>
        <v>7000000</v>
      </c>
      <c r="G502" s="191">
        <f>IF(A502&lt;&gt;"", F502/ VLOOKUP(A502, 'Курс валют'!$A:$D, 4, 0), "")</f>
        <v>580.43117744610277</v>
      </c>
    </row>
    <row r="503" spans="1:7" outlineLevel="2" x14ac:dyDescent="0.45">
      <c r="A503" s="189">
        <v>46137</v>
      </c>
      <c r="B503" s="182" t="s">
        <v>330</v>
      </c>
      <c r="C503" s="183" t="s">
        <v>385</v>
      </c>
      <c r="D503" s="183" t="s">
        <v>390</v>
      </c>
      <c r="E503" s="203">
        <v>10</v>
      </c>
      <c r="F503" s="184">
        <f t="shared" si="7"/>
        <v>7000000</v>
      </c>
      <c r="G503" s="191">
        <f>IF(A503&lt;&gt;"", F503/ VLOOKUP(A503, 'Курс валют'!$A:$D, 4, 0), "")</f>
        <v>580.43117744610277</v>
      </c>
    </row>
    <row r="504" spans="1:7" outlineLevel="1" x14ac:dyDescent="0.45">
      <c r="A504" s="189" t="s">
        <v>412</v>
      </c>
      <c r="B504" s="182"/>
      <c r="C504" s="183"/>
      <c r="D504" s="183"/>
      <c r="E504" s="203">
        <f>SUBTOTAL(9,E492:E503)</f>
        <v>117</v>
      </c>
      <c r="F504" s="184">
        <f>SUBTOTAL(9,F492:F503)</f>
        <v>81900000</v>
      </c>
      <c r="G504" s="191" t="e">
        <f>IF(A504&lt;&gt;"", F504/ VLOOKUP(A504, 'Курс валют'!$A:$D, 4, 0), "")</f>
        <v>#N/A</v>
      </c>
    </row>
    <row r="505" spans="1:7" outlineLevel="2" x14ac:dyDescent="0.45">
      <c r="A505" s="189">
        <v>46140</v>
      </c>
      <c r="B505" s="182" t="s">
        <v>330</v>
      </c>
      <c r="C505" s="183" t="s">
        <v>335</v>
      </c>
      <c r="D505" s="183" t="s">
        <v>390</v>
      </c>
      <c r="E505" s="203">
        <v>6.5</v>
      </c>
      <c r="F505" s="184">
        <f t="shared" si="7"/>
        <v>4550000</v>
      </c>
      <c r="G505" s="191">
        <f>IF(A505&lt;&gt;"", F505/ VLOOKUP(A505, 'Курс валют'!$A:$D, 4, 0), "")</f>
        <v>379.16666666666669</v>
      </c>
    </row>
    <row r="506" spans="1:7" outlineLevel="2" x14ac:dyDescent="0.45">
      <c r="A506" s="189">
        <v>46140</v>
      </c>
      <c r="B506" s="182" t="s">
        <v>330</v>
      </c>
      <c r="C506" s="183" t="s">
        <v>335</v>
      </c>
      <c r="D506" s="183" t="s">
        <v>390</v>
      </c>
      <c r="E506" s="203">
        <v>10</v>
      </c>
      <c r="F506" s="184">
        <f t="shared" si="7"/>
        <v>7000000</v>
      </c>
      <c r="G506" s="191">
        <f>IF(A506&lt;&gt;"", F506/ VLOOKUP(A506, 'Курс валют'!$A:$D, 4, 0), "")</f>
        <v>583.33333333333337</v>
      </c>
    </row>
    <row r="507" spans="1:7" outlineLevel="2" x14ac:dyDescent="0.45">
      <c r="A507" s="189">
        <v>46140</v>
      </c>
      <c r="B507" s="182" t="s">
        <v>330</v>
      </c>
      <c r="C507" s="183" t="s">
        <v>365</v>
      </c>
      <c r="D507" s="183" t="s">
        <v>390</v>
      </c>
      <c r="E507" s="203">
        <v>10</v>
      </c>
      <c r="F507" s="184">
        <f t="shared" si="7"/>
        <v>7000000</v>
      </c>
      <c r="G507" s="191">
        <f>IF(A507&lt;&gt;"", F507/ VLOOKUP(A507, 'Курс валют'!$A:$D, 4, 0), "")</f>
        <v>583.33333333333337</v>
      </c>
    </row>
    <row r="508" spans="1:7" outlineLevel="2" x14ac:dyDescent="0.45">
      <c r="A508" s="189">
        <v>46140</v>
      </c>
      <c r="B508" s="182" t="s">
        <v>330</v>
      </c>
      <c r="C508" s="183" t="s">
        <v>335</v>
      </c>
      <c r="D508" s="183" t="s">
        <v>390</v>
      </c>
      <c r="E508" s="203">
        <v>10</v>
      </c>
      <c r="F508" s="184">
        <f t="shared" si="7"/>
        <v>7000000</v>
      </c>
      <c r="G508" s="191">
        <f>IF(A508&lt;&gt;"", F508/ VLOOKUP(A508, 'Курс валют'!$A:$D, 4, 0), "")</f>
        <v>583.33333333333337</v>
      </c>
    </row>
    <row r="509" spans="1:7" outlineLevel="2" x14ac:dyDescent="0.45">
      <c r="A509" s="189">
        <v>46140</v>
      </c>
      <c r="B509" s="182" t="s">
        <v>330</v>
      </c>
      <c r="C509" s="183" t="s">
        <v>338</v>
      </c>
      <c r="D509" s="183" t="s">
        <v>390</v>
      </c>
      <c r="E509" s="203">
        <v>10</v>
      </c>
      <c r="F509" s="184">
        <f t="shared" si="7"/>
        <v>7000000</v>
      </c>
      <c r="G509" s="191">
        <f>IF(A509&lt;&gt;"", F509/ VLOOKUP(A509, 'Курс валют'!$A:$D, 4, 0), "")</f>
        <v>583.33333333333337</v>
      </c>
    </row>
    <row r="510" spans="1:7" outlineLevel="2" x14ac:dyDescent="0.45">
      <c r="A510" s="189">
        <v>46140</v>
      </c>
      <c r="B510" s="182" t="s">
        <v>330</v>
      </c>
      <c r="C510" s="183" t="s">
        <v>365</v>
      </c>
      <c r="D510" s="183" t="s">
        <v>390</v>
      </c>
      <c r="E510" s="203">
        <v>10</v>
      </c>
      <c r="F510" s="184">
        <f t="shared" si="7"/>
        <v>7000000</v>
      </c>
      <c r="G510" s="191">
        <f>IF(A510&lt;&gt;"", F510/ VLOOKUP(A510, 'Курс валют'!$A:$D, 4, 0), "")</f>
        <v>583.33333333333337</v>
      </c>
    </row>
    <row r="511" spans="1:7" outlineLevel="2" x14ac:dyDescent="0.45">
      <c r="A511" s="189">
        <v>46140</v>
      </c>
      <c r="B511" s="182" t="s">
        <v>330</v>
      </c>
      <c r="C511" s="183" t="s">
        <v>335</v>
      </c>
      <c r="D511" s="183" t="s">
        <v>390</v>
      </c>
      <c r="E511" s="203">
        <v>10</v>
      </c>
      <c r="F511" s="184">
        <f t="shared" si="7"/>
        <v>7000000</v>
      </c>
      <c r="G511" s="191">
        <f>IF(A511&lt;&gt;"", F511/ VLOOKUP(A511, 'Курс валют'!$A:$D, 4, 0), "")</f>
        <v>583.33333333333337</v>
      </c>
    </row>
    <row r="512" spans="1:7" outlineLevel="2" x14ac:dyDescent="0.45">
      <c r="A512" s="189">
        <v>46140</v>
      </c>
      <c r="B512" s="182" t="s">
        <v>330</v>
      </c>
      <c r="C512" s="183" t="s">
        <v>338</v>
      </c>
      <c r="D512" s="183" t="s">
        <v>390</v>
      </c>
      <c r="E512" s="203">
        <v>10</v>
      </c>
      <c r="F512" s="184">
        <f t="shared" si="7"/>
        <v>7000000</v>
      </c>
      <c r="G512" s="191">
        <f>IF(A512&lt;&gt;"", F512/ VLOOKUP(A512, 'Курс валют'!$A:$D, 4, 0), "")</f>
        <v>583.33333333333337</v>
      </c>
    </row>
    <row r="513" spans="1:7" outlineLevel="2" x14ac:dyDescent="0.45">
      <c r="A513" s="189">
        <v>46140</v>
      </c>
      <c r="B513" s="182" t="s">
        <v>330</v>
      </c>
      <c r="C513" s="183" t="s">
        <v>365</v>
      </c>
      <c r="D513" s="183" t="s">
        <v>390</v>
      </c>
      <c r="E513" s="203">
        <v>10</v>
      </c>
      <c r="F513" s="184">
        <f t="shared" si="7"/>
        <v>7000000</v>
      </c>
      <c r="G513" s="191">
        <f>IF(A513&lt;&gt;"", F513/ VLOOKUP(A513, 'Курс валют'!$A:$D, 4, 0), "")</f>
        <v>583.33333333333337</v>
      </c>
    </row>
    <row r="514" spans="1:7" outlineLevel="2" x14ac:dyDescent="0.45">
      <c r="A514" s="189">
        <v>46140</v>
      </c>
      <c r="B514" s="182" t="s">
        <v>330</v>
      </c>
      <c r="C514" s="183" t="s">
        <v>335</v>
      </c>
      <c r="D514" s="183" t="s">
        <v>390</v>
      </c>
      <c r="E514" s="203">
        <v>10</v>
      </c>
      <c r="F514" s="184">
        <f t="shared" si="7"/>
        <v>7000000</v>
      </c>
      <c r="G514" s="191">
        <f>IF(A514&lt;&gt;"", F514/ VLOOKUP(A514, 'Курс валют'!$A:$D, 4, 0), "")</f>
        <v>583.33333333333337</v>
      </c>
    </row>
    <row r="515" spans="1:7" outlineLevel="2" x14ac:dyDescent="0.45">
      <c r="A515" s="189">
        <v>46140</v>
      </c>
      <c r="B515" s="182" t="s">
        <v>330</v>
      </c>
      <c r="C515" s="183" t="s">
        <v>338</v>
      </c>
      <c r="D515" s="183" t="s">
        <v>390</v>
      </c>
      <c r="E515" s="203">
        <v>10</v>
      </c>
      <c r="F515" s="184">
        <f t="shared" si="7"/>
        <v>7000000</v>
      </c>
      <c r="G515" s="191">
        <f>IF(A515&lt;&gt;"", F515/ VLOOKUP(A515, 'Курс валют'!$A:$D, 4, 0), "")</f>
        <v>583.33333333333337</v>
      </c>
    </row>
    <row r="516" spans="1:7" outlineLevel="2" x14ac:dyDescent="0.45">
      <c r="A516" s="189">
        <v>46140</v>
      </c>
      <c r="B516" s="182" t="s">
        <v>330</v>
      </c>
      <c r="C516" s="183" t="s">
        <v>365</v>
      </c>
      <c r="D516" s="183" t="s">
        <v>390</v>
      </c>
      <c r="E516" s="203">
        <v>10</v>
      </c>
      <c r="F516" s="184">
        <f t="shared" si="7"/>
        <v>7000000</v>
      </c>
      <c r="G516" s="191">
        <f>IF(A516&lt;&gt;"", F516/ VLOOKUP(A516, 'Курс валют'!$A:$D, 4, 0), "")</f>
        <v>583.33333333333337</v>
      </c>
    </row>
    <row r="517" spans="1:7" outlineLevel="2" x14ac:dyDescent="0.45">
      <c r="A517" s="189">
        <v>46140</v>
      </c>
      <c r="B517" s="182" t="s">
        <v>330</v>
      </c>
      <c r="C517" s="183" t="s">
        <v>335</v>
      </c>
      <c r="D517" s="183" t="s">
        <v>390</v>
      </c>
      <c r="E517" s="203">
        <v>10</v>
      </c>
      <c r="F517" s="184">
        <f t="shared" si="7"/>
        <v>7000000</v>
      </c>
      <c r="G517" s="191">
        <f>IF(A517&lt;&gt;"", F517/ VLOOKUP(A517, 'Курс валют'!$A:$D, 4, 0), "")</f>
        <v>583.33333333333337</v>
      </c>
    </row>
    <row r="518" spans="1:7" outlineLevel="2" x14ac:dyDescent="0.45">
      <c r="A518" s="189">
        <v>46140</v>
      </c>
      <c r="B518" s="182" t="s">
        <v>330</v>
      </c>
      <c r="C518" s="183" t="s">
        <v>338</v>
      </c>
      <c r="D518" s="183" t="s">
        <v>390</v>
      </c>
      <c r="E518" s="203">
        <v>10</v>
      </c>
      <c r="F518" s="184">
        <f t="shared" si="7"/>
        <v>7000000</v>
      </c>
      <c r="G518" s="191">
        <f>IF(A518&lt;&gt;"", F518/ VLOOKUP(A518, 'Курс валют'!$A:$D, 4, 0), "")</f>
        <v>583.33333333333337</v>
      </c>
    </row>
    <row r="519" spans="1:7" outlineLevel="1" x14ac:dyDescent="0.45">
      <c r="A519" s="189" t="s">
        <v>413</v>
      </c>
      <c r="B519" s="182"/>
      <c r="C519" s="183"/>
      <c r="D519" s="183"/>
      <c r="E519" s="203">
        <f>SUBTOTAL(9,E505:E518)</f>
        <v>136.5</v>
      </c>
      <c r="F519" s="184">
        <f>SUBTOTAL(9,F505:F518)</f>
        <v>95550000</v>
      </c>
      <c r="G519" s="191" t="e">
        <f>IF(A519&lt;&gt;"", F519/ VLOOKUP(A519, 'Курс валют'!$A:$D, 4, 0), "")</f>
        <v>#N/A</v>
      </c>
    </row>
    <row r="520" spans="1:7" outlineLevel="2" x14ac:dyDescent="0.45">
      <c r="A520" s="189">
        <v>46141</v>
      </c>
      <c r="B520" s="182" t="s">
        <v>330</v>
      </c>
      <c r="C520" s="183" t="s">
        <v>338</v>
      </c>
      <c r="D520" s="183" t="s">
        <v>390</v>
      </c>
      <c r="E520" s="203">
        <v>10</v>
      </c>
      <c r="F520" s="184">
        <f t="shared" si="7"/>
        <v>7000000</v>
      </c>
      <c r="G520" s="191">
        <f>IF(A520&lt;&gt;"", F520/ VLOOKUP(A520, 'Курс валют'!$A:$D, 4, 0), "")</f>
        <v>578.51239669421489</v>
      </c>
    </row>
    <row r="521" spans="1:7" outlineLevel="1" x14ac:dyDescent="0.45">
      <c r="A521" s="189" t="s">
        <v>414</v>
      </c>
      <c r="B521" s="182"/>
      <c r="C521" s="183"/>
      <c r="D521" s="183"/>
      <c r="E521" s="203">
        <f>SUBTOTAL(9,E520:E520)</f>
        <v>10</v>
      </c>
      <c r="F521" s="184">
        <f>SUBTOTAL(9,F520:F520)</f>
        <v>7000000</v>
      </c>
      <c r="G521" s="191" t="e">
        <f>IF(A521&lt;&gt;"", F521/ VLOOKUP(A521, 'Курс валют'!$A:$D, 4, 0), "")</f>
        <v>#N/A</v>
      </c>
    </row>
    <row r="522" spans="1:7" outlineLevel="2" x14ac:dyDescent="0.45">
      <c r="A522" s="189">
        <v>46142</v>
      </c>
      <c r="B522" s="182" t="s">
        <v>330</v>
      </c>
      <c r="C522" s="183" t="s">
        <v>338</v>
      </c>
      <c r="D522" s="183" t="s">
        <v>390</v>
      </c>
      <c r="E522" s="203">
        <v>10</v>
      </c>
      <c r="F522" s="184">
        <f t="shared" si="7"/>
        <v>7000000</v>
      </c>
      <c r="G522" s="191">
        <f>IF(A522&lt;&gt;"", F522/ VLOOKUP(A522, 'Курс валют'!$A:$D, 4, 0), "")</f>
        <v>578.51239669421489</v>
      </c>
    </row>
    <row r="523" spans="1:7" outlineLevel="1" x14ac:dyDescent="0.45">
      <c r="A523" s="189" t="s">
        <v>415</v>
      </c>
      <c r="B523" s="182"/>
      <c r="C523" s="183"/>
      <c r="D523" s="183"/>
      <c r="E523" s="203">
        <f>SUBTOTAL(9,E522:E522)</f>
        <v>10</v>
      </c>
      <c r="F523" s="184">
        <f>SUBTOTAL(9,F522:F522)</f>
        <v>7000000</v>
      </c>
      <c r="G523" s="191" t="e">
        <f>IF(A523&lt;&gt;"", F523/ VLOOKUP(A523, 'Курс валют'!$A:$D, 4, 0), "")</f>
        <v>#N/A</v>
      </c>
    </row>
    <row r="524" spans="1:7" outlineLevel="2" x14ac:dyDescent="0.45">
      <c r="A524" s="189">
        <v>46145</v>
      </c>
      <c r="B524" s="182" t="s">
        <v>330</v>
      </c>
      <c r="C524" s="183" t="s">
        <v>389</v>
      </c>
      <c r="D524" s="183" t="s">
        <v>390</v>
      </c>
      <c r="E524" s="203">
        <v>7.5</v>
      </c>
      <c r="F524" s="184">
        <f t="shared" si="7"/>
        <v>5250000</v>
      </c>
      <c r="G524" s="191">
        <f>IF(A524&lt;&gt;"", F524/ VLOOKUP(A524, 'Курс валют'!$A:$D, 4, 0), "")</f>
        <v>437.5</v>
      </c>
    </row>
    <row r="525" spans="1:7" outlineLevel="2" x14ac:dyDescent="0.45">
      <c r="A525" s="189">
        <v>46145</v>
      </c>
      <c r="B525" s="182" t="s">
        <v>330</v>
      </c>
      <c r="C525" s="183" t="s">
        <v>384</v>
      </c>
      <c r="D525" s="183" t="s">
        <v>390</v>
      </c>
      <c r="E525" s="203">
        <v>10</v>
      </c>
      <c r="F525" s="184">
        <f t="shared" si="7"/>
        <v>7000000</v>
      </c>
      <c r="G525" s="191">
        <f>IF(A525&lt;&gt;"", F525/ VLOOKUP(A525, 'Курс валют'!$A:$D, 4, 0), "")</f>
        <v>583.33333333333337</v>
      </c>
    </row>
    <row r="526" spans="1:7" outlineLevel="2" x14ac:dyDescent="0.45">
      <c r="A526" s="189">
        <v>46145</v>
      </c>
      <c r="B526" s="182" t="s">
        <v>330</v>
      </c>
      <c r="C526" s="183" t="s">
        <v>389</v>
      </c>
      <c r="D526" s="183" t="s">
        <v>390</v>
      </c>
      <c r="E526" s="203">
        <v>10</v>
      </c>
      <c r="F526" s="184">
        <f t="shared" si="7"/>
        <v>7000000</v>
      </c>
      <c r="G526" s="191">
        <f>IF(A526&lt;&gt;"", F526/ VLOOKUP(A526, 'Курс валют'!$A:$D, 4, 0), "")</f>
        <v>583.33333333333337</v>
      </c>
    </row>
    <row r="527" spans="1:7" outlineLevel="2" x14ac:dyDescent="0.45">
      <c r="A527" s="189">
        <v>46145</v>
      </c>
      <c r="B527" s="182" t="s">
        <v>330</v>
      </c>
      <c r="C527" s="183" t="s">
        <v>384</v>
      </c>
      <c r="D527" s="183" t="s">
        <v>390</v>
      </c>
      <c r="E527" s="203">
        <v>10</v>
      </c>
      <c r="F527" s="184">
        <f t="shared" si="7"/>
        <v>7000000</v>
      </c>
      <c r="G527" s="191">
        <f>IF(A527&lt;&gt;"", F527/ VLOOKUP(A527, 'Курс валют'!$A:$D, 4, 0), "")</f>
        <v>583.33333333333337</v>
      </c>
    </row>
    <row r="528" spans="1:7" outlineLevel="2" x14ac:dyDescent="0.45">
      <c r="A528" s="189">
        <v>46145</v>
      </c>
      <c r="B528" s="182" t="s">
        <v>330</v>
      </c>
      <c r="C528" s="183" t="s">
        <v>383</v>
      </c>
      <c r="D528" s="183" t="s">
        <v>390</v>
      </c>
      <c r="E528" s="203">
        <v>10</v>
      </c>
      <c r="F528" s="184">
        <f t="shared" si="7"/>
        <v>7000000</v>
      </c>
      <c r="G528" s="191">
        <f>IF(A528&lt;&gt;"", F528/ VLOOKUP(A528, 'Курс валют'!$A:$D, 4, 0), "")</f>
        <v>583.33333333333337</v>
      </c>
    </row>
    <row r="529" spans="1:7" outlineLevel="2" x14ac:dyDescent="0.45">
      <c r="A529" s="189">
        <v>46145</v>
      </c>
      <c r="B529" s="182" t="s">
        <v>330</v>
      </c>
      <c r="C529" s="183" t="s">
        <v>389</v>
      </c>
      <c r="D529" s="183" t="s">
        <v>390</v>
      </c>
      <c r="E529" s="203">
        <v>10</v>
      </c>
      <c r="F529" s="184">
        <f t="shared" si="7"/>
        <v>7000000</v>
      </c>
      <c r="G529" s="191">
        <f>IF(A529&lt;&gt;"", F529/ VLOOKUP(A529, 'Курс валют'!$A:$D, 4, 0), "")</f>
        <v>583.33333333333337</v>
      </c>
    </row>
    <row r="530" spans="1:7" outlineLevel="2" x14ac:dyDescent="0.45">
      <c r="A530" s="189">
        <v>46145</v>
      </c>
      <c r="B530" s="182" t="s">
        <v>330</v>
      </c>
      <c r="C530" s="183" t="s">
        <v>384</v>
      </c>
      <c r="D530" s="183" t="s">
        <v>390</v>
      </c>
      <c r="E530" s="203">
        <v>10</v>
      </c>
      <c r="F530" s="184">
        <f t="shared" si="7"/>
        <v>7000000</v>
      </c>
      <c r="G530" s="191">
        <f>IF(A530&lt;&gt;"", F530/ VLOOKUP(A530, 'Курс валют'!$A:$D, 4, 0), "")</f>
        <v>583.33333333333337</v>
      </c>
    </row>
    <row r="531" spans="1:7" outlineLevel="2" x14ac:dyDescent="0.45">
      <c r="A531" s="189">
        <v>46145</v>
      </c>
      <c r="B531" s="182" t="s">
        <v>330</v>
      </c>
      <c r="C531" s="183" t="s">
        <v>383</v>
      </c>
      <c r="D531" s="183" t="s">
        <v>390</v>
      </c>
      <c r="E531" s="203">
        <v>10</v>
      </c>
      <c r="F531" s="184">
        <f t="shared" si="7"/>
        <v>7000000</v>
      </c>
      <c r="G531" s="191">
        <f>IF(A531&lt;&gt;"", F531/ VLOOKUP(A531, 'Курс валют'!$A:$D, 4, 0), "")</f>
        <v>583.33333333333337</v>
      </c>
    </row>
    <row r="532" spans="1:7" outlineLevel="2" x14ac:dyDescent="0.45">
      <c r="A532" s="189">
        <v>46145</v>
      </c>
      <c r="B532" s="182" t="s">
        <v>330</v>
      </c>
      <c r="C532" s="183" t="s">
        <v>389</v>
      </c>
      <c r="D532" s="183" t="s">
        <v>390</v>
      </c>
      <c r="E532" s="203">
        <v>10</v>
      </c>
      <c r="F532" s="184">
        <f t="shared" si="7"/>
        <v>7000000</v>
      </c>
      <c r="G532" s="191">
        <f>IF(A532&lt;&gt;"", F532/ VLOOKUP(A532, 'Курс валют'!$A:$D, 4, 0), "")</f>
        <v>583.33333333333337</v>
      </c>
    </row>
    <row r="533" spans="1:7" outlineLevel="2" x14ac:dyDescent="0.45">
      <c r="A533" s="189">
        <v>46145</v>
      </c>
      <c r="B533" s="182" t="s">
        <v>330</v>
      </c>
      <c r="C533" s="183" t="s">
        <v>384</v>
      </c>
      <c r="D533" s="183" t="s">
        <v>390</v>
      </c>
      <c r="E533" s="203">
        <v>10</v>
      </c>
      <c r="F533" s="184">
        <f t="shared" si="7"/>
        <v>7000000</v>
      </c>
      <c r="G533" s="191">
        <f>IF(A533&lt;&gt;"", F533/ VLOOKUP(A533, 'Курс валют'!$A:$D, 4, 0), "")</f>
        <v>583.33333333333337</v>
      </c>
    </row>
    <row r="534" spans="1:7" outlineLevel="2" x14ac:dyDescent="0.45">
      <c r="A534" s="189">
        <v>46145</v>
      </c>
      <c r="B534" s="182" t="s">
        <v>330</v>
      </c>
      <c r="C534" s="183" t="s">
        <v>383</v>
      </c>
      <c r="D534" s="183" t="s">
        <v>390</v>
      </c>
      <c r="E534" s="203">
        <v>10</v>
      </c>
      <c r="F534" s="184">
        <f t="shared" si="7"/>
        <v>7000000</v>
      </c>
      <c r="G534" s="191">
        <f>IF(A534&lt;&gt;"", F534/ VLOOKUP(A534, 'Курс валют'!$A:$D, 4, 0), "")</f>
        <v>583.33333333333337</v>
      </c>
    </row>
    <row r="535" spans="1:7" outlineLevel="2" x14ac:dyDescent="0.45">
      <c r="A535" s="189">
        <v>46145</v>
      </c>
      <c r="B535" s="182" t="s">
        <v>330</v>
      </c>
      <c r="C535" s="183" t="s">
        <v>389</v>
      </c>
      <c r="D535" s="183" t="s">
        <v>390</v>
      </c>
      <c r="E535" s="203">
        <v>10</v>
      </c>
      <c r="F535" s="184">
        <f t="shared" si="7"/>
        <v>7000000</v>
      </c>
      <c r="G535" s="191">
        <f>IF(A535&lt;&gt;"", F535/ VLOOKUP(A535, 'Курс валют'!$A:$D, 4, 0), "")</f>
        <v>583.33333333333337</v>
      </c>
    </row>
    <row r="536" spans="1:7" outlineLevel="2" x14ac:dyDescent="0.45">
      <c r="A536" s="189">
        <v>46145</v>
      </c>
      <c r="B536" s="182" t="s">
        <v>330</v>
      </c>
      <c r="C536" s="183" t="s">
        <v>384</v>
      </c>
      <c r="D536" s="183" t="s">
        <v>390</v>
      </c>
      <c r="E536" s="203">
        <v>10</v>
      </c>
      <c r="F536" s="184">
        <f t="shared" si="7"/>
        <v>7000000</v>
      </c>
      <c r="G536" s="191">
        <f>IF(A536&lt;&gt;"", F536/ VLOOKUP(A536, 'Курс валют'!$A:$D, 4, 0), "")</f>
        <v>583.33333333333337</v>
      </c>
    </row>
    <row r="537" spans="1:7" outlineLevel="2" x14ac:dyDescent="0.45">
      <c r="A537" s="189">
        <v>46145</v>
      </c>
      <c r="B537" s="182" t="s">
        <v>330</v>
      </c>
      <c r="C537" s="183" t="s">
        <v>383</v>
      </c>
      <c r="D537" s="183" t="s">
        <v>390</v>
      </c>
      <c r="E537" s="203">
        <v>10</v>
      </c>
      <c r="F537" s="184">
        <f t="shared" si="7"/>
        <v>7000000</v>
      </c>
      <c r="G537" s="191">
        <f>IF(A537&lt;&gt;"", F537/ VLOOKUP(A537, 'Курс валют'!$A:$D, 4, 0), "")</f>
        <v>583.33333333333337</v>
      </c>
    </row>
    <row r="538" spans="1:7" outlineLevel="2" x14ac:dyDescent="0.45">
      <c r="A538" s="189">
        <v>46145</v>
      </c>
      <c r="B538" s="182" t="s">
        <v>330</v>
      </c>
      <c r="C538" s="183" t="s">
        <v>389</v>
      </c>
      <c r="D538" s="183" t="s">
        <v>390</v>
      </c>
      <c r="E538" s="203">
        <v>10</v>
      </c>
      <c r="F538" s="184">
        <f t="shared" ref="F538:F606" si="8">IF(D538="М400", E538*740000, IF(D538="M150", E538*600000, IF(D538="M300", E538*670000, IF(D538="M350", E538*700000, 0))))</f>
        <v>7000000</v>
      </c>
      <c r="G538" s="191">
        <f>IF(A538&lt;&gt;"", F538/ VLOOKUP(A538, 'Курс валют'!$A:$D, 4, 0), "")</f>
        <v>583.33333333333337</v>
      </c>
    </row>
    <row r="539" spans="1:7" outlineLevel="2" x14ac:dyDescent="0.45">
      <c r="A539" s="189">
        <v>46145</v>
      </c>
      <c r="B539" s="182" t="s">
        <v>330</v>
      </c>
      <c r="C539" s="183" t="s">
        <v>384</v>
      </c>
      <c r="D539" s="183" t="s">
        <v>390</v>
      </c>
      <c r="E539" s="203">
        <v>10</v>
      </c>
      <c r="F539" s="184">
        <f t="shared" si="8"/>
        <v>7000000</v>
      </c>
      <c r="G539" s="191">
        <f>IF(A539&lt;&gt;"", F539/ VLOOKUP(A539, 'Курс валют'!$A:$D, 4, 0), "")</f>
        <v>583.33333333333337</v>
      </c>
    </row>
    <row r="540" spans="1:7" outlineLevel="2" x14ac:dyDescent="0.45">
      <c r="A540" s="189">
        <v>46145</v>
      </c>
      <c r="B540" s="182" t="s">
        <v>330</v>
      </c>
      <c r="C540" s="183" t="s">
        <v>383</v>
      </c>
      <c r="D540" s="183" t="s">
        <v>390</v>
      </c>
      <c r="E540" s="203">
        <v>10</v>
      </c>
      <c r="F540" s="184">
        <f t="shared" si="8"/>
        <v>7000000</v>
      </c>
      <c r="G540" s="191">
        <f>IF(A540&lt;&gt;"", F540/ VLOOKUP(A540, 'Курс валют'!$A:$D, 4, 0), "")</f>
        <v>583.33333333333337</v>
      </c>
    </row>
    <row r="541" spans="1:7" outlineLevel="2" x14ac:dyDescent="0.45">
      <c r="A541" s="189">
        <v>46145</v>
      </c>
      <c r="B541" s="182" t="s">
        <v>330</v>
      </c>
      <c r="C541" s="183" t="s">
        <v>389</v>
      </c>
      <c r="D541" s="183" t="s">
        <v>390</v>
      </c>
      <c r="E541" s="203">
        <v>10</v>
      </c>
      <c r="F541" s="184">
        <f t="shared" si="8"/>
        <v>7000000</v>
      </c>
      <c r="G541" s="191">
        <f>IF(A541&lt;&gt;"", F541/ VLOOKUP(A541, 'Курс валют'!$A:$D, 4, 0), "")</f>
        <v>583.33333333333337</v>
      </c>
    </row>
    <row r="542" spans="1:7" outlineLevel="2" x14ac:dyDescent="0.45">
      <c r="A542" s="189">
        <v>46145</v>
      </c>
      <c r="B542" s="182" t="s">
        <v>330</v>
      </c>
      <c r="C542" s="183" t="s">
        <v>384</v>
      </c>
      <c r="D542" s="183" t="s">
        <v>390</v>
      </c>
      <c r="E542" s="203">
        <v>10</v>
      </c>
      <c r="F542" s="184">
        <f t="shared" si="8"/>
        <v>7000000</v>
      </c>
      <c r="G542" s="191">
        <f>IF(A542&lt;&gt;"", F542/ VLOOKUP(A542, 'Курс валют'!$A:$D, 4, 0), "")</f>
        <v>583.33333333333337</v>
      </c>
    </row>
    <row r="543" spans="1:7" outlineLevel="1" x14ac:dyDescent="0.45">
      <c r="A543" s="189" t="s">
        <v>416</v>
      </c>
      <c r="B543" s="182"/>
      <c r="C543" s="183"/>
      <c r="D543" s="183"/>
      <c r="E543" s="203">
        <f>SUBTOTAL(9,E524:E542)</f>
        <v>187.5</v>
      </c>
      <c r="F543" s="184">
        <f>SUBTOTAL(9,F524:F542)</f>
        <v>131250000</v>
      </c>
      <c r="G543" s="191" t="e">
        <f>IF(A543&lt;&gt;"", F543/ VLOOKUP(A543, 'Курс валют'!$A:$D, 4, 0), "")</f>
        <v>#N/A</v>
      </c>
    </row>
    <row r="544" spans="1:7" outlineLevel="2" x14ac:dyDescent="0.45">
      <c r="A544" s="189">
        <v>46149</v>
      </c>
      <c r="B544" s="182" t="s">
        <v>330</v>
      </c>
      <c r="C544" s="183" t="s">
        <v>388</v>
      </c>
      <c r="D544" s="183" t="s">
        <v>390</v>
      </c>
      <c r="E544" s="203">
        <v>1.5</v>
      </c>
      <c r="F544" s="184">
        <f t="shared" si="8"/>
        <v>1050000</v>
      </c>
      <c r="G544" s="191">
        <f>IF(A544&lt;&gt;"", F544/ VLOOKUP(A544, 'Курс валют'!$A:$D, 4, 0), "")</f>
        <v>86.277732128184056</v>
      </c>
    </row>
    <row r="545" spans="1:7" outlineLevel="2" x14ac:dyDescent="0.45">
      <c r="A545" s="189">
        <v>46149</v>
      </c>
      <c r="B545" s="182" t="s">
        <v>330</v>
      </c>
      <c r="C545" s="183" t="s">
        <v>388</v>
      </c>
      <c r="D545" s="183" t="s">
        <v>390</v>
      </c>
      <c r="E545" s="203">
        <v>10</v>
      </c>
      <c r="F545" s="184">
        <f t="shared" si="8"/>
        <v>7000000</v>
      </c>
      <c r="G545" s="191">
        <f>IF(A545&lt;&gt;"", F545/ VLOOKUP(A545, 'Курс валют'!$A:$D, 4, 0), "")</f>
        <v>575.18488085456045</v>
      </c>
    </row>
    <row r="546" spans="1:7" outlineLevel="2" x14ac:dyDescent="0.45">
      <c r="A546" s="189">
        <v>46149</v>
      </c>
      <c r="B546" s="182" t="s">
        <v>330</v>
      </c>
      <c r="C546" s="183" t="s">
        <v>388</v>
      </c>
      <c r="D546" s="183" t="s">
        <v>390</v>
      </c>
      <c r="E546" s="203">
        <v>10</v>
      </c>
      <c r="F546" s="184">
        <f t="shared" si="8"/>
        <v>7000000</v>
      </c>
      <c r="G546" s="191">
        <f>IF(A546&lt;&gt;"", F546/ VLOOKUP(A546, 'Курс валют'!$A:$D, 4, 0), "")</f>
        <v>575.18488085456045</v>
      </c>
    </row>
    <row r="547" spans="1:7" outlineLevel="2" x14ac:dyDescent="0.45">
      <c r="A547" s="189">
        <v>46149</v>
      </c>
      <c r="B547" s="182" t="s">
        <v>330</v>
      </c>
      <c r="C547" s="183" t="s">
        <v>382</v>
      </c>
      <c r="D547" s="183" t="s">
        <v>390</v>
      </c>
      <c r="E547" s="203">
        <v>10</v>
      </c>
      <c r="F547" s="184">
        <f t="shared" si="8"/>
        <v>7000000</v>
      </c>
      <c r="G547" s="191">
        <f>IF(A547&lt;&gt;"", F547/ VLOOKUP(A547, 'Курс валют'!$A:$D, 4, 0), "")</f>
        <v>575.18488085456045</v>
      </c>
    </row>
    <row r="548" spans="1:7" outlineLevel="2" x14ac:dyDescent="0.45">
      <c r="A548" s="189">
        <v>46149</v>
      </c>
      <c r="B548" s="182" t="s">
        <v>330</v>
      </c>
      <c r="C548" s="183" t="s">
        <v>388</v>
      </c>
      <c r="D548" s="183" t="s">
        <v>390</v>
      </c>
      <c r="E548" s="203">
        <v>10</v>
      </c>
      <c r="F548" s="184">
        <f t="shared" si="8"/>
        <v>7000000</v>
      </c>
      <c r="G548" s="191">
        <f>IF(A548&lt;&gt;"", F548/ VLOOKUP(A548, 'Курс валют'!$A:$D, 4, 0), "")</f>
        <v>575.18488085456045</v>
      </c>
    </row>
    <row r="549" spans="1:7" outlineLevel="2" x14ac:dyDescent="0.45">
      <c r="A549" s="189">
        <v>46149</v>
      </c>
      <c r="B549" s="182" t="s">
        <v>330</v>
      </c>
      <c r="C549" s="183" t="s">
        <v>355</v>
      </c>
      <c r="D549" s="183" t="s">
        <v>390</v>
      </c>
      <c r="E549" s="203">
        <v>10</v>
      </c>
      <c r="F549" s="184">
        <f t="shared" si="8"/>
        <v>7000000</v>
      </c>
      <c r="G549" s="191">
        <f>IF(A549&lt;&gt;"", F549/ VLOOKUP(A549, 'Курс валют'!$A:$D, 4, 0), "")</f>
        <v>575.18488085456045</v>
      </c>
    </row>
    <row r="550" spans="1:7" outlineLevel="2" x14ac:dyDescent="0.45">
      <c r="A550" s="189">
        <v>46149</v>
      </c>
      <c r="B550" s="182" t="s">
        <v>330</v>
      </c>
      <c r="C550" s="183" t="s">
        <v>382</v>
      </c>
      <c r="D550" s="183" t="s">
        <v>390</v>
      </c>
      <c r="E550" s="203">
        <v>10</v>
      </c>
      <c r="F550" s="184">
        <f t="shared" si="8"/>
        <v>7000000</v>
      </c>
      <c r="G550" s="191">
        <f>IF(A550&lt;&gt;"", F550/ VLOOKUP(A550, 'Курс валют'!$A:$D, 4, 0), "")</f>
        <v>575.18488085456045</v>
      </c>
    </row>
    <row r="551" spans="1:7" outlineLevel="2" x14ac:dyDescent="0.45">
      <c r="A551" s="189">
        <v>46149</v>
      </c>
      <c r="B551" s="182" t="s">
        <v>330</v>
      </c>
      <c r="C551" s="183" t="s">
        <v>388</v>
      </c>
      <c r="D551" s="183" t="s">
        <v>390</v>
      </c>
      <c r="E551" s="203">
        <v>10</v>
      </c>
      <c r="F551" s="184">
        <f t="shared" si="8"/>
        <v>7000000</v>
      </c>
      <c r="G551" s="191">
        <f>IF(A551&lt;&gt;"", F551/ VLOOKUP(A551, 'Курс валют'!$A:$D, 4, 0), "")</f>
        <v>575.18488085456045</v>
      </c>
    </row>
    <row r="552" spans="1:7" outlineLevel="2" x14ac:dyDescent="0.45">
      <c r="A552" s="189">
        <v>46149</v>
      </c>
      <c r="B552" s="182" t="s">
        <v>330</v>
      </c>
      <c r="C552" s="183" t="s">
        <v>355</v>
      </c>
      <c r="D552" s="183" t="s">
        <v>390</v>
      </c>
      <c r="E552" s="203">
        <v>10</v>
      </c>
      <c r="F552" s="184">
        <f t="shared" si="8"/>
        <v>7000000</v>
      </c>
      <c r="G552" s="191">
        <f>IF(A552&lt;&gt;"", F552/ VLOOKUP(A552, 'Курс валют'!$A:$D, 4, 0), "")</f>
        <v>575.18488085456045</v>
      </c>
    </row>
    <row r="553" spans="1:7" outlineLevel="2" x14ac:dyDescent="0.45">
      <c r="A553" s="189">
        <v>46149</v>
      </c>
      <c r="B553" s="182" t="s">
        <v>330</v>
      </c>
      <c r="C553" s="183" t="s">
        <v>382</v>
      </c>
      <c r="D553" s="183" t="s">
        <v>390</v>
      </c>
      <c r="E553" s="203">
        <v>10</v>
      </c>
      <c r="F553" s="184">
        <f t="shared" si="8"/>
        <v>7000000</v>
      </c>
      <c r="G553" s="191">
        <f>IF(A553&lt;&gt;"", F553/ VLOOKUP(A553, 'Курс валют'!$A:$D, 4, 0), "")</f>
        <v>575.18488085456045</v>
      </c>
    </row>
    <row r="554" spans="1:7" outlineLevel="2" x14ac:dyDescent="0.45">
      <c r="A554" s="189">
        <v>46149</v>
      </c>
      <c r="B554" s="182" t="s">
        <v>330</v>
      </c>
      <c r="C554" s="183" t="s">
        <v>388</v>
      </c>
      <c r="D554" s="183" t="s">
        <v>390</v>
      </c>
      <c r="E554" s="203">
        <v>10</v>
      </c>
      <c r="F554" s="184">
        <f t="shared" si="8"/>
        <v>7000000</v>
      </c>
      <c r="G554" s="191">
        <f>IF(A554&lt;&gt;"", F554/ VLOOKUP(A554, 'Курс валют'!$A:$D, 4, 0), "")</f>
        <v>575.18488085456045</v>
      </c>
    </row>
    <row r="555" spans="1:7" outlineLevel="2" x14ac:dyDescent="0.45">
      <c r="A555" s="189">
        <v>46149</v>
      </c>
      <c r="B555" s="182" t="s">
        <v>330</v>
      </c>
      <c r="C555" s="183" t="s">
        <v>355</v>
      </c>
      <c r="D555" s="183" t="s">
        <v>390</v>
      </c>
      <c r="E555" s="203">
        <v>10</v>
      </c>
      <c r="F555" s="184">
        <f t="shared" si="8"/>
        <v>7000000</v>
      </c>
      <c r="G555" s="191">
        <f>IF(A555&lt;&gt;"", F555/ VLOOKUP(A555, 'Курс валют'!$A:$D, 4, 0), "")</f>
        <v>575.18488085456045</v>
      </c>
    </row>
    <row r="556" spans="1:7" outlineLevel="2" x14ac:dyDescent="0.45">
      <c r="A556" s="189">
        <v>46149</v>
      </c>
      <c r="B556" s="182" t="s">
        <v>330</v>
      </c>
      <c r="C556" s="183" t="s">
        <v>382</v>
      </c>
      <c r="D556" s="183" t="s">
        <v>390</v>
      </c>
      <c r="E556" s="203">
        <v>10</v>
      </c>
      <c r="F556" s="184">
        <f t="shared" si="8"/>
        <v>7000000</v>
      </c>
      <c r="G556" s="191">
        <f>IF(A556&lt;&gt;"", F556/ VLOOKUP(A556, 'Курс валют'!$A:$D, 4, 0), "")</f>
        <v>575.18488085456045</v>
      </c>
    </row>
    <row r="557" spans="1:7" outlineLevel="2" x14ac:dyDescent="0.45">
      <c r="A557" s="189">
        <v>46149</v>
      </c>
      <c r="B557" s="182" t="s">
        <v>330</v>
      </c>
      <c r="C557" s="183" t="s">
        <v>388</v>
      </c>
      <c r="D557" s="183" t="s">
        <v>390</v>
      </c>
      <c r="E557" s="203">
        <v>10</v>
      </c>
      <c r="F557" s="184">
        <f t="shared" si="8"/>
        <v>7000000</v>
      </c>
      <c r="G557" s="191">
        <f>IF(A557&lt;&gt;"", F557/ VLOOKUP(A557, 'Курс валют'!$A:$D, 4, 0), "")</f>
        <v>575.18488085456045</v>
      </c>
    </row>
    <row r="558" spans="1:7" outlineLevel="2" x14ac:dyDescent="0.45">
      <c r="A558" s="189">
        <v>46149</v>
      </c>
      <c r="B558" s="182" t="s">
        <v>330</v>
      </c>
      <c r="C558" s="183" t="s">
        <v>355</v>
      </c>
      <c r="D558" s="183" t="s">
        <v>390</v>
      </c>
      <c r="E558" s="203">
        <v>10</v>
      </c>
      <c r="F558" s="184">
        <f t="shared" si="8"/>
        <v>7000000</v>
      </c>
      <c r="G558" s="191">
        <f>IF(A558&lt;&gt;"", F558/ VLOOKUP(A558, 'Курс валют'!$A:$D, 4, 0), "")</f>
        <v>575.18488085456045</v>
      </c>
    </row>
    <row r="559" spans="1:7" outlineLevel="2" x14ac:dyDescent="0.45">
      <c r="A559" s="189">
        <v>46149</v>
      </c>
      <c r="B559" s="182" t="s">
        <v>330</v>
      </c>
      <c r="C559" s="183" t="s">
        <v>382</v>
      </c>
      <c r="D559" s="183" t="s">
        <v>390</v>
      </c>
      <c r="E559" s="203">
        <v>10</v>
      </c>
      <c r="F559" s="184">
        <f t="shared" si="8"/>
        <v>7000000</v>
      </c>
      <c r="G559" s="191">
        <f>IF(A559&lt;&gt;"", F559/ VLOOKUP(A559, 'Курс валют'!$A:$D, 4, 0), "")</f>
        <v>575.18488085456045</v>
      </c>
    </row>
    <row r="560" spans="1:7" outlineLevel="2" x14ac:dyDescent="0.45">
      <c r="A560" s="189">
        <v>46149</v>
      </c>
      <c r="B560" s="182" t="s">
        <v>330</v>
      </c>
      <c r="C560" s="183" t="s">
        <v>388</v>
      </c>
      <c r="D560" s="183" t="s">
        <v>390</v>
      </c>
      <c r="E560" s="203">
        <v>10</v>
      </c>
      <c r="F560" s="184">
        <f t="shared" si="8"/>
        <v>7000000</v>
      </c>
      <c r="G560" s="191">
        <f>IF(A560&lt;&gt;"", F560/ VLOOKUP(A560, 'Курс валют'!$A:$D, 4, 0), "")</f>
        <v>575.18488085456045</v>
      </c>
    </row>
    <row r="561" spans="1:7" outlineLevel="2" x14ac:dyDescent="0.45">
      <c r="A561" s="189">
        <v>46149</v>
      </c>
      <c r="B561" s="182" t="s">
        <v>330</v>
      </c>
      <c r="C561" s="183" t="s">
        <v>355</v>
      </c>
      <c r="D561" s="183" t="s">
        <v>390</v>
      </c>
      <c r="E561" s="203">
        <v>10</v>
      </c>
      <c r="F561" s="184">
        <f t="shared" si="8"/>
        <v>7000000</v>
      </c>
      <c r="G561" s="191">
        <f>IF(A561&lt;&gt;"", F561/ VLOOKUP(A561, 'Курс валют'!$A:$D, 4, 0), "")</f>
        <v>575.18488085456045</v>
      </c>
    </row>
    <row r="562" spans="1:7" outlineLevel="2" x14ac:dyDescent="0.45">
      <c r="A562" s="189">
        <v>46149</v>
      </c>
      <c r="B562" s="182" t="s">
        <v>330</v>
      </c>
      <c r="C562" s="183" t="s">
        <v>382</v>
      </c>
      <c r="D562" s="183" t="s">
        <v>390</v>
      </c>
      <c r="E562" s="203">
        <v>10</v>
      </c>
      <c r="F562" s="184">
        <f t="shared" si="8"/>
        <v>7000000</v>
      </c>
      <c r="G562" s="191">
        <f>IF(A562&lt;&gt;"", F562/ VLOOKUP(A562, 'Курс валют'!$A:$D, 4, 0), "")</f>
        <v>575.18488085456045</v>
      </c>
    </row>
    <row r="563" spans="1:7" outlineLevel="2" x14ac:dyDescent="0.45">
      <c r="A563" s="189">
        <v>46149</v>
      </c>
      <c r="B563" s="182" t="s">
        <v>330</v>
      </c>
      <c r="C563" s="183" t="s">
        <v>388</v>
      </c>
      <c r="D563" s="183" t="s">
        <v>390</v>
      </c>
      <c r="E563" s="203">
        <v>10</v>
      </c>
      <c r="F563" s="184">
        <f t="shared" si="8"/>
        <v>7000000</v>
      </c>
      <c r="G563" s="191">
        <f>IF(A563&lt;&gt;"", F563/ VLOOKUP(A563, 'Курс валют'!$A:$D, 4, 0), "")</f>
        <v>575.18488085456045</v>
      </c>
    </row>
    <row r="564" spans="1:7" outlineLevel="1" x14ac:dyDescent="0.45">
      <c r="A564" s="189" t="s">
        <v>417</v>
      </c>
      <c r="B564" s="182"/>
      <c r="C564" s="183"/>
      <c r="D564" s="183"/>
      <c r="E564" s="203">
        <f>SUBTOTAL(9,E544:E563)</f>
        <v>191.5</v>
      </c>
      <c r="F564" s="184">
        <f>SUBTOTAL(9,F544:F563)</f>
        <v>134050000</v>
      </c>
      <c r="G564" s="191" t="e">
        <f>IF(A564&lt;&gt;"", F564/ VLOOKUP(A564, 'Курс валют'!$A:$D, 4, 0), "")</f>
        <v>#N/A</v>
      </c>
    </row>
    <row r="565" spans="1:7" outlineLevel="2" x14ac:dyDescent="0.45">
      <c r="A565" s="189">
        <v>46154</v>
      </c>
      <c r="B565" s="182" t="s">
        <v>330</v>
      </c>
      <c r="C565" s="183" t="s">
        <v>388</v>
      </c>
      <c r="D565" s="183" t="s">
        <v>390</v>
      </c>
      <c r="E565" s="203">
        <v>11</v>
      </c>
      <c r="F565" s="184">
        <f t="shared" si="8"/>
        <v>7700000</v>
      </c>
      <c r="G565" s="191">
        <f>IF(A565&lt;&gt;"", F565/ VLOOKUP(A565, 'Курс валют'!$A:$D, 4, 0), "")</f>
        <v>636.36363636363637</v>
      </c>
    </row>
    <row r="566" spans="1:7" outlineLevel="2" x14ac:dyDescent="0.45">
      <c r="A566" s="189">
        <v>46154</v>
      </c>
      <c r="B566" s="182" t="s">
        <v>330</v>
      </c>
      <c r="C566" s="183" t="s">
        <v>389</v>
      </c>
      <c r="D566" s="183" t="s">
        <v>390</v>
      </c>
      <c r="E566" s="203">
        <v>10</v>
      </c>
      <c r="F566" s="184">
        <f t="shared" si="8"/>
        <v>7000000</v>
      </c>
      <c r="G566" s="191">
        <f>IF(A566&lt;&gt;"", F566/ VLOOKUP(A566, 'Курс валют'!$A:$D, 4, 0), "")</f>
        <v>578.51239669421489</v>
      </c>
    </row>
    <row r="567" spans="1:7" outlineLevel="2" x14ac:dyDescent="0.45">
      <c r="A567" s="189">
        <v>46154</v>
      </c>
      <c r="B567" s="182" t="s">
        <v>330</v>
      </c>
      <c r="C567" s="183" t="s">
        <v>336</v>
      </c>
      <c r="D567" s="183" t="s">
        <v>390</v>
      </c>
      <c r="E567" s="203">
        <v>10</v>
      </c>
      <c r="F567" s="184">
        <f t="shared" si="8"/>
        <v>7000000</v>
      </c>
      <c r="G567" s="191">
        <f>IF(A567&lt;&gt;"", F567/ VLOOKUP(A567, 'Курс валют'!$A:$D, 4, 0), "")</f>
        <v>578.51239669421489</v>
      </c>
    </row>
    <row r="568" spans="1:7" outlineLevel="2" x14ac:dyDescent="0.45">
      <c r="A568" s="189">
        <v>46154</v>
      </c>
      <c r="B568" s="182" t="s">
        <v>330</v>
      </c>
      <c r="C568" s="183" t="s">
        <v>388</v>
      </c>
      <c r="D568" s="183" t="s">
        <v>390</v>
      </c>
      <c r="E568" s="203">
        <v>10</v>
      </c>
      <c r="F568" s="184">
        <f t="shared" si="8"/>
        <v>7000000</v>
      </c>
      <c r="G568" s="191">
        <f>IF(A568&lt;&gt;"", F568/ VLOOKUP(A568, 'Курс валют'!$A:$D, 4, 0), "")</f>
        <v>578.51239669421489</v>
      </c>
    </row>
    <row r="569" spans="1:7" outlineLevel="2" x14ac:dyDescent="0.45">
      <c r="A569" s="189">
        <v>46154</v>
      </c>
      <c r="B569" s="182" t="s">
        <v>330</v>
      </c>
      <c r="C569" s="183" t="s">
        <v>389</v>
      </c>
      <c r="D569" s="183" t="s">
        <v>390</v>
      </c>
      <c r="E569" s="203">
        <v>10</v>
      </c>
      <c r="F569" s="184">
        <f t="shared" si="8"/>
        <v>7000000</v>
      </c>
      <c r="G569" s="191">
        <f>IF(A569&lt;&gt;"", F569/ VLOOKUP(A569, 'Курс валют'!$A:$D, 4, 0), "")</f>
        <v>578.51239669421489</v>
      </c>
    </row>
    <row r="570" spans="1:7" outlineLevel="2" x14ac:dyDescent="0.45">
      <c r="A570" s="189">
        <v>46154</v>
      </c>
      <c r="B570" s="182" t="s">
        <v>330</v>
      </c>
      <c r="C570" s="183" t="s">
        <v>336</v>
      </c>
      <c r="D570" s="183" t="s">
        <v>390</v>
      </c>
      <c r="E570" s="203">
        <v>10</v>
      </c>
      <c r="F570" s="184">
        <f t="shared" si="8"/>
        <v>7000000</v>
      </c>
      <c r="G570" s="191">
        <f>IF(A570&lt;&gt;"", F570/ VLOOKUP(A570, 'Курс валют'!$A:$D, 4, 0), "")</f>
        <v>578.51239669421489</v>
      </c>
    </row>
    <row r="571" spans="1:7" outlineLevel="2" x14ac:dyDescent="0.45">
      <c r="A571" s="189">
        <v>46154</v>
      </c>
      <c r="B571" s="182" t="s">
        <v>330</v>
      </c>
      <c r="C571" s="183" t="s">
        <v>388</v>
      </c>
      <c r="D571" s="183" t="s">
        <v>390</v>
      </c>
      <c r="E571" s="203">
        <v>10</v>
      </c>
      <c r="F571" s="184">
        <f t="shared" si="8"/>
        <v>7000000</v>
      </c>
      <c r="G571" s="191">
        <f>IF(A571&lt;&gt;"", F571/ VLOOKUP(A571, 'Курс валют'!$A:$D, 4, 0), "")</f>
        <v>578.51239669421489</v>
      </c>
    </row>
    <row r="572" spans="1:7" outlineLevel="2" x14ac:dyDescent="0.45">
      <c r="A572" s="189">
        <v>46154</v>
      </c>
      <c r="B572" s="182" t="s">
        <v>330</v>
      </c>
      <c r="C572" s="183" t="s">
        <v>389</v>
      </c>
      <c r="D572" s="183" t="s">
        <v>390</v>
      </c>
      <c r="E572" s="203">
        <v>10</v>
      </c>
      <c r="F572" s="184">
        <f t="shared" si="8"/>
        <v>7000000</v>
      </c>
      <c r="G572" s="191">
        <f>IF(A572&lt;&gt;"", F572/ VLOOKUP(A572, 'Курс валют'!$A:$D, 4, 0), "")</f>
        <v>578.51239669421489</v>
      </c>
    </row>
    <row r="573" spans="1:7" outlineLevel="2" x14ac:dyDescent="0.45">
      <c r="A573" s="189">
        <v>46154</v>
      </c>
      <c r="B573" s="182" t="s">
        <v>330</v>
      </c>
      <c r="C573" s="183" t="s">
        <v>336</v>
      </c>
      <c r="D573" s="183" t="s">
        <v>390</v>
      </c>
      <c r="E573" s="203">
        <v>10</v>
      </c>
      <c r="F573" s="184">
        <f t="shared" si="8"/>
        <v>7000000</v>
      </c>
      <c r="G573" s="191">
        <f>IF(A573&lt;&gt;"", F573/ VLOOKUP(A573, 'Курс валют'!$A:$D, 4, 0), "")</f>
        <v>578.51239669421489</v>
      </c>
    </row>
    <row r="574" spans="1:7" outlineLevel="2" x14ac:dyDescent="0.45">
      <c r="A574" s="189">
        <v>46154</v>
      </c>
      <c r="B574" s="182" t="s">
        <v>330</v>
      </c>
      <c r="C574" s="183" t="s">
        <v>388</v>
      </c>
      <c r="D574" s="183" t="s">
        <v>390</v>
      </c>
      <c r="E574" s="203">
        <v>10</v>
      </c>
      <c r="F574" s="184">
        <f t="shared" si="8"/>
        <v>7000000</v>
      </c>
      <c r="G574" s="191">
        <f>IF(A574&lt;&gt;"", F574/ VLOOKUP(A574, 'Курс валют'!$A:$D, 4, 0), "")</f>
        <v>578.51239669421489</v>
      </c>
    </row>
    <row r="575" spans="1:7" outlineLevel="2" x14ac:dyDescent="0.45">
      <c r="A575" s="189">
        <v>46154</v>
      </c>
      <c r="B575" s="182" t="s">
        <v>330</v>
      </c>
      <c r="C575" s="183" t="s">
        <v>389</v>
      </c>
      <c r="D575" s="183" t="s">
        <v>390</v>
      </c>
      <c r="E575" s="203">
        <v>10</v>
      </c>
      <c r="F575" s="184">
        <f t="shared" si="8"/>
        <v>7000000</v>
      </c>
      <c r="G575" s="191">
        <f>IF(A575&lt;&gt;"", F575/ VLOOKUP(A575, 'Курс валют'!$A:$D, 4, 0), "")</f>
        <v>578.51239669421489</v>
      </c>
    </row>
    <row r="576" spans="1:7" outlineLevel="2" x14ac:dyDescent="0.45">
      <c r="A576" s="189">
        <v>46154</v>
      </c>
      <c r="B576" s="182" t="s">
        <v>330</v>
      </c>
      <c r="C576" s="183" t="s">
        <v>336</v>
      </c>
      <c r="D576" s="183" t="s">
        <v>390</v>
      </c>
      <c r="E576" s="203">
        <v>10</v>
      </c>
      <c r="F576" s="184">
        <f t="shared" si="8"/>
        <v>7000000</v>
      </c>
      <c r="G576" s="191">
        <f>IF(A576&lt;&gt;"", F576/ VLOOKUP(A576, 'Курс валют'!$A:$D, 4, 0), "")</f>
        <v>578.51239669421489</v>
      </c>
    </row>
    <row r="577" spans="1:7" outlineLevel="2" x14ac:dyDescent="0.45">
      <c r="A577" s="189">
        <v>46154</v>
      </c>
      <c r="B577" s="182" t="s">
        <v>330</v>
      </c>
      <c r="C577" s="183" t="s">
        <v>388</v>
      </c>
      <c r="D577" s="183" t="s">
        <v>390</v>
      </c>
      <c r="E577" s="203">
        <v>10</v>
      </c>
      <c r="F577" s="184">
        <f t="shared" si="8"/>
        <v>7000000</v>
      </c>
      <c r="G577" s="191">
        <f>IF(A577&lt;&gt;"", F577/ VLOOKUP(A577, 'Курс валют'!$A:$D, 4, 0), "")</f>
        <v>578.51239669421489</v>
      </c>
    </row>
    <row r="578" spans="1:7" outlineLevel="2" x14ac:dyDescent="0.45">
      <c r="A578" s="189">
        <v>46154</v>
      </c>
      <c r="B578" s="182" t="s">
        <v>330</v>
      </c>
      <c r="C578" s="183" t="s">
        <v>389</v>
      </c>
      <c r="D578" s="183" t="s">
        <v>390</v>
      </c>
      <c r="E578" s="203">
        <v>10</v>
      </c>
      <c r="F578" s="184">
        <f t="shared" si="8"/>
        <v>7000000</v>
      </c>
      <c r="G578" s="191">
        <f>IF(A578&lt;&gt;"", F578/ VLOOKUP(A578, 'Курс валют'!$A:$D, 4, 0), "")</f>
        <v>578.51239669421489</v>
      </c>
    </row>
    <row r="579" spans="1:7" outlineLevel="2" x14ac:dyDescent="0.45">
      <c r="A579" s="189">
        <v>46154</v>
      </c>
      <c r="B579" s="182" t="s">
        <v>330</v>
      </c>
      <c r="C579" s="183" t="s">
        <v>336</v>
      </c>
      <c r="D579" s="183" t="s">
        <v>390</v>
      </c>
      <c r="E579" s="203">
        <v>10</v>
      </c>
      <c r="F579" s="184">
        <f t="shared" si="8"/>
        <v>7000000</v>
      </c>
      <c r="G579" s="191">
        <f>IF(A579&lt;&gt;"", F579/ VLOOKUP(A579, 'Курс валют'!$A:$D, 4, 0), "")</f>
        <v>578.51239669421489</v>
      </c>
    </row>
    <row r="580" spans="1:7" outlineLevel="2" x14ac:dyDescent="0.45">
      <c r="A580" s="189">
        <v>46154</v>
      </c>
      <c r="B580" s="182" t="s">
        <v>330</v>
      </c>
      <c r="C580" s="183" t="s">
        <v>388</v>
      </c>
      <c r="D580" s="183" t="s">
        <v>390</v>
      </c>
      <c r="E580" s="203">
        <v>10</v>
      </c>
      <c r="F580" s="184">
        <f t="shared" si="8"/>
        <v>7000000</v>
      </c>
      <c r="G580" s="191">
        <f>IF(A580&lt;&gt;"", F580/ VLOOKUP(A580, 'Курс валют'!$A:$D, 4, 0), "")</f>
        <v>578.51239669421489</v>
      </c>
    </row>
    <row r="581" spans="1:7" outlineLevel="1" x14ac:dyDescent="0.45">
      <c r="A581" s="189" t="s">
        <v>418</v>
      </c>
      <c r="B581" s="182"/>
      <c r="C581" s="183"/>
      <c r="D581" s="183"/>
      <c r="E581" s="203">
        <f>SUBTOTAL(9,E565:E580)</f>
        <v>161</v>
      </c>
      <c r="F581" s="184">
        <f>SUBTOTAL(9,F565:F580)</f>
        <v>112700000</v>
      </c>
      <c r="G581" s="191" t="e">
        <f>IF(A581&lt;&gt;"", F581/ VLOOKUP(A581, 'Курс валют'!$A:$D, 4, 0), "")</f>
        <v>#N/A</v>
      </c>
    </row>
    <row r="582" spans="1:7" outlineLevel="2" x14ac:dyDescent="0.45">
      <c r="A582" s="189">
        <v>46156</v>
      </c>
      <c r="B582" s="182" t="s">
        <v>330</v>
      </c>
      <c r="C582" s="183" t="s">
        <v>343</v>
      </c>
      <c r="D582" s="183" t="s">
        <v>390</v>
      </c>
      <c r="E582" s="203">
        <v>11</v>
      </c>
      <c r="F582" s="184">
        <f t="shared" si="8"/>
        <v>7700000</v>
      </c>
      <c r="G582" s="191">
        <f>IF(A582&lt;&gt;"", F582/ VLOOKUP(A582, 'Курс валют'!$A:$D, 4, 0), "")</f>
        <v>634.7897774113768</v>
      </c>
    </row>
    <row r="583" spans="1:7" outlineLevel="1" x14ac:dyDescent="0.45">
      <c r="A583" s="189" t="s">
        <v>419</v>
      </c>
      <c r="B583" s="182"/>
      <c r="C583" s="183"/>
      <c r="D583" s="183"/>
      <c r="E583" s="203">
        <f>SUBTOTAL(9,E582:E582)</f>
        <v>11</v>
      </c>
      <c r="F583" s="184">
        <f>SUBTOTAL(9,F582:F582)</f>
        <v>7700000</v>
      </c>
      <c r="G583" s="191" t="e">
        <f>IF(A583&lt;&gt;"", F583/ VLOOKUP(A583, 'Курс валют'!$A:$D, 4, 0), "")</f>
        <v>#N/A</v>
      </c>
    </row>
    <row r="584" spans="1:7" x14ac:dyDescent="0.45">
      <c r="A584" s="189" t="s">
        <v>53</v>
      </c>
      <c r="B584" s="182"/>
      <c r="C584" s="183"/>
      <c r="D584" s="183"/>
      <c r="E584" s="203">
        <f>SUBTOTAL(9,E2:E582)</f>
        <v>5419</v>
      </c>
      <c r="F584" s="184">
        <f>SUBTOTAL(9,F2:F582)</f>
        <v>3689570000</v>
      </c>
      <c r="G584" s="191" t="e">
        <f>IF(A584&lt;&gt;"", F584/ VLOOKUP(A584, 'Курс валют'!$A:$D, 4, 0), "")</f>
        <v>#N/A</v>
      </c>
    </row>
    <row r="585" spans="1:7" outlineLevel="1" x14ac:dyDescent="0.45">
      <c r="A585" s="189">
        <v>46158</v>
      </c>
      <c r="B585" s="182" t="s">
        <v>330</v>
      </c>
      <c r="C585" s="183" t="s">
        <v>331</v>
      </c>
      <c r="D585" s="183" t="s">
        <v>390</v>
      </c>
      <c r="E585" s="203">
        <v>9</v>
      </c>
      <c r="F585" s="184">
        <f t="shared" si="8"/>
        <v>6300000</v>
      </c>
      <c r="G585" s="191">
        <f>IF(A585&lt;&gt;"", F585/ VLOOKUP(A585, 'Курс валют'!$A:$D, 4, 0), "")</f>
        <v>520.6611570247934</v>
      </c>
    </row>
    <row r="586" spans="1:7" outlineLevel="1" x14ac:dyDescent="0.45">
      <c r="A586" s="189">
        <v>46158</v>
      </c>
      <c r="B586" s="182" t="s">
        <v>330</v>
      </c>
      <c r="C586" s="183" t="s">
        <v>400</v>
      </c>
      <c r="D586" s="183" t="s">
        <v>390</v>
      </c>
      <c r="E586" s="203">
        <v>12</v>
      </c>
      <c r="F586" s="184">
        <f t="shared" si="8"/>
        <v>8400000</v>
      </c>
      <c r="G586" s="191">
        <f>IF(A586&lt;&gt;"", F586/ VLOOKUP(A586, 'Курс валют'!$A:$D, 4, 0), "")</f>
        <v>694.21487603305786</v>
      </c>
    </row>
    <row r="587" spans="1:7" outlineLevel="1" x14ac:dyDescent="0.45">
      <c r="A587" s="189">
        <v>46158</v>
      </c>
      <c r="B587" s="182" t="s">
        <v>330</v>
      </c>
      <c r="C587" s="183" t="s">
        <v>338</v>
      </c>
      <c r="D587" s="183" t="s">
        <v>390</v>
      </c>
      <c r="E587" s="203">
        <v>9</v>
      </c>
      <c r="F587" s="184">
        <f t="shared" si="8"/>
        <v>6300000</v>
      </c>
      <c r="G587" s="191">
        <f>IF(A587&lt;&gt;"", F587/ VLOOKUP(A587, 'Курс валют'!$A:$D, 4, 0), "")</f>
        <v>520.6611570247934</v>
      </c>
    </row>
    <row r="588" spans="1:7" outlineLevel="1" x14ac:dyDescent="0.45">
      <c r="A588" s="189">
        <v>46158</v>
      </c>
      <c r="B588" s="182" t="s">
        <v>330</v>
      </c>
      <c r="C588" s="183" t="s">
        <v>375</v>
      </c>
      <c r="D588" s="183" t="s">
        <v>390</v>
      </c>
      <c r="E588" s="203">
        <v>9</v>
      </c>
      <c r="F588" s="184">
        <f t="shared" si="8"/>
        <v>6300000</v>
      </c>
      <c r="G588" s="191">
        <f>IF(A588&lt;&gt;"", F588/ VLOOKUP(A588, 'Курс валют'!$A:$D, 4, 0), "")</f>
        <v>520.6611570247934</v>
      </c>
    </row>
    <row r="589" spans="1:7" outlineLevel="1" x14ac:dyDescent="0.45">
      <c r="A589" s="189">
        <v>46158</v>
      </c>
      <c r="B589" s="182" t="s">
        <v>330</v>
      </c>
      <c r="C589" s="183" t="s">
        <v>357</v>
      </c>
      <c r="D589" s="183" t="s">
        <v>390</v>
      </c>
      <c r="E589" s="203">
        <v>10</v>
      </c>
      <c r="F589" s="184">
        <f t="shared" si="8"/>
        <v>7000000</v>
      </c>
      <c r="G589" s="191">
        <f>IF(A589&lt;&gt;"", F589/ VLOOKUP(A589, 'Курс валют'!$A:$D, 4, 0), "")</f>
        <v>578.51239669421489</v>
      </c>
    </row>
    <row r="590" spans="1:7" outlineLevel="1" x14ac:dyDescent="0.45">
      <c r="A590" s="189">
        <v>46158</v>
      </c>
      <c r="B590" s="182" t="s">
        <v>330</v>
      </c>
      <c r="C590" s="183" t="s">
        <v>383</v>
      </c>
      <c r="D590" s="183" t="s">
        <v>390</v>
      </c>
      <c r="E590" s="203">
        <v>10</v>
      </c>
      <c r="F590" s="184">
        <f t="shared" si="8"/>
        <v>7000000</v>
      </c>
      <c r="G590" s="191">
        <f>IF(A590&lt;&gt;"", F590/ VLOOKUP(A590, 'Курс валют'!$A:$D, 4, 0), "")</f>
        <v>578.51239669421489</v>
      </c>
    </row>
    <row r="591" spans="1:7" outlineLevel="1" x14ac:dyDescent="0.45">
      <c r="A591" s="189">
        <v>46158</v>
      </c>
      <c r="B591" s="182" t="s">
        <v>330</v>
      </c>
      <c r="C591" s="183" t="s">
        <v>364</v>
      </c>
      <c r="D591" s="183" t="s">
        <v>390</v>
      </c>
      <c r="E591" s="203">
        <v>11</v>
      </c>
      <c r="F591" s="184">
        <f t="shared" si="8"/>
        <v>7700000</v>
      </c>
      <c r="G591" s="191">
        <f>IF(A591&lt;&gt;"", F591/ VLOOKUP(A591, 'Курс валют'!$A:$D, 4, 0), "")</f>
        <v>636.36363636363637</v>
      </c>
    </row>
    <row r="592" spans="1:7" outlineLevel="1" x14ac:dyDescent="0.45">
      <c r="A592" s="189">
        <v>46158</v>
      </c>
      <c r="B592" s="182" t="s">
        <v>330</v>
      </c>
      <c r="C592" s="183" t="s">
        <v>356</v>
      </c>
      <c r="D592" s="183" t="s">
        <v>390</v>
      </c>
      <c r="E592" s="203">
        <v>9</v>
      </c>
      <c r="F592" s="184">
        <f t="shared" si="8"/>
        <v>6300000</v>
      </c>
      <c r="G592" s="191">
        <f>IF(A592&lt;&gt;"", F592/ VLOOKUP(A592, 'Курс валют'!$A:$D, 4, 0), "")</f>
        <v>520.6611570247934</v>
      </c>
    </row>
    <row r="593" spans="1:7" outlineLevel="1" x14ac:dyDescent="0.45">
      <c r="A593" s="189">
        <v>46158</v>
      </c>
      <c r="B593" s="182" t="s">
        <v>330</v>
      </c>
      <c r="C593" s="183" t="s">
        <v>376</v>
      </c>
      <c r="D593" s="183" t="s">
        <v>390</v>
      </c>
      <c r="E593" s="203">
        <v>9</v>
      </c>
      <c r="F593" s="184">
        <f t="shared" si="8"/>
        <v>6300000</v>
      </c>
      <c r="G593" s="191">
        <f>IF(A593&lt;&gt;"", F593/ VLOOKUP(A593, 'Курс валют'!$A:$D, 4, 0), "")</f>
        <v>520.6611570247934</v>
      </c>
    </row>
    <row r="594" spans="1:7" outlineLevel="1" x14ac:dyDescent="0.45">
      <c r="A594" s="189">
        <v>46158</v>
      </c>
      <c r="B594" s="182" t="s">
        <v>330</v>
      </c>
      <c r="C594" s="183" t="s">
        <v>360</v>
      </c>
      <c r="D594" s="183" t="s">
        <v>390</v>
      </c>
      <c r="E594" s="203">
        <v>10</v>
      </c>
      <c r="F594" s="184">
        <f t="shared" si="8"/>
        <v>7000000</v>
      </c>
      <c r="G594" s="191">
        <f>IF(A594&lt;&gt;"", F594/ VLOOKUP(A594, 'Курс валют'!$A:$D, 4, 0), "")</f>
        <v>578.51239669421489</v>
      </c>
    </row>
    <row r="595" spans="1:7" outlineLevel="1" x14ac:dyDescent="0.45">
      <c r="A595" s="189">
        <v>46158</v>
      </c>
      <c r="B595" s="182" t="s">
        <v>330</v>
      </c>
      <c r="C595" s="183" t="s">
        <v>388</v>
      </c>
      <c r="D595" s="183" t="s">
        <v>390</v>
      </c>
      <c r="E595" s="203">
        <v>10</v>
      </c>
      <c r="F595" s="184">
        <f t="shared" si="8"/>
        <v>7000000</v>
      </c>
      <c r="G595" s="191">
        <f>IF(A595&lt;&gt;"", F595/ VLOOKUP(A595, 'Курс валют'!$A:$D, 4, 0), "")</f>
        <v>578.51239669421489</v>
      </c>
    </row>
    <row r="596" spans="1:7" outlineLevel="1" x14ac:dyDescent="0.45">
      <c r="A596" s="189">
        <v>46158</v>
      </c>
      <c r="B596" s="182" t="s">
        <v>330</v>
      </c>
      <c r="C596" s="183" t="s">
        <v>378</v>
      </c>
      <c r="D596" s="183" t="s">
        <v>390</v>
      </c>
      <c r="E596" s="203">
        <v>12</v>
      </c>
      <c r="F596" s="184">
        <f t="shared" si="8"/>
        <v>8400000</v>
      </c>
      <c r="G596" s="191">
        <f>IF(A596&lt;&gt;"", F596/ VLOOKUP(A596, 'Курс валют'!$A:$D, 4, 0), "")</f>
        <v>694.21487603305786</v>
      </c>
    </row>
    <row r="597" spans="1:7" outlineLevel="1" x14ac:dyDescent="0.45">
      <c r="A597" s="189">
        <v>46158</v>
      </c>
      <c r="B597" s="182" t="s">
        <v>330</v>
      </c>
      <c r="C597" s="183" t="s">
        <v>352</v>
      </c>
      <c r="D597" s="183" t="s">
        <v>390</v>
      </c>
      <c r="E597" s="203">
        <v>9</v>
      </c>
      <c r="F597" s="184">
        <f t="shared" si="8"/>
        <v>6300000</v>
      </c>
      <c r="G597" s="191">
        <f>IF(A597&lt;&gt;"", F597/ VLOOKUP(A597, 'Курс валют'!$A:$D, 4, 0), "")</f>
        <v>520.6611570247934</v>
      </c>
    </row>
    <row r="598" spans="1:7" outlineLevel="1" x14ac:dyDescent="0.45">
      <c r="A598" s="189">
        <v>46158</v>
      </c>
      <c r="B598" s="182" t="s">
        <v>330</v>
      </c>
      <c r="C598" s="183" t="s">
        <v>358</v>
      </c>
      <c r="D598" s="183" t="s">
        <v>390</v>
      </c>
      <c r="E598" s="203">
        <v>9</v>
      </c>
      <c r="F598" s="184">
        <f t="shared" si="8"/>
        <v>6300000</v>
      </c>
      <c r="G598" s="191">
        <f>IF(A598&lt;&gt;"", F598/ VLOOKUP(A598, 'Курс валют'!$A:$D, 4, 0), "")</f>
        <v>520.6611570247934</v>
      </c>
    </row>
    <row r="599" spans="1:7" outlineLevel="1" x14ac:dyDescent="0.45">
      <c r="A599" s="189">
        <v>46158</v>
      </c>
      <c r="B599" s="182" t="s">
        <v>330</v>
      </c>
      <c r="C599" s="183" t="s">
        <v>339</v>
      </c>
      <c r="D599" s="183" t="s">
        <v>390</v>
      </c>
      <c r="E599" s="203">
        <v>12</v>
      </c>
      <c r="F599" s="184">
        <f t="shared" si="8"/>
        <v>8400000</v>
      </c>
      <c r="G599" s="191">
        <f>IF(A599&lt;&gt;"", F599/ VLOOKUP(A599, 'Курс валют'!$A:$D, 4, 0), "")</f>
        <v>694.21487603305786</v>
      </c>
    </row>
    <row r="600" spans="1:7" outlineLevel="1" x14ac:dyDescent="0.45">
      <c r="A600" s="189">
        <v>46158</v>
      </c>
      <c r="B600" s="182" t="s">
        <v>330</v>
      </c>
      <c r="C600" s="183" t="s">
        <v>385</v>
      </c>
      <c r="D600" s="183" t="s">
        <v>390</v>
      </c>
      <c r="E600" s="203">
        <v>10</v>
      </c>
      <c r="F600" s="184">
        <f t="shared" si="8"/>
        <v>7000000</v>
      </c>
      <c r="G600" s="191">
        <f>IF(A600&lt;&gt;"", F600/ VLOOKUP(A600, 'Курс валют'!$A:$D, 4, 0), "")</f>
        <v>578.51239669421489</v>
      </c>
    </row>
    <row r="601" spans="1:7" outlineLevel="1" x14ac:dyDescent="0.45">
      <c r="A601" s="189">
        <v>46158</v>
      </c>
      <c r="B601" s="182" t="s">
        <v>330</v>
      </c>
      <c r="C601" s="183" t="s">
        <v>374</v>
      </c>
      <c r="D601" s="183" t="s">
        <v>390</v>
      </c>
      <c r="E601" s="203">
        <v>10</v>
      </c>
      <c r="F601" s="184">
        <f t="shared" si="8"/>
        <v>7000000</v>
      </c>
      <c r="G601" s="191">
        <f>IF(A601&lt;&gt;"", F601/ VLOOKUP(A601, 'Курс валют'!$A:$D, 4, 0), "")</f>
        <v>578.51239669421489</v>
      </c>
    </row>
    <row r="602" spans="1:7" outlineLevel="1" x14ac:dyDescent="0.45">
      <c r="A602" s="189">
        <v>46161</v>
      </c>
      <c r="B602" s="182" t="s">
        <v>330</v>
      </c>
      <c r="C602" s="183" t="s">
        <v>339</v>
      </c>
      <c r="D602" s="183" t="s">
        <v>390</v>
      </c>
      <c r="E602" s="203">
        <v>12</v>
      </c>
      <c r="F602" s="184">
        <f t="shared" si="8"/>
        <v>8400000</v>
      </c>
      <c r="G602" s="191">
        <f>IF(A602&lt;&gt;"", F602/ VLOOKUP(A602, 'Курс валют'!$A:$D, 4, 0), "")</f>
        <v>700</v>
      </c>
    </row>
    <row r="603" spans="1:7" outlineLevel="1" x14ac:dyDescent="0.45">
      <c r="A603" s="189">
        <v>46161</v>
      </c>
      <c r="B603" s="182" t="s">
        <v>330</v>
      </c>
      <c r="C603" s="183" t="s">
        <v>400</v>
      </c>
      <c r="D603" s="183" t="s">
        <v>390</v>
      </c>
      <c r="E603" s="203">
        <v>12</v>
      </c>
      <c r="F603" s="184">
        <f t="shared" si="8"/>
        <v>8400000</v>
      </c>
      <c r="G603" s="191">
        <f>IF(A603&lt;&gt;"", F603/ VLOOKUP(A603, 'Курс валют'!$A:$D, 4, 0), "")</f>
        <v>700</v>
      </c>
    </row>
    <row r="604" spans="1:7" outlineLevel="1" x14ac:dyDescent="0.45">
      <c r="A604" s="189">
        <v>46162</v>
      </c>
      <c r="B604" s="182" t="s">
        <v>330</v>
      </c>
      <c r="C604" s="183" t="s">
        <v>389</v>
      </c>
      <c r="D604" s="183" t="s">
        <v>390</v>
      </c>
      <c r="E604" s="203">
        <v>4</v>
      </c>
      <c r="F604" s="184">
        <f t="shared" si="8"/>
        <v>2800000</v>
      </c>
      <c r="G604" s="191">
        <f>IF(A604&lt;&gt;"", F604/ VLOOKUP(A604, 'Курс валют'!$A:$D, 4, 0), "")</f>
        <v>232.17247097844114</v>
      </c>
    </row>
    <row r="605" spans="1:7" outlineLevel="1" x14ac:dyDescent="0.45">
      <c r="A605" s="189">
        <v>46162</v>
      </c>
      <c r="B605" s="182" t="s">
        <v>330</v>
      </c>
      <c r="C605" s="183" t="s">
        <v>384</v>
      </c>
      <c r="D605" s="183" t="s">
        <v>390</v>
      </c>
      <c r="E605" s="203">
        <v>10</v>
      </c>
      <c r="F605" s="184">
        <f t="shared" si="8"/>
        <v>7000000</v>
      </c>
      <c r="G605" s="191">
        <f>IF(A605&lt;&gt;"", F605/ VLOOKUP(A605, 'Курс валют'!$A:$D, 4, 0), "")</f>
        <v>580.43117744610277</v>
      </c>
    </row>
    <row r="606" spans="1:7" outlineLevel="1" x14ac:dyDescent="0.45">
      <c r="A606" s="189">
        <v>46162</v>
      </c>
      <c r="B606" s="182" t="s">
        <v>330</v>
      </c>
      <c r="C606" s="183" t="s">
        <v>389</v>
      </c>
      <c r="D606" s="183" t="s">
        <v>390</v>
      </c>
      <c r="E606" s="203">
        <v>10</v>
      </c>
      <c r="F606" s="184">
        <f t="shared" si="8"/>
        <v>7000000</v>
      </c>
      <c r="G606" s="191">
        <f>IF(A606&lt;&gt;"", F606/ VLOOKUP(A606, 'Курс валют'!$A:$D, 4, 0), "")</f>
        <v>580.43117744610277</v>
      </c>
    </row>
    <row r="607" spans="1:7" outlineLevel="1" x14ac:dyDescent="0.45">
      <c r="A607" s="189">
        <v>46162</v>
      </c>
      <c r="B607" s="182" t="s">
        <v>330</v>
      </c>
      <c r="C607" s="183" t="s">
        <v>384</v>
      </c>
      <c r="D607" s="183" t="s">
        <v>390</v>
      </c>
      <c r="E607" s="203">
        <v>10</v>
      </c>
      <c r="F607" s="184">
        <f t="shared" ref="F607:F627" si="9">IF(D607="М400", E607*740000, IF(D607="M150", E607*600000, IF(D607="M300", E607*670000, IF(D607="M350", E607*700000, 0))))</f>
        <v>7000000</v>
      </c>
      <c r="G607" s="191">
        <f>IF(A607&lt;&gt;"", F607/ VLOOKUP(A607, 'Курс валют'!$A:$D, 4, 0), "")</f>
        <v>580.43117744610277</v>
      </c>
    </row>
    <row r="608" spans="1:7" outlineLevel="1" x14ac:dyDescent="0.45">
      <c r="A608" s="189">
        <v>46162</v>
      </c>
      <c r="B608" s="182" t="s">
        <v>330</v>
      </c>
      <c r="C608" s="183" t="s">
        <v>389</v>
      </c>
      <c r="D608" s="183" t="s">
        <v>390</v>
      </c>
      <c r="E608" s="203">
        <v>10</v>
      </c>
      <c r="F608" s="184">
        <f t="shared" si="9"/>
        <v>7000000</v>
      </c>
      <c r="G608" s="191">
        <f>IF(A608&lt;&gt;"", F608/ VLOOKUP(A608, 'Курс валют'!$A:$D, 4, 0), "")</f>
        <v>580.43117744610277</v>
      </c>
    </row>
    <row r="609" spans="1:7" outlineLevel="1" x14ac:dyDescent="0.45">
      <c r="A609" s="189">
        <v>46162</v>
      </c>
      <c r="B609" s="182" t="s">
        <v>330</v>
      </c>
      <c r="C609" s="183" t="s">
        <v>384</v>
      </c>
      <c r="D609" s="183" t="s">
        <v>390</v>
      </c>
      <c r="E609" s="203">
        <v>10</v>
      </c>
      <c r="F609" s="184">
        <f t="shared" si="9"/>
        <v>7000000</v>
      </c>
      <c r="G609" s="191">
        <f>IF(A609&lt;&gt;"", F609/ VLOOKUP(A609, 'Курс валют'!$A:$D, 4, 0), "")</f>
        <v>580.43117744610277</v>
      </c>
    </row>
    <row r="610" spans="1:7" outlineLevel="1" x14ac:dyDescent="0.45">
      <c r="A610" s="189">
        <v>46162</v>
      </c>
      <c r="B610" s="182" t="s">
        <v>330</v>
      </c>
      <c r="C610" s="183" t="s">
        <v>389</v>
      </c>
      <c r="D610" s="183" t="s">
        <v>390</v>
      </c>
      <c r="E610" s="203">
        <v>10</v>
      </c>
      <c r="F610" s="184">
        <f t="shared" si="9"/>
        <v>7000000</v>
      </c>
      <c r="G610" s="191">
        <f>IF(A610&lt;&gt;"", F610/ VLOOKUP(A610, 'Курс валют'!$A:$D, 4, 0), "")</f>
        <v>580.43117744610277</v>
      </c>
    </row>
    <row r="611" spans="1:7" outlineLevel="1" x14ac:dyDescent="0.45">
      <c r="A611" s="189">
        <v>46162</v>
      </c>
      <c r="B611" s="182" t="s">
        <v>330</v>
      </c>
      <c r="C611" s="183" t="s">
        <v>384</v>
      </c>
      <c r="D611" s="183" t="s">
        <v>390</v>
      </c>
      <c r="E611" s="203">
        <v>10</v>
      </c>
      <c r="F611" s="184">
        <f t="shared" si="9"/>
        <v>7000000</v>
      </c>
      <c r="G611" s="191">
        <f>IF(A611&lt;&gt;"", F611/ VLOOKUP(A611, 'Курс валют'!$A:$D, 4, 0), "")</f>
        <v>580.43117744610277</v>
      </c>
    </row>
    <row r="612" spans="1:7" outlineLevel="1" x14ac:dyDescent="0.45">
      <c r="A612" s="189">
        <v>46162</v>
      </c>
      <c r="B612" s="182" t="s">
        <v>330</v>
      </c>
      <c r="C612" s="183" t="s">
        <v>389</v>
      </c>
      <c r="D612" s="183" t="s">
        <v>390</v>
      </c>
      <c r="E612" s="203">
        <v>10</v>
      </c>
      <c r="F612" s="184">
        <f t="shared" si="9"/>
        <v>7000000</v>
      </c>
      <c r="G612" s="191">
        <f>IF(A612&lt;&gt;"", F612/ VLOOKUP(A612, 'Курс валют'!$A:$D, 4, 0), "")</f>
        <v>580.43117744610277</v>
      </c>
    </row>
    <row r="613" spans="1:7" outlineLevel="1" x14ac:dyDescent="0.45">
      <c r="A613" s="189">
        <v>46162</v>
      </c>
      <c r="B613" s="182" t="s">
        <v>330</v>
      </c>
      <c r="C613" s="183" t="s">
        <v>384</v>
      </c>
      <c r="D613" s="183" t="s">
        <v>390</v>
      </c>
      <c r="E613" s="203">
        <v>10</v>
      </c>
      <c r="F613" s="184">
        <f t="shared" si="9"/>
        <v>7000000</v>
      </c>
      <c r="G613" s="191">
        <f>IF(A613&lt;&gt;"", F613/ VLOOKUP(A613, 'Курс валют'!$A:$D, 4, 0), "")</f>
        <v>580.43117744610277</v>
      </c>
    </row>
    <row r="614" spans="1:7" outlineLevel="1" x14ac:dyDescent="0.45">
      <c r="A614" s="189">
        <v>46162</v>
      </c>
      <c r="B614" s="182" t="s">
        <v>330</v>
      </c>
      <c r="C614" s="183" t="s">
        <v>389</v>
      </c>
      <c r="D614" s="183" t="s">
        <v>390</v>
      </c>
      <c r="E614" s="203">
        <v>10</v>
      </c>
      <c r="F614" s="184">
        <f t="shared" si="9"/>
        <v>7000000</v>
      </c>
      <c r="G614" s="191">
        <f>IF(A614&lt;&gt;"", F614/ VLOOKUP(A614, 'Курс валют'!$A:$D, 4, 0), "")</f>
        <v>580.43117744610277</v>
      </c>
    </row>
    <row r="615" spans="1:7" outlineLevel="1" x14ac:dyDescent="0.45">
      <c r="A615" s="189">
        <v>46162</v>
      </c>
      <c r="B615" s="182" t="s">
        <v>330</v>
      </c>
      <c r="C615" s="183" t="s">
        <v>384</v>
      </c>
      <c r="D615" s="183" t="s">
        <v>390</v>
      </c>
      <c r="E615" s="203">
        <v>10</v>
      </c>
      <c r="F615" s="184">
        <f t="shared" si="9"/>
        <v>7000000</v>
      </c>
      <c r="G615" s="191">
        <f>IF(A615&lt;&gt;"", F615/ VLOOKUP(A615, 'Курс валют'!$A:$D, 4, 0), "")</f>
        <v>580.43117744610277</v>
      </c>
    </row>
    <row r="616" spans="1:7" outlineLevel="1" x14ac:dyDescent="0.45">
      <c r="A616" s="189">
        <v>46162</v>
      </c>
      <c r="B616" s="182" t="s">
        <v>330</v>
      </c>
      <c r="C616" s="183" t="s">
        <v>389</v>
      </c>
      <c r="D616" s="183" t="s">
        <v>390</v>
      </c>
      <c r="E616" s="203">
        <v>10</v>
      </c>
      <c r="F616" s="184">
        <f t="shared" si="9"/>
        <v>7000000</v>
      </c>
      <c r="G616" s="191">
        <f>IF(A616&lt;&gt;"", F616/ VLOOKUP(A616, 'Курс валют'!$A:$D, 4, 0), "")</f>
        <v>580.43117744610277</v>
      </c>
    </row>
    <row r="617" spans="1:7" outlineLevel="1" x14ac:dyDescent="0.45">
      <c r="A617" s="189">
        <v>46162</v>
      </c>
      <c r="B617" s="182" t="s">
        <v>330</v>
      </c>
      <c r="C617" s="183" t="s">
        <v>384</v>
      </c>
      <c r="D617" s="183" t="s">
        <v>390</v>
      </c>
      <c r="E617" s="203">
        <v>10</v>
      </c>
      <c r="F617" s="184">
        <f t="shared" si="9"/>
        <v>7000000</v>
      </c>
      <c r="G617" s="191">
        <f>IF(A617&lt;&gt;"", F617/ VLOOKUP(A617, 'Курс валют'!$A:$D, 4, 0), "")</f>
        <v>580.43117744610277</v>
      </c>
    </row>
    <row r="618" spans="1:7" outlineLevel="1" x14ac:dyDescent="0.45">
      <c r="A618" s="189">
        <v>46162</v>
      </c>
      <c r="B618" s="182" t="s">
        <v>330</v>
      </c>
      <c r="C618" s="183" t="s">
        <v>389</v>
      </c>
      <c r="D618" s="183" t="s">
        <v>390</v>
      </c>
      <c r="E618" s="203">
        <v>10</v>
      </c>
      <c r="F618" s="184">
        <f t="shared" si="9"/>
        <v>7000000</v>
      </c>
      <c r="G618" s="191">
        <f>IF(A618&lt;&gt;"", F618/ VLOOKUP(A618, 'Курс валют'!$A:$D, 4, 0), "")</f>
        <v>580.43117744610277</v>
      </c>
    </row>
    <row r="619" spans="1:7" outlineLevel="1" x14ac:dyDescent="0.45">
      <c r="A619" s="189">
        <v>46162</v>
      </c>
      <c r="B619" s="182" t="s">
        <v>330</v>
      </c>
      <c r="C619" s="183" t="s">
        <v>384</v>
      </c>
      <c r="D619" s="183" t="s">
        <v>390</v>
      </c>
      <c r="E619" s="203">
        <v>10</v>
      </c>
      <c r="F619" s="184">
        <f t="shared" si="9"/>
        <v>7000000</v>
      </c>
      <c r="G619" s="191">
        <f>IF(A619&lt;&gt;"", F619/ VLOOKUP(A619, 'Курс валют'!$A:$D, 4, 0), "")</f>
        <v>580.43117744610277</v>
      </c>
    </row>
    <row r="620" spans="1:7" outlineLevel="1" x14ac:dyDescent="0.45">
      <c r="A620" s="189">
        <v>46162</v>
      </c>
      <c r="B620" s="182" t="s">
        <v>330</v>
      </c>
      <c r="C620" s="183" t="s">
        <v>389</v>
      </c>
      <c r="D620" s="183" t="s">
        <v>390</v>
      </c>
      <c r="E620" s="203">
        <v>10</v>
      </c>
      <c r="F620" s="184">
        <f t="shared" si="9"/>
        <v>7000000</v>
      </c>
      <c r="G620" s="191">
        <f>IF(A620&lt;&gt;"", F620/ VLOOKUP(A620, 'Курс валют'!$A:$D, 4, 0), "")</f>
        <v>580.43117744610277</v>
      </c>
    </row>
    <row r="621" spans="1:7" outlineLevel="1" x14ac:dyDescent="0.45">
      <c r="A621" s="189">
        <v>46163</v>
      </c>
      <c r="B621" s="182" t="s">
        <v>330</v>
      </c>
      <c r="C621" s="183" t="s">
        <v>359</v>
      </c>
      <c r="D621" s="183" t="s">
        <v>390</v>
      </c>
      <c r="E621" s="203">
        <v>12</v>
      </c>
      <c r="F621" s="184">
        <f t="shared" si="9"/>
        <v>8400000</v>
      </c>
      <c r="G621" s="191">
        <f>IF(A621&lt;&gt;"", F621/ VLOOKUP(A621, 'Курс валют'!$A:$D, 4, 0), "")</f>
        <v>692.49793899422923</v>
      </c>
    </row>
    <row r="622" spans="1:7" outlineLevel="1" x14ac:dyDescent="0.45">
      <c r="A622" s="189">
        <v>46164</v>
      </c>
      <c r="B622" s="182" t="s">
        <v>330</v>
      </c>
      <c r="C622" s="183" t="s">
        <v>380</v>
      </c>
      <c r="D622" s="183" t="s">
        <v>390</v>
      </c>
      <c r="E622" s="203">
        <v>12</v>
      </c>
      <c r="F622" s="184">
        <f t="shared" si="9"/>
        <v>8400000</v>
      </c>
      <c r="G622" s="191" t="e">
        <f>IF(A622&lt;&gt;"", F622/ VLOOKUP(A622, 'Курс валют'!$A:$D, 4, 0), "")</f>
        <v>#DIV/0!</v>
      </c>
    </row>
    <row r="623" spans="1:7" outlineLevel="1" x14ac:dyDescent="0.45">
      <c r="A623" s="189">
        <v>46165</v>
      </c>
      <c r="B623" s="182" t="s">
        <v>330</v>
      </c>
      <c r="C623" s="183" t="s">
        <v>382</v>
      </c>
      <c r="D623" s="183" t="s">
        <v>390</v>
      </c>
      <c r="E623" s="203">
        <v>10</v>
      </c>
      <c r="F623" s="184">
        <f t="shared" si="9"/>
        <v>7000000</v>
      </c>
      <c r="G623" s="191" t="e">
        <f>IF(A623&lt;&gt;"", F623/ VLOOKUP(A623, 'Курс валют'!$A:$D, 4, 0), "")</f>
        <v>#DIV/0!</v>
      </c>
    </row>
    <row r="624" spans="1:7" outlineLevel="1" x14ac:dyDescent="0.45">
      <c r="A624" s="189">
        <v>46165</v>
      </c>
      <c r="B624" s="182" t="s">
        <v>330</v>
      </c>
      <c r="C624" s="183" t="s">
        <v>334</v>
      </c>
      <c r="D624" s="183" t="s">
        <v>390</v>
      </c>
      <c r="E624" s="203">
        <v>10</v>
      </c>
      <c r="F624" s="184">
        <f t="shared" si="9"/>
        <v>7000000</v>
      </c>
      <c r="G624" s="191" t="e">
        <f>IF(A624&lt;&gt;"", F624/ VLOOKUP(A624, 'Курс валют'!$A:$D, 4, 0), "")</f>
        <v>#DIV/0!</v>
      </c>
    </row>
    <row r="625" spans="1:7" outlineLevel="1" x14ac:dyDescent="0.45">
      <c r="A625" s="189">
        <v>46168</v>
      </c>
      <c r="B625" s="182" t="s">
        <v>330</v>
      </c>
      <c r="C625" s="183" t="s">
        <v>354</v>
      </c>
      <c r="D625" s="183" t="s">
        <v>390</v>
      </c>
      <c r="E625" s="203">
        <v>7</v>
      </c>
      <c r="F625" s="184">
        <f t="shared" si="9"/>
        <v>4900000</v>
      </c>
      <c r="G625" s="191" t="e">
        <f>IF(A625&lt;&gt;"", F625/ VLOOKUP(A625, 'Курс валют'!$A:$D, 4, 0), "")</f>
        <v>#DIV/0!</v>
      </c>
    </row>
    <row r="626" spans="1:7" outlineLevel="1" x14ac:dyDescent="0.45">
      <c r="A626" s="189">
        <v>46168</v>
      </c>
      <c r="B626" s="182" t="s">
        <v>330</v>
      </c>
      <c r="C626" s="183" t="s">
        <v>384</v>
      </c>
      <c r="D626" s="183" t="s">
        <v>390</v>
      </c>
      <c r="E626" s="203">
        <v>7</v>
      </c>
      <c r="F626" s="184">
        <f t="shared" si="9"/>
        <v>4900000</v>
      </c>
      <c r="G626" s="191" t="e">
        <f>IF(A626&lt;&gt;"", F626/ VLOOKUP(A626, 'Курс валют'!$A:$D, 4, 0), "")</f>
        <v>#DIV/0!</v>
      </c>
    </row>
    <row r="627" spans="1:7" outlineLevel="1" x14ac:dyDescent="0.45">
      <c r="A627" s="189">
        <v>46168</v>
      </c>
      <c r="B627" s="182" t="s">
        <v>330</v>
      </c>
      <c r="C627" s="183" t="s">
        <v>360</v>
      </c>
      <c r="D627" s="183" t="s">
        <v>390</v>
      </c>
      <c r="E627" s="203">
        <v>10</v>
      </c>
      <c r="F627" s="184">
        <f t="shared" si="9"/>
        <v>7000000</v>
      </c>
      <c r="G627" s="191" t="e">
        <f>IF(A627&lt;&gt;"", F627/ VLOOKUP(A627, 'Курс валют'!$A:$D, 4, 0), "")</f>
        <v>#DIV/0!</v>
      </c>
    </row>
    <row r="628" spans="1:7" outlineLevel="1" x14ac:dyDescent="0.45">
      <c r="A628" s="189">
        <v>46168</v>
      </c>
      <c r="B628" s="182" t="s">
        <v>330</v>
      </c>
      <c r="C628" s="183" t="s">
        <v>331</v>
      </c>
      <c r="D628" s="183" t="s">
        <v>390</v>
      </c>
      <c r="E628" s="203">
        <v>9</v>
      </c>
      <c r="F628" s="184">
        <f t="shared" ref="F628:F691" si="10">IF(D628="М400", E628*740000, IF(D628="M150", E628*600000, IF(D628="M300", E628*670000, IF(D628="M350", E628*700000, 0))))</f>
        <v>6300000</v>
      </c>
      <c r="G628" s="191" t="e">
        <f>IF(A628&lt;&gt;"", F628/ VLOOKUP(A628, 'Курс валют'!$A:$D, 4, 0), "")</f>
        <v>#DIV/0!</v>
      </c>
    </row>
    <row r="629" spans="1:7" outlineLevel="1" x14ac:dyDescent="0.45">
      <c r="A629" s="189">
        <v>46168</v>
      </c>
      <c r="B629" s="182" t="s">
        <v>330</v>
      </c>
      <c r="C629" s="183" t="s">
        <v>359</v>
      </c>
      <c r="D629" s="183" t="s">
        <v>390</v>
      </c>
      <c r="E629" s="203">
        <v>12</v>
      </c>
      <c r="F629" s="184">
        <f t="shared" si="10"/>
        <v>8400000</v>
      </c>
      <c r="G629" s="191" t="e">
        <f>IF(A629&lt;&gt;"", F629/ VLOOKUP(A629, 'Курс валют'!$A:$D, 4, 0), "")</f>
        <v>#DIV/0!</v>
      </c>
    </row>
    <row r="630" spans="1:7" outlineLevel="1" x14ac:dyDescent="0.45">
      <c r="A630" s="189">
        <v>46168</v>
      </c>
      <c r="B630" s="182" t="s">
        <v>330</v>
      </c>
      <c r="C630" s="183" t="s">
        <v>355</v>
      </c>
      <c r="D630" s="183" t="s">
        <v>390</v>
      </c>
      <c r="E630" s="203">
        <v>10</v>
      </c>
      <c r="F630" s="184">
        <f t="shared" si="10"/>
        <v>7000000</v>
      </c>
      <c r="G630" s="191" t="e">
        <f>IF(A630&lt;&gt;"", F630/ VLOOKUP(A630, 'Курс валют'!$A:$D, 4, 0), "")</f>
        <v>#DIV/0!</v>
      </c>
    </row>
    <row r="631" spans="1:7" outlineLevel="1" x14ac:dyDescent="0.45">
      <c r="A631" s="189">
        <v>46168</v>
      </c>
      <c r="B631" s="182" t="s">
        <v>330</v>
      </c>
      <c r="C631" s="183" t="s">
        <v>378</v>
      </c>
      <c r="D631" s="183" t="s">
        <v>390</v>
      </c>
      <c r="E631" s="203">
        <v>12</v>
      </c>
      <c r="F631" s="184">
        <f t="shared" si="10"/>
        <v>8400000</v>
      </c>
      <c r="G631" s="191" t="e">
        <f>IF(A631&lt;&gt;"", F631/ VLOOKUP(A631, 'Курс валют'!$A:$D, 4, 0), "")</f>
        <v>#DIV/0!</v>
      </c>
    </row>
    <row r="632" spans="1:7" outlineLevel="1" x14ac:dyDescent="0.45">
      <c r="A632" s="189">
        <v>46168</v>
      </c>
      <c r="B632" s="182" t="s">
        <v>330</v>
      </c>
      <c r="C632" s="183" t="s">
        <v>381</v>
      </c>
      <c r="D632" s="183" t="s">
        <v>390</v>
      </c>
      <c r="E632" s="203">
        <v>9</v>
      </c>
      <c r="F632" s="184">
        <f t="shared" si="10"/>
        <v>6300000</v>
      </c>
      <c r="G632" s="191" t="e">
        <f>IF(A632&lt;&gt;"", F632/ VLOOKUP(A632, 'Курс валют'!$A:$D, 4, 0), "")</f>
        <v>#DIV/0!</v>
      </c>
    </row>
    <row r="633" spans="1:7" outlineLevel="1" x14ac:dyDescent="0.45">
      <c r="A633" s="189">
        <v>46168</v>
      </c>
      <c r="B633" s="182" t="s">
        <v>330</v>
      </c>
      <c r="C633" s="183" t="s">
        <v>374</v>
      </c>
      <c r="D633" s="183" t="s">
        <v>390</v>
      </c>
      <c r="E633" s="203">
        <v>10</v>
      </c>
      <c r="F633" s="184">
        <f t="shared" si="10"/>
        <v>7000000</v>
      </c>
      <c r="G633" s="191" t="e">
        <f>IF(A633&lt;&gt;"", F633/ VLOOKUP(A633, 'Курс валют'!$A:$D, 4, 0), "")</f>
        <v>#DIV/0!</v>
      </c>
    </row>
    <row r="634" spans="1:7" outlineLevel="1" x14ac:dyDescent="0.45">
      <c r="A634" s="189">
        <v>46168</v>
      </c>
      <c r="B634" s="182" t="s">
        <v>330</v>
      </c>
      <c r="C634" s="183" t="s">
        <v>349</v>
      </c>
      <c r="D634" s="183" t="s">
        <v>390</v>
      </c>
      <c r="E634" s="203">
        <v>12</v>
      </c>
      <c r="F634" s="184">
        <f t="shared" si="10"/>
        <v>8400000</v>
      </c>
      <c r="G634" s="191" t="e">
        <f>IF(A634&lt;&gt;"", F634/ VLOOKUP(A634, 'Курс валют'!$A:$D, 4, 0), "")</f>
        <v>#DIV/0!</v>
      </c>
    </row>
    <row r="635" spans="1:7" outlineLevel="1" x14ac:dyDescent="0.45">
      <c r="A635" s="189">
        <v>46168</v>
      </c>
      <c r="B635" s="182" t="s">
        <v>330</v>
      </c>
      <c r="C635" s="183" t="s">
        <v>380</v>
      </c>
      <c r="D635" s="183" t="s">
        <v>390</v>
      </c>
      <c r="E635" s="203">
        <v>12</v>
      </c>
      <c r="F635" s="184">
        <f t="shared" si="10"/>
        <v>8400000</v>
      </c>
      <c r="G635" s="191" t="e">
        <f>IF(A635&lt;&gt;"", F635/ VLOOKUP(A635, 'Курс валют'!$A:$D, 4, 0), "")</f>
        <v>#DIV/0!</v>
      </c>
    </row>
    <row r="636" spans="1:7" outlineLevel="1" x14ac:dyDescent="0.45">
      <c r="A636" s="189">
        <v>46168</v>
      </c>
      <c r="B636" s="182" t="s">
        <v>330</v>
      </c>
      <c r="C636" s="183" t="s">
        <v>339</v>
      </c>
      <c r="D636" s="183" t="s">
        <v>390</v>
      </c>
      <c r="E636" s="203">
        <v>12</v>
      </c>
      <c r="F636" s="184">
        <f t="shared" si="10"/>
        <v>8400000</v>
      </c>
      <c r="G636" s="191" t="e">
        <f>IF(A636&lt;&gt;"", F636/ VLOOKUP(A636, 'Курс валют'!$A:$D, 4, 0), "")</f>
        <v>#DIV/0!</v>
      </c>
    </row>
    <row r="637" spans="1:7" outlineLevel="1" x14ac:dyDescent="0.45">
      <c r="A637" s="189">
        <v>46168</v>
      </c>
      <c r="B637" s="182" t="s">
        <v>330</v>
      </c>
      <c r="C637" s="183" t="s">
        <v>385</v>
      </c>
      <c r="D637" s="183" t="s">
        <v>390</v>
      </c>
      <c r="E637" s="203">
        <v>10</v>
      </c>
      <c r="F637" s="184">
        <f t="shared" si="10"/>
        <v>7000000</v>
      </c>
      <c r="G637" s="191" t="e">
        <f>IF(A637&lt;&gt;"", F637/ VLOOKUP(A637, 'Курс валют'!$A:$D, 4, 0), "")</f>
        <v>#DIV/0!</v>
      </c>
    </row>
    <row r="638" spans="1:7" outlineLevel="1" x14ac:dyDescent="0.45">
      <c r="A638" s="189">
        <v>46168</v>
      </c>
      <c r="B638" s="182" t="s">
        <v>330</v>
      </c>
      <c r="C638" s="183" t="s">
        <v>389</v>
      </c>
      <c r="D638" s="183" t="s">
        <v>390</v>
      </c>
      <c r="E638" s="203">
        <v>10</v>
      </c>
      <c r="F638" s="184">
        <f t="shared" si="10"/>
        <v>7000000</v>
      </c>
      <c r="G638" s="191" t="e">
        <f>IF(A638&lt;&gt;"", F638/ VLOOKUP(A638, 'Курс валют'!$A:$D, 4, 0), "")</f>
        <v>#DIV/0!</v>
      </c>
    </row>
    <row r="639" spans="1:7" outlineLevel="1" x14ac:dyDescent="0.45">
      <c r="A639" s="189">
        <v>46168</v>
      </c>
      <c r="B639" s="182" t="s">
        <v>330</v>
      </c>
      <c r="C639" s="183" t="s">
        <v>384</v>
      </c>
      <c r="D639" s="183" t="s">
        <v>390</v>
      </c>
      <c r="E639" s="203">
        <v>10</v>
      </c>
      <c r="F639" s="184">
        <f t="shared" si="10"/>
        <v>7000000</v>
      </c>
      <c r="G639" s="191" t="e">
        <f>IF(A639&lt;&gt;"", F639/ VLOOKUP(A639, 'Курс валют'!$A:$D, 4, 0), "")</f>
        <v>#DIV/0!</v>
      </c>
    </row>
    <row r="640" spans="1:7" outlineLevel="1" x14ac:dyDescent="0.45">
      <c r="A640" s="189">
        <v>46168</v>
      </c>
      <c r="B640" s="182" t="s">
        <v>330</v>
      </c>
      <c r="C640" s="183" t="s">
        <v>351</v>
      </c>
      <c r="D640" s="183" t="s">
        <v>390</v>
      </c>
      <c r="E640" s="203">
        <v>12</v>
      </c>
      <c r="F640" s="184">
        <f t="shared" si="10"/>
        <v>8400000</v>
      </c>
      <c r="G640" s="191" t="e">
        <f>IF(A640&lt;&gt;"", F640/ VLOOKUP(A640, 'Курс валют'!$A:$D, 4, 0), "")</f>
        <v>#DIV/0!</v>
      </c>
    </row>
    <row r="641" spans="1:7" outlineLevel="1" x14ac:dyDescent="0.45">
      <c r="A641" s="189">
        <v>46168</v>
      </c>
      <c r="B641" s="182" t="s">
        <v>330</v>
      </c>
      <c r="C641" s="183" t="s">
        <v>378</v>
      </c>
      <c r="D641" s="183" t="s">
        <v>390</v>
      </c>
      <c r="E641" s="203">
        <v>12</v>
      </c>
      <c r="F641" s="184">
        <f t="shared" si="10"/>
        <v>8400000</v>
      </c>
      <c r="G641" s="191" t="e">
        <f>IF(A641&lt;&gt;"", F641/ VLOOKUP(A641, 'Курс валют'!$A:$D, 4, 0), "")</f>
        <v>#DIV/0!</v>
      </c>
    </row>
    <row r="642" spans="1:7" outlineLevel="1" x14ac:dyDescent="0.45">
      <c r="A642" s="189">
        <v>46168</v>
      </c>
      <c r="B642" s="182" t="s">
        <v>330</v>
      </c>
      <c r="C642" s="183" t="s">
        <v>356</v>
      </c>
      <c r="D642" s="183" t="s">
        <v>390</v>
      </c>
      <c r="E642" s="203">
        <v>9</v>
      </c>
      <c r="F642" s="184">
        <f t="shared" si="10"/>
        <v>6300000</v>
      </c>
      <c r="G642" s="191" t="e">
        <f>IF(A642&lt;&gt;"", F642/ VLOOKUP(A642, 'Курс валют'!$A:$D, 4, 0), "")</f>
        <v>#DIV/0!</v>
      </c>
    </row>
    <row r="643" spans="1:7" outlineLevel="1" x14ac:dyDescent="0.45">
      <c r="A643" s="189">
        <v>46171</v>
      </c>
      <c r="B643" s="182" t="s">
        <v>330</v>
      </c>
      <c r="C643" s="183" t="s">
        <v>400</v>
      </c>
      <c r="D643" s="183" t="s">
        <v>390</v>
      </c>
      <c r="E643" s="203">
        <v>11</v>
      </c>
      <c r="F643" s="184">
        <f t="shared" si="10"/>
        <v>7700000</v>
      </c>
      <c r="G643" s="191" t="e">
        <f>IF(A643&lt;&gt;"", F643/ VLOOKUP(A643, 'Курс валют'!$A:$D, 4, 0), "")</f>
        <v>#DIV/0!</v>
      </c>
    </row>
    <row r="644" spans="1:7" outlineLevel="1" x14ac:dyDescent="0.45">
      <c r="A644" s="189">
        <v>46173</v>
      </c>
      <c r="B644" s="182" t="s">
        <v>330</v>
      </c>
      <c r="C644" s="183" t="s">
        <v>883</v>
      </c>
      <c r="D644" s="183" t="s">
        <v>390</v>
      </c>
      <c r="E644" s="203">
        <v>10</v>
      </c>
      <c r="F644" s="184">
        <f t="shared" si="10"/>
        <v>7000000</v>
      </c>
      <c r="G644" s="191" t="e">
        <f>IF(A644&lt;&gt;"", F644/ VLOOKUP(A644, 'Курс валют'!$A:$D, 4, 0), "")</f>
        <v>#DIV/0!</v>
      </c>
    </row>
    <row r="645" spans="1:7" outlineLevel="1" x14ac:dyDescent="0.45">
      <c r="A645" s="189">
        <v>46175</v>
      </c>
      <c r="B645" s="182" t="s">
        <v>330</v>
      </c>
      <c r="C645" s="183" t="s">
        <v>371</v>
      </c>
      <c r="D645" s="183" t="s">
        <v>390</v>
      </c>
      <c r="E645" s="203">
        <v>9</v>
      </c>
      <c r="F645" s="184">
        <f t="shared" si="10"/>
        <v>6300000</v>
      </c>
      <c r="G645" s="191" t="e">
        <f>IF(A645&lt;&gt;"", F645/ VLOOKUP(A645, 'Курс валют'!$A:$D, 4, 0), "")</f>
        <v>#DIV/0!</v>
      </c>
    </row>
    <row r="646" spans="1:7" outlineLevel="1" x14ac:dyDescent="0.45">
      <c r="A646" s="189">
        <v>46175</v>
      </c>
      <c r="B646" s="182" t="s">
        <v>330</v>
      </c>
      <c r="C646" s="183" t="s">
        <v>371</v>
      </c>
      <c r="D646" s="183" t="s">
        <v>390</v>
      </c>
      <c r="E646" s="203">
        <v>9</v>
      </c>
      <c r="F646" s="184">
        <f t="shared" si="10"/>
        <v>6300000</v>
      </c>
      <c r="G646" s="191" t="e">
        <f>IF(A646&lt;&gt;"", F646/ VLOOKUP(A646, 'Курс валют'!$A:$D, 4, 0), "")</f>
        <v>#DIV/0!</v>
      </c>
    </row>
    <row r="647" spans="1:7" outlineLevel="1" x14ac:dyDescent="0.45">
      <c r="A647" s="189">
        <v>46175</v>
      </c>
      <c r="B647" s="182" t="s">
        <v>330</v>
      </c>
      <c r="C647" s="183" t="s">
        <v>371</v>
      </c>
      <c r="D647" s="183" t="s">
        <v>390</v>
      </c>
      <c r="E647" s="203">
        <v>9</v>
      </c>
      <c r="F647" s="184">
        <f t="shared" si="10"/>
        <v>6300000</v>
      </c>
      <c r="G647" s="191" t="e">
        <f>IF(A647&lt;&gt;"", F647/ VLOOKUP(A647, 'Курс валют'!$A:$D, 4, 0), "")</f>
        <v>#DIV/0!</v>
      </c>
    </row>
    <row r="648" spans="1:7" outlineLevel="1" x14ac:dyDescent="0.45">
      <c r="A648" s="189">
        <v>46175</v>
      </c>
      <c r="B648" s="182" t="s">
        <v>330</v>
      </c>
      <c r="C648" s="183" t="s">
        <v>337</v>
      </c>
      <c r="D648" s="183" t="s">
        <v>390</v>
      </c>
      <c r="E648" s="203">
        <v>10</v>
      </c>
      <c r="F648" s="184">
        <f t="shared" si="10"/>
        <v>7000000</v>
      </c>
      <c r="G648" s="191" t="e">
        <f>IF(A648&lt;&gt;"", F648/ VLOOKUP(A648, 'Курс валют'!$A:$D, 4, 0), "")</f>
        <v>#DIV/0!</v>
      </c>
    </row>
    <row r="649" spans="1:7" outlineLevel="1" x14ac:dyDescent="0.45">
      <c r="A649" s="189">
        <v>46175</v>
      </c>
      <c r="B649" s="182" t="s">
        <v>330</v>
      </c>
      <c r="C649" s="183" t="s">
        <v>371</v>
      </c>
      <c r="D649" s="616" t="s">
        <v>390</v>
      </c>
      <c r="E649" s="617">
        <v>9</v>
      </c>
      <c r="F649" s="184">
        <f t="shared" si="10"/>
        <v>6300000</v>
      </c>
      <c r="G649" s="191" t="e">
        <f>IF(A649&lt;&gt;"", F649/ VLOOKUP(A649, 'Курс валют'!$A:$D, 4, 0), "")</f>
        <v>#DIV/0!</v>
      </c>
    </row>
    <row r="650" spans="1:7" outlineLevel="1" x14ac:dyDescent="0.45">
      <c r="A650" s="189">
        <v>46175</v>
      </c>
      <c r="B650" s="182" t="s">
        <v>330</v>
      </c>
      <c r="C650" s="183" t="s">
        <v>367</v>
      </c>
      <c r="D650" s="183" t="s">
        <v>390</v>
      </c>
      <c r="E650" s="203">
        <v>10</v>
      </c>
      <c r="F650" s="184">
        <f t="shared" si="10"/>
        <v>7000000</v>
      </c>
      <c r="G650" s="191" t="e">
        <f>IF(A650&lt;&gt;"", F650/ VLOOKUP(A650, 'Курс валют'!$A:$D, 4, 0), "")</f>
        <v>#DIV/0!</v>
      </c>
    </row>
    <row r="651" spans="1:7" outlineLevel="1" x14ac:dyDescent="0.45">
      <c r="A651" s="189">
        <v>46175</v>
      </c>
      <c r="B651" s="182" t="s">
        <v>330</v>
      </c>
      <c r="C651" s="183" t="s">
        <v>336</v>
      </c>
      <c r="D651" s="183" t="s">
        <v>390</v>
      </c>
      <c r="E651" s="203">
        <v>10</v>
      </c>
      <c r="F651" s="184">
        <f t="shared" si="10"/>
        <v>7000000</v>
      </c>
      <c r="G651" s="191" t="e">
        <f>IF(A651&lt;&gt;"", F651/ VLOOKUP(A651, 'Курс валют'!$A:$D, 4, 0), "")</f>
        <v>#DIV/0!</v>
      </c>
    </row>
    <row r="652" spans="1:7" outlineLevel="1" x14ac:dyDescent="0.45">
      <c r="A652" s="189">
        <v>46175</v>
      </c>
      <c r="B652" s="182" t="s">
        <v>330</v>
      </c>
      <c r="C652" s="183" t="s">
        <v>383</v>
      </c>
      <c r="D652" s="183" t="s">
        <v>390</v>
      </c>
      <c r="E652" s="203">
        <v>10</v>
      </c>
      <c r="F652" s="184">
        <f t="shared" si="10"/>
        <v>7000000</v>
      </c>
      <c r="G652" s="191" t="e">
        <f>IF(A652&lt;&gt;"", F652/ VLOOKUP(A652, 'Курс валют'!$A:$D, 4, 0), "")</f>
        <v>#DIV/0!</v>
      </c>
    </row>
    <row r="653" spans="1:7" outlineLevel="1" x14ac:dyDescent="0.45">
      <c r="A653" s="189">
        <v>46175</v>
      </c>
      <c r="B653" s="182" t="s">
        <v>330</v>
      </c>
      <c r="C653" s="183" t="s">
        <v>389</v>
      </c>
      <c r="D653" s="183" t="s">
        <v>390</v>
      </c>
      <c r="E653" s="203">
        <v>10</v>
      </c>
      <c r="F653" s="184">
        <f t="shared" si="10"/>
        <v>7000000</v>
      </c>
      <c r="G653" s="191" t="e">
        <f>IF(A653&lt;&gt;"", F653/ VLOOKUP(A653, 'Курс валют'!$A:$D, 4, 0), "")</f>
        <v>#DIV/0!</v>
      </c>
    </row>
    <row r="654" spans="1:7" outlineLevel="1" x14ac:dyDescent="0.45">
      <c r="A654" s="189">
        <v>46175</v>
      </c>
      <c r="B654" s="182" t="s">
        <v>330</v>
      </c>
      <c r="C654" s="183" t="s">
        <v>336</v>
      </c>
      <c r="D654" s="183" t="s">
        <v>390</v>
      </c>
      <c r="E654" s="203">
        <v>10</v>
      </c>
      <c r="F654" s="184">
        <f t="shared" si="10"/>
        <v>7000000</v>
      </c>
      <c r="G654" s="191" t="e">
        <f>IF(A654&lt;&gt;"", F654/ VLOOKUP(A654, 'Курс валют'!$A:$D, 4, 0), "")</f>
        <v>#DIV/0!</v>
      </c>
    </row>
    <row r="655" spans="1:7" outlineLevel="1" x14ac:dyDescent="0.45">
      <c r="A655" s="189">
        <v>46175</v>
      </c>
      <c r="B655" s="182" t="s">
        <v>330</v>
      </c>
      <c r="C655" s="183" t="s">
        <v>383</v>
      </c>
      <c r="D655" s="183" t="s">
        <v>390</v>
      </c>
      <c r="E655" s="203">
        <v>10</v>
      </c>
      <c r="F655" s="184">
        <f t="shared" si="10"/>
        <v>7000000</v>
      </c>
      <c r="G655" s="191" t="e">
        <f>IF(A655&lt;&gt;"", F655/ VLOOKUP(A655, 'Курс валют'!$A:$D, 4, 0), "")</f>
        <v>#DIV/0!</v>
      </c>
    </row>
    <row r="656" spans="1:7" outlineLevel="1" x14ac:dyDescent="0.45">
      <c r="A656" s="189">
        <v>46175</v>
      </c>
      <c r="B656" s="182" t="s">
        <v>330</v>
      </c>
      <c r="C656" s="183" t="s">
        <v>389</v>
      </c>
      <c r="D656" s="183" t="s">
        <v>390</v>
      </c>
      <c r="E656" s="203">
        <v>10</v>
      </c>
      <c r="F656" s="184">
        <f t="shared" si="10"/>
        <v>7000000</v>
      </c>
      <c r="G656" s="191" t="e">
        <f>IF(A656&lt;&gt;"", F656/ VLOOKUP(A656, 'Курс валют'!$A:$D, 4, 0), "")</f>
        <v>#DIV/0!</v>
      </c>
    </row>
    <row r="657" spans="1:7" outlineLevel="1" x14ac:dyDescent="0.45">
      <c r="A657" s="189">
        <v>46175</v>
      </c>
      <c r="B657" s="182" t="s">
        <v>330</v>
      </c>
      <c r="C657" s="183" t="s">
        <v>389</v>
      </c>
      <c r="D657" s="183" t="s">
        <v>390</v>
      </c>
      <c r="E657" s="203">
        <v>10</v>
      </c>
      <c r="F657" s="184">
        <f t="shared" si="10"/>
        <v>7000000</v>
      </c>
      <c r="G657" s="191" t="e">
        <f>IF(A657&lt;&gt;"", F657/ VLOOKUP(A657, 'Курс валют'!$A:$D, 4, 0), "")</f>
        <v>#DIV/0!</v>
      </c>
    </row>
    <row r="658" spans="1:7" outlineLevel="1" x14ac:dyDescent="0.45">
      <c r="A658" s="189">
        <v>46175</v>
      </c>
      <c r="B658" s="182" t="s">
        <v>330</v>
      </c>
      <c r="C658" s="183" t="s">
        <v>336</v>
      </c>
      <c r="D658" s="183" t="s">
        <v>390</v>
      </c>
      <c r="E658" s="203">
        <v>10</v>
      </c>
      <c r="F658" s="184">
        <f t="shared" si="10"/>
        <v>7000000</v>
      </c>
      <c r="G658" s="191" t="e">
        <f>IF(A658&lt;&gt;"", F658/ VLOOKUP(A658, 'Курс валют'!$A:$D, 4, 0), "")</f>
        <v>#DIV/0!</v>
      </c>
    </row>
    <row r="659" spans="1:7" outlineLevel="1" x14ac:dyDescent="0.45">
      <c r="A659" s="189">
        <v>46175</v>
      </c>
      <c r="B659" s="182" t="s">
        <v>330</v>
      </c>
      <c r="C659" s="183" t="s">
        <v>383</v>
      </c>
      <c r="D659" s="183" t="s">
        <v>390</v>
      </c>
      <c r="E659" s="203">
        <v>10</v>
      </c>
      <c r="F659" s="184">
        <f t="shared" si="10"/>
        <v>7000000</v>
      </c>
      <c r="G659" s="191" t="e">
        <f>IF(A659&lt;&gt;"", F659/ VLOOKUP(A659, 'Курс валют'!$A:$D, 4, 0), "")</f>
        <v>#DIV/0!</v>
      </c>
    </row>
    <row r="660" spans="1:7" outlineLevel="1" x14ac:dyDescent="0.45">
      <c r="A660" s="189">
        <v>46175</v>
      </c>
      <c r="B660" s="182" t="s">
        <v>330</v>
      </c>
      <c r="C660" s="183" t="s">
        <v>389</v>
      </c>
      <c r="D660" s="183" t="s">
        <v>390</v>
      </c>
      <c r="E660" s="203">
        <v>10</v>
      </c>
      <c r="F660" s="184">
        <f t="shared" si="10"/>
        <v>7000000</v>
      </c>
      <c r="G660" s="191" t="e">
        <f>IF(A660&lt;&gt;"", F660/ VLOOKUP(A660, 'Курс валют'!$A:$D, 4, 0), "")</f>
        <v>#DIV/0!</v>
      </c>
    </row>
    <row r="661" spans="1:7" outlineLevel="1" x14ac:dyDescent="0.45">
      <c r="A661" s="189">
        <v>46175</v>
      </c>
      <c r="B661" s="182" t="s">
        <v>330</v>
      </c>
      <c r="C661" s="183" t="s">
        <v>336</v>
      </c>
      <c r="D661" s="183" t="s">
        <v>390</v>
      </c>
      <c r="E661" s="203">
        <v>10</v>
      </c>
      <c r="F661" s="184">
        <f t="shared" si="10"/>
        <v>7000000</v>
      </c>
      <c r="G661" s="191" t="e">
        <f>IF(A661&lt;&gt;"", F661/ VLOOKUP(A661, 'Курс валют'!$A:$D, 4, 0), "")</f>
        <v>#DIV/0!</v>
      </c>
    </row>
    <row r="662" spans="1:7" outlineLevel="1" x14ac:dyDescent="0.45">
      <c r="A662" s="189">
        <v>46175</v>
      </c>
      <c r="B662" s="182" t="s">
        <v>330</v>
      </c>
      <c r="C662" s="183" t="s">
        <v>383</v>
      </c>
      <c r="D662" s="183" t="s">
        <v>390</v>
      </c>
      <c r="E662" s="203">
        <v>10</v>
      </c>
      <c r="F662" s="184">
        <f t="shared" si="10"/>
        <v>7000000</v>
      </c>
      <c r="G662" s="191" t="e">
        <f>IF(A662&lt;&gt;"", F662/ VLOOKUP(A662, 'Курс валют'!$A:$D, 4, 0), "")</f>
        <v>#DIV/0!</v>
      </c>
    </row>
    <row r="663" spans="1:7" outlineLevel="1" x14ac:dyDescent="0.45">
      <c r="A663" s="189">
        <v>46175</v>
      </c>
      <c r="B663" s="182" t="s">
        <v>330</v>
      </c>
      <c r="C663" s="183" t="s">
        <v>389</v>
      </c>
      <c r="D663" s="183" t="s">
        <v>390</v>
      </c>
      <c r="E663" s="203">
        <v>10</v>
      </c>
      <c r="F663" s="184">
        <f t="shared" si="10"/>
        <v>7000000</v>
      </c>
      <c r="G663" s="191" t="e">
        <f>IF(A663&lt;&gt;"", F663/ VLOOKUP(A663, 'Курс валют'!$A:$D, 4, 0), "")</f>
        <v>#DIV/0!</v>
      </c>
    </row>
    <row r="664" spans="1:7" outlineLevel="1" x14ac:dyDescent="0.45">
      <c r="A664" s="189">
        <v>46175</v>
      </c>
      <c r="B664" s="182" t="s">
        <v>330</v>
      </c>
      <c r="C664" s="183" t="s">
        <v>336</v>
      </c>
      <c r="D664" s="183" t="s">
        <v>390</v>
      </c>
      <c r="E664" s="203">
        <v>10</v>
      </c>
      <c r="F664" s="184">
        <f t="shared" si="10"/>
        <v>7000000</v>
      </c>
      <c r="G664" s="191" t="e">
        <f>IF(A664&lt;&gt;"", F664/ VLOOKUP(A664, 'Курс валют'!$A:$D, 4, 0), "")</f>
        <v>#DIV/0!</v>
      </c>
    </row>
    <row r="665" spans="1:7" outlineLevel="1" x14ac:dyDescent="0.45">
      <c r="A665" s="189">
        <v>46175</v>
      </c>
      <c r="B665" s="182" t="s">
        <v>330</v>
      </c>
      <c r="C665" s="183" t="s">
        <v>383</v>
      </c>
      <c r="D665" s="183" t="s">
        <v>390</v>
      </c>
      <c r="E665" s="203">
        <v>10</v>
      </c>
      <c r="F665" s="184">
        <f t="shared" si="10"/>
        <v>7000000</v>
      </c>
      <c r="G665" s="191" t="e">
        <f>IF(A665&lt;&gt;"", F665/ VLOOKUP(A665, 'Курс валют'!$A:$D, 4, 0), "")</f>
        <v>#DIV/0!</v>
      </c>
    </row>
    <row r="666" spans="1:7" outlineLevel="1" x14ac:dyDescent="0.45">
      <c r="A666" s="189">
        <v>46178</v>
      </c>
      <c r="B666" s="182" t="s">
        <v>330</v>
      </c>
      <c r="C666" s="183" t="s">
        <v>335</v>
      </c>
      <c r="D666" s="183" t="s">
        <v>390</v>
      </c>
      <c r="E666" s="203">
        <v>10</v>
      </c>
      <c r="F666" s="184">
        <f t="shared" si="10"/>
        <v>7000000</v>
      </c>
      <c r="G666" s="191" t="e">
        <f>IF(A666&lt;&gt;"", F666/ VLOOKUP(A666, 'Курс валют'!$A:$D, 4, 0), "")</f>
        <v>#DIV/0!</v>
      </c>
    </row>
    <row r="667" spans="1:7" outlineLevel="1" x14ac:dyDescent="0.45">
      <c r="A667" s="189"/>
      <c r="B667" s="182" t="s">
        <v>330</v>
      </c>
      <c r="C667" s="183"/>
      <c r="D667" s="183" t="s">
        <v>390</v>
      </c>
      <c r="E667" s="203"/>
      <c r="F667" s="184">
        <f t="shared" si="10"/>
        <v>0</v>
      </c>
      <c r="G667" s="191" t="str">
        <f>IF(A667&lt;&gt;"", F667/ VLOOKUP(A667, 'Курс валют'!$A:$D, 4, 0), "")</f>
        <v/>
      </c>
    </row>
    <row r="668" spans="1:7" outlineLevel="1" x14ac:dyDescent="0.45">
      <c r="A668" s="189"/>
      <c r="B668" s="182" t="s">
        <v>330</v>
      </c>
      <c r="C668" s="183"/>
      <c r="D668" s="183" t="s">
        <v>390</v>
      </c>
      <c r="E668" s="203"/>
      <c r="F668" s="184">
        <f t="shared" si="10"/>
        <v>0</v>
      </c>
      <c r="G668" s="191" t="str">
        <f>IF(A668&lt;&gt;"", F668/ VLOOKUP(A668, 'Курс валют'!$A:$D, 4, 0), "")</f>
        <v/>
      </c>
    </row>
    <row r="669" spans="1:7" outlineLevel="1" x14ac:dyDescent="0.45">
      <c r="A669" s="189"/>
      <c r="B669" s="182" t="s">
        <v>330</v>
      </c>
      <c r="C669" s="183"/>
      <c r="D669" s="183" t="s">
        <v>390</v>
      </c>
      <c r="E669" s="203"/>
      <c r="F669" s="184">
        <f t="shared" si="10"/>
        <v>0</v>
      </c>
      <c r="G669" s="191" t="str">
        <f>IF(A669&lt;&gt;"", F669/ VLOOKUP(A669, 'Курс валют'!$A:$D, 4, 0), "")</f>
        <v/>
      </c>
    </row>
    <row r="670" spans="1:7" outlineLevel="1" x14ac:dyDescent="0.45">
      <c r="A670" s="189"/>
      <c r="B670" s="182" t="s">
        <v>330</v>
      </c>
      <c r="C670" s="183"/>
      <c r="D670" s="183" t="s">
        <v>390</v>
      </c>
      <c r="E670" s="203"/>
      <c r="F670" s="184">
        <f t="shared" si="10"/>
        <v>0</v>
      </c>
      <c r="G670" s="191" t="str">
        <f>IF(A670&lt;&gt;"", F670/ VLOOKUP(A670, 'Курс валют'!$A:$D, 4, 0), "")</f>
        <v/>
      </c>
    </row>
    <row r="671" spans="1:7" outlineLevel="1" x14ac:dyDescent="0.45">
      <c r="A671" s="189"/>
      <c r="B671" s="182" t="s">
        <v>330</v>
      </c>
      <c r="C671" s="183"/>
      <c r="D671" s="183" t="s">
        <v>390</v>
      </c>
      <c r="E671" s="203"/>
      <c r="F671" s="184">
        <f t="shared" si="10"/>
        <v>0</v>
      </c>
      <c r="G671" s="191" t="str">
        <f>IF(A671&lt;&gt;"", F671/ VLOOKUP(A671, 'Курс валют'!$A:$D, 4, 0), "")</f>
        <v/>
      </c>
    </row>
    <row r="672" spans="1:7" outlineLevel="1" x14ac:dyDescent="0.45">
      <c r="A672" s="189"/>
      <c r="B672" s="182" t="s">
        <v>330</v>
      </c>
      <c r="C672" s="183"/>
      <c r="D672" s="183" t="s">
        <v>390</v>
      </c>
      <c r="E672" s="203"/>
      <c r="F672" s="184">
        <f t="shared" si="10"/>
        <v>0</v>
      </c>
      <c r="G672" s="191" t="str">
        <f>IF(A672&lt;&gt;"", F672/ VLOOKUP(A672, 'Курс валют'!$A:$D, 4, 0), "")</f>
        <v/>
      </c>
    </row>
    <row r="673" spans="1:7" outlineLevel="1" x14ac:dyDescent="0.45">
      <c r="A673" s="189"/>
      <c r="B673" s="182" t="s">
        <v>330</v>
      </c>
      <c r="C673" s="183"/>
      <c r="D673" s="183" t="s">
        <v>390</v>
      </c>
      <c r="E673" s="203"/>
      <c r="F673" s="184">
        <f t="shared" si="10"/>
        <v>0</v>
      </c>
      <c r="G673" s="191" t="str">
        <f>IF(A673&lt;&gt;"", F673/ VLOOKUP(A673, 'Курс валют'!$A:$D, 4, 0), "")</f>
        <v/>
      </c>
    </row>
    <row r="674" spans="1:7" outlineLevel="1" x14ac:dyDescent="0.45">
      <c r="A674" s="189"/>
      <c r="B674" s="182" t="s">
        <v>330</v>
      </c>
      <c r="C674" s="183"/>
      <c r="D674" s="183" t="s">
        <v>390</v>
      </c>
      <c r="E674" s="203"/>
      <c r="F674" s="184">
        <f t="shared" si="10"/>
        <v>0</v>
      </c>
      <c r="G674" s="191" t="str">
        <f>IF(A674&lt;&gt;"", F674/ VLOOKUP(A674, 'Курс валют'!$A:$D, 4, 0), "")</f>
        <v/>
      </c>
    </row>
    <row r="675" spans="1:7" outlineLevel="1" x14ac:dyDescent="0.45">
      <c r="A675" s="189"/>
      <c r="B675" s="182" t="s">
        <v>330</v>
      </c>
      <c r="C675" s="183"/>
      <c r="D675" s="183" t="s">
        <v>390</v>
      </c>
      <c r="E675" s="203"/>
      <c r="F675" s="184">
        <f t="shared" si="10"/>
        <v>0</v>
      </c>
      <c r="G675" s="191" t="str">
        <f>IF(A675&lt;&gt;"", F675/ VLOOKUP(A675, 'Курс валют'!$A:$D, 4, 0), "")</f>
        <v/>
      </c>
    </row>
    <row r="676" spans="1:7" outlineLevel="1" x14ac:dyDescent="0.45">
      <c r="A676" s="189"/>
      <c r="B676" s="182" t="s">
        <v>330</v>
      </c>
      <c r="C676" s="183"/>
      <c r="D676" s="183" t="s">
        <v>390</v>
      </c>
      <c r="E676" s="203"/>
      <c r="F676" s="184">
        <f t="shared" si="10"/>
        <v>0</v>
      </c>
      <c r="G676" s="191" t="str">
        <f>IF(A676&lt;&gt;"", F676/ VLOOKUP(A676, 'Курс валют'!$A:$D, 4, 0), "")</f>
        <v/>
      </c>
    </row>
    <row r="677" spans="1:7" outlineLevel="1" x14ac:dyDescent="0.45">
      <c r="A677" s="189"/>
      <c r="B677" s="182" t="s">
        <v>330</v>
      </c>
      <c r="C677" s="183"/>
      <c r="D677" s="183" t="s">
        <v>390</v>
      </c>
      <c r="E677" s="203"/>
      <c r="F677" s="184">
        <f t="shared" si="10"/>
        <v>0</v>
      </c>
      <c r="G677" s="191" t="str">
        <f>IF(A677&lt;&gt;"", F677/ VLOOKUP(A677, 'Курс валют'!$A:$D, 4, 0), "")</f>
        <v/>
      </c>
    </row>
    <row r="678" spans="1:7" outlineLevel="1" x14ac:dyDescent="0.45">
      <c r="A678" s="189"/>
      <c r="B678" s="182" t="s">
        <v>330</v>
      </c>
      <c r="C678" s="183"/>
      <c r="D678" s="183" t="s">
        <v>390</v>
      </c>
      <c r="E678" s="203"/>
      <c r="F678" s="184">
        <f t="shared" si="10"/>
        <v>0</v>
      </c>
      <c r="G678" s="191" t="str">
        <f>IF(A678&lt;&gt;"", F678/ VLOOKUP(A678, 'Курс валют'!$A:$D, 4, 0), "")</f>
        <v/>
      </c>
    </row>
    <row r="679" spans="1:7" outlineLevel="1" x14ac:dyDescent="0.45">
      <c r="A679" s="189"/>
      <c r="B679" s="182" t="s">
        <v>330</v>
      </c>
      <c r="C679" s="183"/>
      <c r="D679" s="183" t="s">
        <v>390</v>
      </c>
      <c r="E679" s="203"/>
      <c r="F679" s="184">
        <f t="shared" si="10"/>
        <v>0</v>
      </c>
      <c r="G679" s="191" t="str">
        <f>IF(A679&lt;&gt;"", F679/ VLOOKUP(A679, 'Курс валют'!$A:$D, 4, 0), "")</f>
        <v/>
      </c>
    </row>
    <row r="680" spans="1:7" outlineLevel="1" x14ac:dyDescent="0.45">
      <c r="A680" s="189"/>
      <c r="B680" s="182" t="s">
        <v>330</v>
      </c>
      <c r="C680" s="183"/>
      <c r="D680" s="183" t="s">
        <v>390</v>
      </c>
      <c r="E680" s="203"/>
      <c r="F680" s="184">
        <f t="shared" si="10"/>
        <v>0</v>
      </c>
      <c r="G680" s="191" t="str">
        <f>IF(A680&lt;&gt;"", F680/ VLOOKUP(A680, 'Курс валют'!$A:$D, 4, 0), "")</f>
        <v/>
      </c>
    </row>
    <row r="681" spans="1:7" outlineLevel="1" x14ac:dyDescent="0.45">
      <c r="A681" s="189"/>
      <c r="B681" s="182" t="s">
        <v>330</v>
      </c>
      <c r="C681" s="183"/>
      <c r="D681" s="183" t="s">
        <v>390</v>
      </c>
      <c r="E681" s="203"/>
      <c r="F681" s="184">
        <f t="shared" si="10"/>
        <v>0</v>
      </c>
      <c r="G681" s="191" t="str">
        <f>IF(A681&lt;&gt;"", F681/ VLOOKUP(A681, 'Курс валют'!$A:$D, 4, 0), "")</f>
        <v/>
      </c>
    </row>
    <row r="682" spans="1:7" outlineLevel="1" x14ac:dyDescent="0.45">
      <c r="A682" s="189"/>
      <c r="B682" s="182" t="s">
        <v>330</v>
      </c>
      <c r="C682" s="183"/>
      <c r="D682" s="183" t="s">
        <v>390</v>
      </c>
      <c r="E682" s="203"/>
      <c r="F682" s="184">
        <f t="shared" si="10"/>
        <v>0</v>
      </c>
      <c r="G682" s="191" t="str">
        <f>IF(A682&lt;&gt;"", F682/ VLOOKUP(A682, 'Курс валют'!$A:$D, 4, 0), "")</f>
        <v/>
      </c>
    </row>
    <row r="683" spans="1:7" outlineLevel="1" x14ac:dyDescent="0.45">
      <c r="A683" s="189"/>
      <c r="B683" s="182" t="s">
        <v>330</v>
      </c>
      <c r="C683" s="183"/>
      <c r="D683" s="183" t="s">
        <v>390</v>
      </c>
      <c r="E683" s="203"/>
      <c r="F683" s="184">
        <f t="shared" si="10"/>
        <v>0</v>
      </c>
      <c r="G683" s="191" t="str">
        <f>IF(A683&lt;&gt;"", F683/ VLOOKUP(A683, 'Курс валют'!$A:$D, 4, 0), "")</f>
        <v/>
      </c>
    </row>
    <row r="684" spans="1:7" outlineLevel="1" x14ac:dyDescent="0.45">
      <c r="A684" s="189"/>
      <c r="B684" s="182" t="s">
        <v>330</v>
      </c>
      <c r="C684" s="183"/>
      <c r="D684" s="183" t="s">
        <v>390</v>
      </c>
      <c r="E684" s="203"/>
      <c r="F684" s="184">
        <f t="shared" si="10"/>
        <v>0</v>
      </c>
      <c r="G684" s="191" t="str">
        <f>IF(A684&lt;&gt;"", F684/ VLOOKUP(A684, 'Курс валют'!$A:$D, 4, 0), "")</f>
        <v/>
      </c>
    </row>
    <row r="685" spans="1:7" outlineLevel="1" x14ac:dyDescent="0.45">
      <c r="A685" s="189"/>
      <c r="B685" s="182" t="s">
        <v>330</v>
      </c>
      <c r="C685" s="183"/>
      <c r="D685" s="183" t="s">
        <v>390</v>
      </c>
      <c r="E685" s="203"/>
      <c r="F685" s="184">
        <f t="shared" si="10"/>
        <v>0</v>
      </c>
      <c r="G685" s="191" t="str">
        <f>IF(A685&lt;&gt;"", F685/ VLOOKUP(A685, 'Курс валют'!$A:$D, 4, 0), "")</f>
        <v/>
      </c>
    </row>
    <row r="686" spans="1:7" outlineLevel="1" x14ac:dyDescent="0.45">
      <c r="A686" s="189"/>
      <c r="B686" s="182" t="s">
        <v>330</v>
      </c>
      <c r="C686" s="183"/>
      <c r="D686" s="183" t="s">
        <v>390</v>
      </c>
      <c r="E686" s="203"/>
      <c r="F686" s="184">
        <f t="shared" si="10"/>
        <v>0</v>
      </c>
      <c r="G686" s="191" t="str">
        <f>IF(A686&lt;&gt;"", F686/ VLOOKUP(A686, 'Курс валют'!$A:$D, 4, 0), "")</f>
        <v/>
      </c>
    </row>
    <row r="687" spans="1:7" outlineLevel="1" x14ac:dyDescent="0.45">
      <c r="A687" s="189"/>
      <c r="B687" s="182" t="s">
        <v>330</v>
      </c>
      <c r="C687" s="183"/>
      <c r="D687" s="183" t="s">
        <v>390</v>
      </c>
      <c r="E687" s="203"/>
      <c r="F687" s="184">
        <f t="shared" si="10"/>
        <v>0</v>
      </c>
      <c r="G687" s="191" t="str">
        <f>IF(A687&lt;&gt;"", F687/ VLOOKUP(A687, 'Курс валют'!$A:$D, 4, 0), "")</f>
        <v/>
      </c>
    </row>
    <row r="688" spans="1:7" outlineLevel="1" x14ac:dyDescent="0.45">
      <c r="A688" s="189"/>
      <c r="B688" s="182" t="s">
        <v>330</v>
      </c>
      <c r="C688" s="183"/>
      <c r="D688" s="183" t="s">
        <v>390</v>
      </c>
      <c r="E688" s="203"/>
      <c r="F688" s="184">
        <f t="shared" si="10"/>
        <v>0</v>
      </c>
      <c r="G688" s="191" t="str">
        <f>IF(A688&lt;&gt;"", F688/ VLOOKUP(A688, 'Курс валют'!$A:$D, 4, 0), "")</f>
        <v/>
      </c>
    </row>
    <row r="689" spans="1:7" outlineLevel="1" x14ac:dyDescent="0.45">
      <c r="A689" s="189"/>
      <c r="B689" s="182" t="s">
        <v>330</v>
      </c>
      <c r="C689" s="183"/>
      <c r="D689" s="183" t="s">
        <v>390</v>
      </c>
      <c r="E689" s="203"/>
      <c r="F689" s="184">
        <f t="shared" si="10"/>
        <v>0</v>
      </c>
      <c r="G689" s="191" t="str">
        <f>IF(A689&lt;&gt;"", F689/ VLOOKUP(A689, 'Курс валют'!$A:$D, 4, 0), "")</f>
        <v/>
      </c>
    </row>
    <row r="690" spans="1:7" outlineLevel="1" x14ac:dyDescent="0.45">
      <c r="A690" s="189"/>
      <c r="B690" s="182" t="s">
        <v>330</v>
      </c>
      <c r="C690" s="183"/>
      <c r="D690" s="183" t="s">
        <v>390</v>
      </c>
      <c r="E690" s="203"/>
      <c r="F690" s="184">
        <f t="shared" si="10"/>
        <v>0</v>
      </c>
      <c r="G690" s="191" t="str">
        <f>IF(A690&lt;&gt;"", F690/ VLOOKUP(A690, 'Курс валют'!$A:$D, 4, 0), "")</f>
        <v/>
      </c>
    </row>
    <row r="691" spans="1:7" outlineLevel="1" x14ac:dyDescent="0.45">
      <c r="A691" s="189"/>
      <c r="B691" s="182" t="s">
        <v>330</v>
      </c>
      <c r="C691" s="183"/>
      <c r="D691" s="183" t="s">
        <v>390</v>
      </c>
      <c r="E691" s="203"/>
      <c r="F691" s="184">
        <f t="shared" si="10"/>
        <v>0</v>
      </c>
      <c r="G691" s="191" t="str">
        <f>IF(A691&lt;&gt;"", F691/ VLOOKUP(A691, 'Курс валют'!$A:$D, 4, 0), "")</f>
        <v/>
      </c>
    </row>
    <row r="692" spans="1:7" outlineLevel="1" x14ac:dyDescent="0.45">
      <c r="A692" s="189"/>
      <c r="B692" s="182" t="s">
        <v>330</v>
      </c>
      <c r="C692" s="183"/>
      <c r="D692" s="183" t="s">
        <v>390</v>
      </c>
      <c r="E692" s="203"/>
      <c r="F692" s="184">
        <f t="shared" ref="F692:F699" si="11">IF(D692="М400", E692*740000, IF(D692="M150", E692*600000, IF(D692="M300", E692*670000, IF(D692="M350", E692*700000, 0))))</f>
        <v>0</v>
      </c>
      <c r="G692" s="191" t="str">
        <f>IF(A692&lt;&gt;"", F692/ VLOOKUP(A692, 'Курс валют'!$A:$D, 4, 0), "")</f>
        <v/>
      </c>
    </row>
    <row r="693" spans="1:7" outlineLevel="1" x14ac:dyDescent="0.45">
      <c r="A693" s="189"/>
      <c r="B693" s="182" t="s">
        <v>330</v>
      </c>
      <c r="C693" s="183"/>
      <c r="D693" s="183" t="s">
        <v>390</v>
      </c>
      <c r="E693" s="203"/>
      <c r="F693" s="184">
        <f t="shared" si="11"/>
        <v>0</v>
      </c>
      <c r="G693" s="191" t="str">
        <f>IF(A693&lt;&gt;"", F693/ VLOOKUP(A693, 'Курс валют'!$A:$D, 4, 0), "")</f>
        <v/>
      </c>
    </row>
    <row r="694" spans="1:7" outlineLevel="1" x14ac:dyDescent="0.45">
      <c r="A694" s="189"/>
      <c r="B694" s="182" t="s">
        <v>330</v>
      </c>
      <c r="C694" s="183"/>
      <c r="D694" s="183" t="s">
        <v>390</v>
      </c>
      <c r="E694" s="203"/>
      <c r="F694" s="184">
        <f t="shared" si="11"/>
        <v>0</v>
      </c>
      <c r="G694" s="191" t="str">
        <f>IF(A694&lt;&gt;"", F694/ VLOOKUP(A694, 'Курс валют'!$A:$D, 4, 0), "")</f>
        <v/>
      </c>
    </row>
    <row r="695" spans="1:7" outlineLevel="1" x14ac:dyDescent="0.45">
      <c r="A695" s="189"/>
      <c r="B695" s="182" t="s">
        <v>330</v>
      </c>
      <c r="C695" s="183"/>
      <c r="D695" s="183" t="s">
        <v>390</v>
      </c>
      <c r="E695" s="203"/>
      <c r="F695" s="184">
        <f t="shared" si="11"/>
        <v>0</v>
      </c>
      <c r="G695" s="191" t="str">
        <f>IF(A695&lt;&gt;"", F695/ VLOOKUP(A695, 'Курс валют'!$A:$D, 4, 0), "")</f>
        <v/>
      </c>
    </row>
    <row r="696" spans="1:7" outlineLevel="1" x14ac:dyDescent="0.45">
      <c r="A696" s="189"/>
      <c r="B696" s="182" t="s">
        <v>330</v>
      </c>
      <c r="C696" s="183"/>
      <c r="D696" s="183" t="s">
        <v>390</v>
      </c>
      <c r="E696" s="203"/>
      <c r="F696" s="184">
        <f t="shared" si="11"/>
        <v>0</v>
      </c>
      <c r="G696" s="191" t="str">
        <f>IF(A696&lt;&gt;"", F696/ VLOOKUP(A696, 'Курс валют'!$A:$D, 4, 0), "")</f>
        <v/>
      </c>
    </row>
    <row r="697" spans="1:7" outlineLevel="1" x14ac:dyDescent="0.45">
      <c r="A697" s="189"/>
      <c r="B697" s="182" t="s">
        <v>330</v>
      </c>
      <c r="C697" s="183"/>
      <c r="D697" s="183" t="s">
        <v>390</v>
      </c>
      <c r="E697" s="203"/>
      <c r="F697" s="184">
        <f t="shared" si="11"/>
        <v>0</v>
      </c>
      <c r="G697" s="191" t="str">
        <f>IF(A697&lt;&gt;"", F697/ VLOOKUP(A697, 'Курс валют'!$A:$D, 4, 0), "")</f>
        <v/>
      </c>
    </row>
    <row r="698" spans="1:7" outlineLevel="1" x14ac:dyDescent="0.45">
      <c r="A698" s="189"/>
      <c r="B698" s="182" t="s">
        <v>330</v>
      </c>
      <c r="C698" s="183"/>
      <c r="D698" s="183" t="s">
        <v>390</v>
      </c>
      <c r="E698" s="203"/>
      <c r="F698" s="184">
        <f t="shared" si="11"/>
        <v>0</v>
      </c>
      <c r="G698" s="191" t="str">
        <f>IF(A698&lt;&gt;"", F698/ VLOOKUP(A698, 'Курс валют'!$A:$D, 4, 0), "")</f>
        <v/>
      </c>
    </row>
    <row r="699" spans="1:7" outlineLevel="1" x14ac:dyDescent="0.45">
      <c r="A699" s="189"/>
      <c r="B699" s="182" t="s">
        <v>330</v>
      </c>
      <c r="C699" s="183"/>
      <c r="D699" s="183" t="s">
        <v>390</v>
      </c>
      <c r="E699" s="203"/>
      <c r="F699" s="184">
        <f t="shared" si="11"/>
        <v>0</v>
      </c>
      <c r="G699" s="191" t="str">
        <f>IF(A699&lt;&gt;"", F699/ VLOOKUP(A699, 'Курс валют'!$A:$D, 4, 0), "")</f>
        <v/>
      </c>
    </row>
    <row r="700" spans="1:7" ht="14.65" outlineLevel="1" thickBot="1" x14ac:dyDescent="0.5">
      <c r="A700" s="190"/>
      <c r="B700" s="186"/>
      <c r="C700" s="187"/>
      <c r="D700" s="187"/>
      <c r="E700" s="204"/>
      <c r="F700" s="188"/>
      <c r="G700" s="192"/>
    </row>
  </sheetData>
  <phoneticPr fontId="77" type="noConversion"/>
  <conditionalFormatting sqref="A2:G423 A424:B428 F424:G428 A429:G645 B646:G648 A646:A665 B649 F649:G649 B650:G665 A666:G700">
    <cfRule type="expression" dxfId="40" priority="3">
      <formula>MOD(ROW(),2)=0</formula>
    </cfRule>
    <cfRule type="expression" dxfId="39" priority="4">
      <formula>ISNUMBER(SEARCH("Итог",$A2))</formula>
    </cfRule>
  </conditionalFormatting>
  <conditionalFormatting sqref="C426:E426">
    <cfRule type="expression" dxfId="38" priority="1">
      <formula>MOD(ROW(),2)=0</formula>
    </cfRule>
    <cfRule type="expression" dxfId="37" priority="2">
      <formula>ISNUMBER(SEARCH("Итог",$A426))</formula>
    </cfRule>
  </conditionalFormatting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F3B09-DE11-4CD6-B5B5-2599CE2A4C23}">
  <sheetPr codeName="Worksheet____8"/>
  <dimension ref="A1:P527"/>
  <sheetViews>
    <sheetView zoomScale="70" workbookViewId="0">
      <pane ySplit="1" topLeftCell="A96" activePane="bottomLeft" state="frozen"/>
      <selection pane="bottomLeft" activeCell="J108" sqref="J108"/>
    </sheetView>
  </sheetViews>
  <sheetFormatPr defaultColWidth="9" defaultRowHeight="13.9" outlineLevelRow="2" x14ac:dyDescent="0.4"/>
  <cols>
    <col min="1" max="1" width="18.6640625" style="205" bestFit="1" customWidth="1"/>
    <col min="2" max="2" width="2.9296875" style="205" bestFit="1" customWidth="1"/>
    <col min="3" max="3" width="27.46484375" style="205" bestFit="1" customWidth="1"/>
    <col min="4" max="4" width="19.06640625" style="205" bestFit="1" customWidth="1"/>
    <col min="5" max="5" width="16.3984375" style="205" bestFit="1" customWidth="1"/>
    <col min="6" max="6" width="47.06640625" style="205" bestFit="1" customWidth="1"/>
    <col min="7" max="7" width="7.265625" style="205" bestFit="1" customWidth="1"/>
    <col min="8" max="8" width="7" style="205" bestFit="1" customWidth="1"/>
    <col min="9" max="9" width="13.86328125" style="205" bestFit="1" customWidth="1"/>
    <col min="10" max="10" width="7.3984375" style="205" bestFit="1" customWidth="1"/>
    <col min="11" max="11" width="11.1328125" style="205" bestFit="1" customWidth="1"/>
    <col min="12" max="12" width="12.796875" style="205" bestFit="1" customWidth="1"/>
    <col min="13" max="13" width="15.86328125" style="205" bestFit="1" customWidth="1"/>
    <col min="14" max="14" width="10.33203125" style="205" customWidth="1"/>
    <col min="15" max="15" width="13.46484375" style="205" bestFit="1" customWidth="1"/>
    <col min="16" max="16" width="11.53125" style="205" bestFit="1" customWidth="1"/>
    <col min="17" max="16384" width="9" style="205"/>
  </cols>
  <sheetData>
    <row r="1" spans="1:16" ht="42" customHeight="1" thickBot="1" x14ac:dyDescent="0.45">
      <c r="A1" s="227" t="s">
        <v>26</v>
      </c>
      <c r="B1" s="228" t="s">
        <v>31</v>
      </c>
      <c r="C1" s="228" t="s">
        <v>32</v>
      </c>
      <c r="D1" s="228" t="s">
        <v>317</v>
      </c>
      <c r="E1" s="228" t="s">
        <v>420</v>
      </c>
      <c r="F1" s="228" t="s">
        <v>37</v>
      </c>
      <c r="G1" s="228" t="s">
        <v>33</v>
      </c>
      <c r="H1" s="228" t="s">
        <v>34</v>
      </c>
      <c r="I1" s="228" t="s">
        <v>421</v>
      </c>
      <c r="J1" s="229" t="s">
        <v>422</v>
      </c>
      <c r="K1" s="228" t="s">
        <v>423</v>
      </c>
      <c r="L1" s="229" t="s">
        <v>424</v>
      </c>
      <c r="M1" s="228" t="s">
        <v>425</v>
      </c>
      <c r="N1" s="228" t="s">
        <v>425</v>
      </c>
      <c r="O1" s="228" t="s">
        <v>91</v>
      </c>
      <c r="P1" s="230" t="s">
        <v>329</v>
      </c>
    </row>
    <row r="2" spans="1:16" ht="14.25" customHeight="1" outlineLevel="2" thickTop="1" x14ac:dyDescent="0.45">
      <c r="A2" s="221">
        <v>45962</v>
      </c>
      <c r="B2" s="222">
        <v>1</v>
      </c>
      <c r="C2" s="223" t="s">
        <v>426</v>
      </c>
      <c r="D2" s="224" t="s">
        <v>233</v>
      </c>
      <c r="E2" s="224" t="s">
        <v>427</v>
      </c>
      <c r="F2" s="224" t="s">
        <v>428</v>
      </c>
      <c r="G2" s="224" t="s">
        <v>69</v>
      </c>
      <c r="H2" s="552">
        <v>1</v>
      </c>
      <c r="I2" s="566">
        <v>4700000</v>
      </c>
      <c r="J2" s="225">
        <f>IF(AND(ISNUMBER(I2),A2&lt;&gt;""), I2/VLOOKUP(A2,'[1]Курс валют'!$A:$D,4,0), "")</f>
        <v>388.42975206611573</v>
      </c>
      <c r="K2" s="566" t="s">
        <v>233</v>
      </c>
      <c r="L2" s="225" t="str">
        <f>IF(AND(ISNUMBER(K2),A2&lt;&gt;""), K2/VLOOKUP(A2,'[1]Курс валют'!$A:$D,4,0), "")</f>
        <v/>
      </c>
      <c r="M2" s="566">
        <f>I2*H2</f>
        <v>4700000</v>
      </c>
      <c r="N2" s="566"/>
      <c r="O2" s="634">
        <v>1750000</v>
      </c>
      <c r="P2" s="226">
        <f>IF(A2&lt;&gt;"", (M2+O2) / VLOOKUP(A2, 'Курс валют'!$A:$D, 4, 0), "")+N2</f>
        <v>533.05785123966939</v>
      </c>
    </row>
    <row r="3" spans="1:16" ht="14.25" customHeight="1" outlineLevel="1" x14ac:dyDescent="0.45">
      <c r="A3" s="216" t="s">
        <v>429</v>
      </c>
      <c r="B3" s="206"/>
      <c r="C3" s="207"/>
      <c r="D3" s="208"/>
      <c r="E3" s="208"/>
      <c r="F3" s="208"/>
      <c r="G3" s="208"/>
      <c r="H3" s="553"/>
      <c r="I3" s="565"/>
      <c r="J3" s="209" t="str">
        <f>IF(AND(ISNUMBER(I3),A3&lt;&gt;""), I3/VLOOKUP(A3,'[1]Курс валют'!$A:$D,4,0), "")</f>
        <v/>
      </c>
      <c r="K3" s="565"/>
      <c r="L3" s="209" t="str">
        <f>IF(AND(ISNUMBER(K3),A3&lt;&gt;""), K3/VLOOKUP(A3,'[1]Курс валют'!$A:$D,4,0), "")</f>
        <v/>
      </c>
      <c r="M3" s="565">
        <f>SUBTOTAL(9,M2:M2)</f>
        <v>4700000</v>
      </c>
      <c r="N3" s="565"/>
      <c r="O3" s="633"/>
      <c r="P3" s="226" t="e">
        <f>IF(A3&lt;&gt;"", (M3+O3) / VLOOKUP(A3, 'Курс валют'!$A:$D, 4, 0), "")+N3</f>
        <v>#N/A</v>
      </c>
    </row>
    <row r="4" spans="1:16" ht="14.25" customHeight="1" outlineLevel="2" x14ac:dyDescent="0.45">
      <c r="A4" s="216">
        <v>45963</v>
      </c>
      <c r="B4" s="206">
        <v>2</v>
      </c>
      <c r="C4" s="207" t="s">
        <v>283</v>
      </c>
      <c r="D4" s="208" t="s">
        <v>233</v>
      </c>
      <c r="E4" s="208" t="s">
        <v>427</v>
      </c>
      <c r="F4" s="208" t="s">
        <v>428</v>
      </c>
      <c r="G4" s="208" t="s">
        <v>69</v>
      </c>
      <c r="H4" s="553">
        <v>5500</v>
      </c>
      <c r="I4" s="565">
        <f>2400000/[1]Строй.Мат!$H4</f>
        <v>436.36363636363637</v>
      </c>
      <c r="J4" s="209">
        <f>IF(AND(ISNUMBER(I4),A4&lt;&gt;""), I4/VLOOKUP(A4,'[1]Курс валют'!$A:$D,4,0), "")</f>
        <v>3.6454773296878559E-2</v>
      </c>
      <c r="K4" s="565" t="s">
        <v>233</v>
      </c>
      <c r="L4" s="209" t="str">
        <f>IF(AND(ISNUMBER(K4),A4&lt;&gt;""), K4/VLOOKUP(A4,'[1]Курс валют'!$A:$D,4,0), "")</f>
        <v/>
      </c>
      <c r="M4" s="565">
        <f>I4*H4</f>
        <v>2400000</v>
      </c>
      <c r="N4" s="565"/>
      <c r="O4" s="633"/>
      <c r="P4" s="226">
        <f>IF(A4&lt;&gt;"", (M4+O4) / VLOOKUP(A4, 'Курс валют'!$A:$D, 4, 0), "")+N4</f>
        <v>200.50125313283209</v>
      </c>
    </row>
    <row r="5" spans="1:16" ht="14.25" customHeight="1" outlineLevel="1" x14ac:dyDescent="0.45">
      <c r="A5" s="216" t="s">
        <v>430</v>
      </c>
      <c r="B5" s="206"/>
      <c r="C5" s="207"/>
      <c r="D5" s="208"/>
      <c r="E5" s="208"/>
      <c r="F5" s="208"/>
      <c r="G5" s="208"/>
      <c r="H5" s="553"/>
      <c r="I5" s="565"/>
      <c r="J5" s="209" t="str">
        <f>IF(AND(ISNUMBER(I5),A5&lt;&gt;""), I5/VLOOKUP(A5,'[1]Курс валют'!$A:$D,4,0), "")</f>
        <v/>
      </c>
      <c r="K5" s="565"/>
      <c r="L5" s="209" t="str">
        <f>IF(AND(ISNUMBER(K5),A5&lt;&gt;""), K5/VLOOKUP(A5,'[1]Курс валют'!$A:$D,4,0), "")</f>
        <v/>
      </c>
      <c r="M5" s="565">
        <f>SUBTOTAL(9,M4:M4)</f>
        <v>2400000</v>
      </c>
      <c r="N5" s="565"/>
      <c r="O5" s="565"/>
      <c r="P5" s="226" t="e">
        <f>IF(A5&lt;&gt;"", (M5+O5) / VLOOKUP(A5, 'Курс валют'!$A:$D, 4, 0), "")+N5</f>
        <v>#N/A</v>
      </c>
    </row>
    <row r="6" spans="1:16" ht="14.25" customHeight="1" outlineLevel="2" x14ac:dyDescent="0.45">
      <c r="A6" s="216">
        <v>45964</v>
      </c>
      <c r="B6" s="206">
        <v>1</v>
      </c>
      <c r="C6" s="207" t="s">
        <v>431</v>
      </c>
      <c r="D6" s="208" t="s">
        <v>233</v>
      </c>
      <c r="E6" s="208" t="s">
        <v>432</v>
      </c>
      <c r="F6" s="208" t="s">
        <v>428</v>
      </c>
      <c r="G6" s="208" t="s">
        <v>433</v>
      </c>
      <c r="H6" s="553">
        <v>8.0050000000000008</v>
      </c>
      <c r="I6" s="210"/>
      <c r="J6" s="209">
        <v>305</v>
      </c>
      <c r="K6" s="210"/>
      <c r="L6" s="209">
        <f>J6*H6</f>
        <v>2441.5250000000001</v>
      </c>
      <c r="M6" s="565"/>
      <c r="N6" s="209">
        <f>L6</f>
        <v>2441.5250000000001</v>
      </c>
      <c r="O6" s="565"/>
      <c r="P6" s="226">
        <f>IF(A6&lt;&gt;"", (M6+O6) / VLOOKUP(A6, 'Курс валют'!$A:$D, 4, 0), "")+N6</f>
        <v>2441.5250000000001</v>
      </c>
    </row>
    <row r="7" spans="1:16" ht="14.25" customHeight="1" outlineLevel="1" x14ac:dyDescent="0.45">
      <c r="A7" s="216" t="s">
        <v>434</v>
      </c>
      <c r="B7" s="206"/>
      <c r="C7" s="207"/>
      <c r="D7" s="208"/>
      <c r="E7" s="208"/>
      <c r="F7" s="208"/>
      <c r="G7" s="208"/>
      <c r="H7" s="553"/>
      <c r="I7" s="565"/>
      <c r="J7" s="209" t="str">
        <f>IF(AND(ISNUMBER(I7),A7&lt;&gt;""), I7/VLOOKUP(A7,'[1]Курс валют'!$A:$D,4,0), "")</f>
        <v/>
      </c>
      <c r="K7" s="565"/>
      <c r="L7" s="209" t="str">
        <f>IF(AND(ISNUMBER(K7),A7&lt;&gt;""), K7/VLOOKUP(A7,'[1]Курс валют'!$A:$D,4,0), "")</f>
        <v/>
      </c>
      <c r="M7" s="565">
        <f>SUBTOTAL(9,M6:M6)</f>
        <v>0</v>
      </c>
      <c r="N7" s="565"/>
      <c r="O7" s="565"/>
      <c r="P7" s="226" t="e">
        <f>IF(A7&lt;&gt;"", (M7+O7) / VLOOKUP(A7, 'Курс валют'!$A:$D, 4, 0), "")+N7</f>
        <v>#N/A</v>
      </c>
    </row>
    <row r="8" spans="1:16" ht="14.25" outlineLevel="2" x14ac:dyDescent="0.45">
      <c r="A8" s="216">
        <v>46063</v>
      </c>
      <c r="B8" s="206">
        <v>1</v>
      </c>
      <c r="C8" s="207" t="s">
        <v>435</v>
      </c>
      <c r="D8" s="208" t="s">
        <v>436</v>
      </c>
      <c r="E8" s="208" t="s">
        <v>432</v>
      </c>
      <c r="F8" s="208" t="s">
        <v>428</v>
      </c>
      <c r="G8" s="208" t="s">
        <v>69</v>
      </c>
      <c r="H8" s="553">
        <v>47</v>
      </c>
      <c r="I8" s="565" t="s">
        <v>233</v>
      </c>
      <c r="J8" s="209" t="str">
        <f>IF(AND(ISNUMBER(I8),A8&lt;&gt;""), I8/VLOOKUP(A8,'[1]Курс валют'!$A:$D,4,0), "")</f>
        <v/>
      </c>
      <c r="K8" s="565" t="s">
        <v>233</v>
      </c>
      <c r="L8" s="209" t="str">
        <f>IF(AND(ISNUMBER(K8),A8&lt;&gt;""), K8/VLOOKUP(A8,'[1]Курс валют'!$A:$D,4,0), "")</f>
        <v/>
      </c>
      <c r="M8" s="565">
        <v>0</v>
      </c>
      <c r="N8" s="565"/>
      <c r="O8" s="633">
        <f>7700000</f>
        <v>7700000</v>
      </c>
      <c r="P8" s="226">
        <f>IF(A8&lt;&gt;"", (M8+O8) / VLOOKUP(A8, 'Курс валют'!$A:$D, 4, 0), "")+N8</f>
        <v>631.14754098360652</v>
      </c>
    </row>
    <row r="9" spans="1:16" ht="14.25" outlineLevel="2" x14ac:dyDescent="0.45">
      <c r="A9" s="216">
        <v>46063</v>
      </c>
      <c r="B9" s="206">
        <v>2</v>
      </c>
      <c r="C9" s="207" t="s">
        <v>437</v>
      </c>
      <c r="D9" s="208" t="s">
        <v>436</v>
      </c>
      <c r="E9" s="208" t="s">
        <v>432</v>
      </c>
      <c r="F9" s="208" t="s">
        <v>428</v>
      </c>
      <c r="G9" s="208" t="s">
        <v>69</v>
      </c>
      <c r="H9" s="553">
        <v>8</v>
      </c>
      <c r="I9" s="565" t="s">
        <v>233</v>
      </c>
      <c r="J9" s="209" t="str">
        <f>IF(AND(ISNUMBER(I9),A9&lt;&gt;""), I9/VLOOKUP(A9,'[1]Курс валют'!$A:$D,4,0), "")</f>
        <v/>
      </c>
      <c r="K9" s="565" t="s">
        <v>233</v>
      </c>
      <c r="L9" s="209" t="str">
        <f>IF(AND(ISNUMBER(K9),A9&lt;&gt;""), K9/VLOOKUP(A9,'[1]Курс валют'!$A:$D,4,0), "")</f>
        <v/>
      </c>
      <c r="M9" s="565">
        <v>0</v>
      </c>
      <c r="N9" s="565"/>
      <c r="O9" s="633"/>
      <c r="P9" s="226">
        <f>IF(A9&lt;&gt;"", (M9+O9) / VLOOKUP(A9, 'Курс валют'!$A:$D, 4, 0), "")+N9</f>
        <v>0</v>
      </c>
    </row>
    <row r="10" spans="1:16" ht="14.25" outlineLevel="2" x14ac:dyDescent="0.45">
      <c r="A10" s="216">
        <v>46063</v>
      </c>
      <c r="B10" s="206">
        <v>3</v>
      </c>
      <c r="C10" s="207" t="s">
        <v>438</v>
      </c>
      <c r="D10" s="208" t="s">
        <v>436</v>
      </c>
      <c r="E10" s="208" t="s">
        <v>432</v>
      </c>
      <c r="F10" s="208" t="s">
        <v>428</v>
      </c>
      <c r="G10" s="208" t="s">
        <v>69</v>
      </c>
      <c r="H10" s="553">
        <v>8</v>
      </c>
      <c r="I10" s="565" t="s">
        <v>233</v>
      </c>
      <c r="J10" s="209" t="str">
        <f>IF(AND(ISNUMBER(I10),A10&lt;&gt;""), I10/VLOOKUP(A10,'[1]Курс валют'!$A:$D,4,0), "")</f>
        <v/>
      </c>
      <c r="K10" s="565" t="s">
        <v>233</v>
      </c>
      <c r="L10" s="209" t="str">
        <f>IF(AND(ISNUMBER(K10),A10&lt;&gt;""), K10/VLOOKUP(A10,'[1]Курс валют'!$A:$D,4,0), "")</f>
        <v/>
      </c>
      <c r="M10" s="565">
        <v>0</v>
      </c>
      <c r="N10" s="565"/>
      <c r="O10" s="633"/>
      <c r="P10" s="226">
        <f>IF(A10&lt;&gt;"", (M10+O10) / VLOOKUP(A10, 'Курс валют'!$A:$D, 4, 0), "")+N10</f>
        <v>0</v>
      </c>
    </row>
    <row r="11" spans="1:16" ht="14.25" outlineLevel="2" x14ac:dyDescent="0.45">
      <c r="A11" s="216">
        <v>46063</v>
      </c>
      <c r="B11" s="206">
        <v>4</v>
      </c>
      <c r="C11" s="207" t="s">
        <v>439</v>
      </c>
      <c r="D11" s="208" t="s">
        <v>436</v>
      </c>
      <c r="E11" s="208" t="s">
        <v>432</v>
      </c>
      <c r="F11" s="208" t="s">
        <v>428</v>
      </c>
      <c r="G11" s="208" t="s">
        <v>69</v>
      </c>
      <c r="H11" s="553">
        <v>6</v>
      </c>
      <c r="I11" s="565" t="s">
        <v>233</v>
      </c>
      <c r="J11" s="209" t="str">
        <f>IF(AND(ISNUMBER(I11),A11&lt;&gt;""), I11/VLOOKUP(A11,'[1]Курс валют'!$A:$D,4,0), "")</f>
        <v/>
      </c>
      <c r="K11" s="565" t="s">
        <v>233</v>
      </c>
      <c r="L11" s="209" t="str">
        <f>IF(AND(ISNUMBER(K11),A11&lt;&gt;""), K11/VLOOKUP(A11,'[1]Курс валют'!$A:$D,4,0), "")</f>
        <v/>
      </c>
      <c r="M11" s="565">
        <v>0</v>
      </c>
      <c r="N11" s="565"/>
      <c r="O11" s="633"/>
      <c r="P11" s="226">
        <f>IF(A11&lt;&gt;"", (M11+O11) / VLOOKUP(A11, 'Курс валют'!$A:$D, 4, 0), "")+N11</f>
        <v>0</v>
      </c>
    </row>
    <row r="12" spans="1:16" ht="14.25" outlineLevel="2" x14ac:dyDescent="0.45">
      <c r="A12" s="216">
        <v>46063</v>
      </c>
      <c r="B12" s="206">
        <v>5</v>
      </c>
      <c r="C12" s="207" t="s">
        <v>440</v>
      </c>
      <c r="D12" s="208" t="s">
        <v>436</v>
      </c>
      <c r="E12" s="208" t="s">
        <v>432</v>
      </c>
      <c r="F12" s="208" t="s">
        <v>428</v>
      </c>
      <c r="G12" s="208" t="s">
        <v>69</v>
      </c>
      <c r="H12" s="553">
        <v>7</v>
      </c>
      <c r="I12" s="565" t="s">
        <v>233</v>
      </c>
      <c r="J12" s="209" t="str">
        <f>IF(AND(ISNUMBER(I12),A12&lt;&gt;""), I12/VLOOKUP(A12,'[1]Курс валют'!$A:$D,4,0), "")</f>
        <v/>
      </c>
      <c r="K12" s="565" t="s">
        <v>233</v>
      </c>
      <c r="L12" s="209" t="str">
        <f>IF(AND(ISNUMBER(K12),A12&lt;&gt;""), K12/VLOOKUP(A12,'[1]Курс валют'!$A:$D,4,0), "")</f>
        <v/>
      </c>
      <c r="M12" s="565">
        <v>0</v>
      </c>
      <c r="N12" s="565"/>
      <c r="O12" s="633"/>
      <c r="P12" s="226">
        <f>IF(A12&lt;&gt;"", (M12+O12) / VLOOKUP(A12, 'Курс валют'!$A:$D, 4, 0), "")+N12</f>
        <v>0</v>
      </c>
    </row>
    <row r="13" spans="1:16" ht="14.25" outlineLevel="2" x14ac:dyDescent="0.45">
      <c r="A13" s="216">
        <v>46063</v>
      </c>
      <c r="B13" s="206">
        <v>6</v>
      </c>
      <c r="C13" s="207" t="s">
        <v>441</v>
      </c>
      <c r="D13" s="208" t="s">
        <v>436</v>
      </c>
      <c r="E13" s="208" t="s">
        <v>432</v>
      </c>
      <c r="F13" s="208" t="s">
        <v>428</v>
      </c>
      <c r="G13" s="208" t="s">
        <v>69</v>
      </c>
      <c r="H13" s="553">
        <v>2</v>
      </c>
      <c r="I13" s="565" t="s">
        <v>233</v>
      </c>
      <c r="J13" s="209" t="str">
        <f>IF(AND(ISNUMBER(I13),A13&lt;&gt;""), I13/VLOOKUP(A13,'[1]Курс валют'!$A:$D,4,0), "")</f>
        <v/>
      </c>
      <c r="K13" s="565" t="s">
        <v>233</v>
      </c>
      <c r="L13" s="209" t="str">
        <f>IF(AND(ISNUMBER(K13),A13&lt;&gt;""), K13/VLOOKUP(A13,'[1]Курс валют'!$A:$D,4,0), "")</f>
        <v/>
      </c>
      <c r="M13" s="565">
        <v>0</v>
      </c>
      <c r="N13" s="565"/>
      <c r="O13" s="633"/>
      <c r="P13" s="226">
        <f>IF(A13&lt;&gt;"", (M13+O13) / VLOOKUP(A13, 'Курс валют'!$A:$D, 4, 0), "")+N13</f>
        <v>0</v>
      </c>
    </row>
    <row r="14" spans="1:16" ht="14.25" outlineLevel="2" x14ac:dyDescent="0.45">
      <c r="A14" s="216">
        <v>46063</v>
      </c>
      <c r="B14" s="206">
        <v>7</v>
      </c>
      <c r="C14" s="207" t="s">
        <v>442</v>
      </c>
      <c r="D14" s="208" t="s">
        <v>436</v>
      </c>
      <c r="E14" s="208" t="s">
        <v>432</v>
      </c>
      <c r="F14" s="208" t="s">
        <v>428</v>
      </c>
      <c r="G14" s="208" t="s">
        <v>69</v>
      </c>
      <c r="H14" s="553">
        <v>4</v>
      </c>
      <c r="I14" s="565" t="s">
        <v>233</v>
      </c>
      <c r="J14" s="209" t="str">
        <f>IF(AND(ISNUMBER(I14),A14&lt;&gt;""), I14/VLOOKUP(A14,'[1]Курс валют'!$A:$D,4,0), "")</f>
        <v/>
      </c>
      <c r="K14" s="565" t="s">
        <v>233</v>
      </c>
      <c r="L14" s="209" t="str">
        <f>IF(AND(ISNUMBER(K14),A14&lt;&gt;""), K14/VLOOKUP(A14,'[1]Курс валют'!$A:$D,4,0), "")</f>
        <v/>
      </c>
      <c r="M14" s="565">
        <v>0</v>
      </c>
      <c r="N14" s="565"/>
      <c r="O14" s="633"/>
      <c r="P14" s="226">
        <f>IF(A14&lt;&gt;"", (M14+O14) / VLOOKUP(A14, 'Курс валют'!$A:$D, 4, 0), "")+N14</f>
        <v>0</v>
      </c>
    </row>
    <row r="15" spans="1:16" ht="14.25" outlineLevel="2" x14ac:dyDescent="0.45">
      <c r="A15" s="216">
        <v>46063</v>
      </c>
      <c r="B15" s="206">
        <v>8</v>
      </c>
      <c r="C15" s="207" t="s">
        <v>443</v>
      </c>
      <c r="D15" s="208" t="s">
        <v>436</v>
      </c>
      <c r="E15" s="208" t="s">
        <v>432</v>
      </c>
      <c r="F15" s="208" t="s">
        <v>428</v>
      </c>
      <c r="G15" s="208" t="s">
        <v>69</v>
      </c>
      <c r="H15" s="553">
        <v>2</v>
      </c>
      <c r="I15" s="565" t="s">
        <v>233</v>
      </c>
      <c r="J15" s="209" t="str">
        <f>IF(AND(ISNUMBER(I15),A15&lt;&gt;""), I15/VLOOKUP(A15,'[1]Курс валют'!$A:$D,4,0), "")</f>
        <v/>
      </c>
      <c r="K15" s="565" t="s">
        <v>233</v>
      </c>
      <c r="L15" s="209" t="str">
        <f>IF(AND(ISNUMBER(K15),A15&lt;&gt;""), K15/VLOOKUP(A15,'[1]Курс валют'!$A:$D,4,0), "")</f>
        <v/>
      </c>
      <c r="M15" s="565">
        <v>0</v>
      </c>
      <c r="N15" s="565"/>
      <c r="O15" s="633"/>
      <c r="P15" s="226">
        <f>IF(A15&lt;&gt;"", (M15+O15) / VLOOKUP(A15, 'Курс валют'!$A:$D, 4, 0), "")+N15</f>
        <v>0</v>
      </c>
    </row>
    <row r="16" spans="1:16" ht="14.25" outlineLevel="2" x14ac:dyDescent="0.45">
      <c r="A16" s="216">
        <v>46063</v>
      </c>
      <c r="B16" s="206">
        <v>9</v>
      </c>
      <c r="C16" s="207" t="s">
        <v>444</v>
      </c>
      <c r="D16" s="208" t="s">
        <v>436</v>
      </c>
      <c r="E16" s="208" t="s">
        <v>432</v>
      </c>
      <c r="F16" s="208" t="s">
        <v>428</v>
      </c>
      <c r="G16" s="208" t="s">
        <v>69</v>
      </c>
      <c r="H16" s="553">
        <v>150</v>
      </c>
      <c r="I16" s="565" t="s">
        <v>233</v>
      </c>
      <c r="J16" s="209" t="str">
        <f>IF(AND(ISNUMBER(I16),A16&lt;&gt;""), I16/VLOOKUP(A16,'[1]Курс валют'!$A:$D,4,0), "")</f>
        <v/>
      </c>
      <c r="K16" s="565" t="s">
        <v>233</v>
      </c>
      <c r="L16" s="209" t="str">
        <f>IF(AND(ISNUMBER(K16),A16&lt;&gt;""), K16/VLOOKUP(A16,'[1]Курс валют'!$A:$D,4,0), "")</f>
        <v/>
      </c>
      <c r="M16" s="565">
        <v>0</v>
      </c>
      <c r="N16" s="565"/>
      <c r="O16" s="633"/>
      <c r="P16" s="226">
        <f>IF(A16&lt;&gt;"", (M16+O16) / VLOOKUP(A16, 'Курс валют'!$A:$D, 4, 0), "")+N16</f>
        <v>0</v>
      </c>
    </row>
    <row r="17" spans="1:16" ht="14.25" outlineLevel="2" x14ac:dyDescent="0.45">
      <c r="A17" s="216">
        <v>46063</v>
      </c>
      <c r="B17" s="206">
        <v>10</v>
      </c>
      <c r="C17" s="207" t="s">
        <v>445</v>
      </c>
      <c r="D17" s="208" t="s">
        <v>436</v>
      </c>
      <c r="E17" s="208" t="s">
        <v>432</v>
      </c>
      <c r="F17" s="208" t="s">
        <v>428</v>
      </c>
      <c r="G17" s="208" t="s">
        <v>69</v>
      </c>
      <c r="H17" s="553">
        <v>126</v>
      </c>
      <c r="I17" s="565" t="s">
        <v>233</v>
      </c>
      <c r="J17" s="209" t="str">
        <f>IF(AND(ISNUMBER(I17),A17&lt;&gt;""), I17/VLOOKUP(A17,'[1]Курс валют'!$A:$D,4,0), "")</f>
        <v/>
      </c>
      <c r="K17" s="565" t="s">
        <v>233</v>
      </c>
      <c r="L17" s="209" t="str">
        <f>IF(AND(ISNUMBER(K17),A17&lt;&gt;""), K17/VLOOKUP(A17,'[1]Курс валют'!$A:$D,4,0), "")</f>
        <v/>
      </c>
      <c r="M17" s="565">
        <v>0</v>
      </c>
      <c r="N17" s="565"/>
      <c r="O17" s="633"/>
      <c r="P17" s="226">
        <f>IF(A17&lt;&gt;"", (M17+O17) / VLOOKUP(A17, 'Курс валют'!$A:$D, 4, 0), "")+N17</f>
        <v>0</v>
      </c>
    </row>
    <row r="18" spans="1:16" ht="14.25" outlineLevel="2" x14ac:dyDescent="0.45">
      <c r="A18" s="216">
        <v>46063</v>
      </c>
      <c r="B18" s="206">
        <v>11</v>
      </c>
      <c r="C18" s="207" t="s">
        <v>446</v>
      </c>
      <c r="D18" s="208" t="s">
        <v>436</v>
      </c>
      <c r="E18" s="208" t="s">
        <v>432</v>
      </c>
      <c r="F18" s="208" t="s">
        <v>428</v>
      </c>
      <c r="G18" s="208" t="s">
        <v>69</v>
      </c>
      <c r="H18" s="553">
        <v>140</v>
      </c>
      <c r="I18" s="565" t="s">
        <v>233</v>
      </c>
      <c r="J18" s="209" t="str">
        <f>IF(AND(ISNUMBER(I18),A18&lt;&gt;""), I18/VLOOKUP(A18,'[1]Курс валют'!$A:$D,4,0), "")</f>
        <v/>
      </c>
      <c r="K18" s="565" t="s">
        <v>233</v>
      </c>
      <c r="L18" s="209" t="str">
        <f>IF(AND(ISNUMBER(K18),A18&lt;&gt;""), K18/VLOOKUP(A18,'[1]Курс валют'!$A:$D,4,0), "")</f>
        <v/>
      </c>
      <c r="M18" s="565">
        <v>0</v>
      </c>
      <c r="N18" s="565"/>
      <c r="O18" s="633"/>
      <c r="P18" s="226">
        <f>IF(A18&lt;&gt;"", (M18+O18) / VLOOKUP(A18, 'Курс валют'!$A:$D, 4, 0), "")+N18</f>
        <v>0</v>
      </c>
    </row>
    <row r="19" spans="1:16" ht="14.25" outlineLevel="2" x14ac:dyDescent="0.45">
      <c r="A19" s="216">
        <v>46063</v>
      </c>
      <c r="B19" s="206">
        <v>12</v>
      </c>
      <c r="C19" s="207" t="s">
        <v>447</v>
      </c>
      <c r="D19" s="208" t="s">
        <v>436</v>
      </c>
      <c r="E19" s="208" t="s">
        <v>432</v>
      </c>
      <c r="F19" s="208" t="s">
        <v>428</v>
      </c>
      <c r="G19" s="208" t="s">
        <v>69</v>
      </c>
      <c r="H19" s="553">
        <v>20</v>
      </c>
      <c r="I19" s="565" t="s">
        <v>233</v>
      </c>
      <c r="J19" s="209" t="str">
        <f>IF(AND(ISNUMBER(I19),A19&lt;&gt;""), I19/VLOOKUP(A19,'[1]Курс валют'!$A:$D,4,0), "")</f>
        <v/>
      </c>
      <c r="K19" s="565" t="s">
        <v>233</v>
      </c>
      <c r="L19" s="209" t="str">
        <f>IF(AND(ISNUMBER(K19),A19&lt;&gt;""), K19/VLOOKUP(A19,'[1]Курс валют'!$A:$D,4,0), "")</f>
        <v/>
      </c>
      <c r="M19" s="565">
        <v>0</v>
      </c>
      <c r="N19" s="565"/>
      <c r="O19" s="633"/>
      <c r="P19" s="226">
        <f>IF(A19&lt;&gt;"", (M19+O19) / VLOOKUP(A19, 'Курс валют'!$A:$D, 4, 0), "")+N19</f>
        <v>0</v>
      </c>
    </row>
    <row r="20" spans="1:16" ht="14.25" outlineLevel="2" x14ac:dyDescent="0.45">
      <c r="A20" s="216">
        <v>46063</v>
      </c>
      <c r="B20" s="206">
        <v>13</v>
      </c>
      <c r="C20" s="207" t="s">
        <v>448</v>
      </c>
      <c r="D20" s="208" t="s">
        <v>436</v>
      </c>
      <c r="E20" s="208" t="s">
        <v>432</v>
      </c>
      <c r="F20" s="208" t="s">
        <v>428</v>
      </c>
      <c r="G20" s="208" t="s">
        <v>69</v>
      </c>
      <c r="H20" s="553">
        <v>40</v>
      </c>
      <c r="I20" s="565" t="s">
        <v>233</v>
      </c>
      <c r="J20" s="209" t="str">
        <f>IF(AND(ISNUMBER(I20),A20&lt;&gt;""), I20/VLOOKUP(A20,'[1]Курс валют'!$A:$D,4,0), "")</f>
        <v/>
      </c>
      <c r="K20" s="565" t="s">
        <v>233</v>
      </c>
      <c r="L20" s="209" t="str">
        <f>IF(AND(ISNUMBER(K20),A20&lt;&gt;""), K20/VLOOKUP(A20,'[1]Курс валют'!$A:$D,4,0), "")</f>
        <v/>
      </c>
      <c r="M20" s="565">
        <v>0</v>
      </c>
      <c r="N20" s="565"/>
      <c r="O20" s="633"/>
      <c r="P20" s="226">
        <f>IF(A20&lt;&gt;"", (M20+O20) / VLOOKUP(A20, 'Курс валют'!$A:$D, 4, 0), "")+N20</f>
        <v>0</v>
      </c>
    </row>
    <row r="21" spans="1:16" ht="14.25" outlineLevel="2" x14ac:dyDescent="0.45">
      <c r="A21" s="216">
        <v>46063</v>
      </c>
      <c r="B21" s="206">
        <v>14</v>
      </c>
      <c r="C21" s="207" t="s">
        <v>449</v>
      </c>
      <c r="D21" s="208" t="s">
        <v>436</v>
      </c>
      <c r="E21" s="208" t="s">
        <v>432</v>
      </c>
      <c r="F21" s="208" t="s">
        <v>428</v>
      </c>
      <c r="G21" s="208" t="s">
        <v>69</v>
      </c>
      <c r="H21" s="553">
        <v>12</v>
      </c>
      <c r="I21" s="565" t="s">
        <v>233</v>
      </c>
      <c r="J21" s="209" t="str">
        <f>IF(AND(ISNUMBER(I21),A21&lt;&gt;""), I21/VLOOKUP(A21,'[1]Курс валют'!$A:$D,4,0), "")</f>
        <v/>
      </c>
      <c r="K21" s="565" t="s">
        <v>233</v>
      </c>
      <c r="L21" s="209" t="str">
        <f>IF(AND(ISNUMBER(K21),A21&lt;&gt;""), K21/VLOOKUP(A21,'[1]Курс валют'!$A:$D,4,0), "")</f>
        <v/>
      </c>
      <c r="M21" s="565">
        <v>0</v>
      </c>
      <c r="N21" s="565"/>
      <c r="O21" s="633"/>
      <c r="P21" s="226">
        <f>IF(A21&lt;&gt;"", (M21+O21) / VLOOKUP(A21, 'Курс валют'!$A:$D, 4, 0), "")+N21</f>
        <v>0</v>
      </c>
    </row>
    <row r="22" spans="1:16" ht="14.25" outlineLevel="2" x14ac:dyDescent="0.45">
      <c r="A22" s="216">
        <v>46063</v>
      </c>
      <c r="B22" s="206">
        <v>15</v>
      </c>
      <c r="C22" s="207" t="s">
        <v>450</v>
      </c>
      <c r="D22" s="208" t="s">
        <v>436</v>
      </c>
      <c r="E22" s="208" t="s">
        <v>432</v>
      </c>
      <c r="F22" s="208" t="s">
        <v>428</v>
      </c>
      <c r="G22" s="208" t="s">
        <v>69</v>
      </c>
      <c r="H22" s="553">
        <v>12</v>
      </c>
      <c r="I22" s="565" t="s">
        <v>233</v>
      </c>
      <c r="J22" s="209" t="str">
        <f>IF(AND(ISNUMBER(I22),A22&lt;&gt;""), I22/VLOOKUP(A22,'[1]Курс валют'!$A:$D,4,0), "")</f>
        <v/>
      </c>
      <c r="K22" s="565" t="s">
        <v>233</v>
      </c>
      <c r="L22" s="209" t="str">
        <f>IF(AND(ISNUMBER(K22),A22&lt;&gt;""), K22/VLOOKUP(A22,'[1]Курс валют'!$A:$D,4,0), "")</f>
        <v/>
      </c>
      <c r="M22" s="565">
        <v>0</v>
      </c>
      <c r="N22" s="565"/>
      <c r="O22" s="633"/>
      <c r="P22" s="226">
        <f>IF(A22&lt;&gt;"", (M22+O22) / VLOOKUP(A22, 'Курс валют'!$A:$D, 4, 0), "")+N22</f>
        <v>0</v>
      </c>
    </row>
    <row r="23" spans="1:16" ht="14.25" outlineLevel="2" x14ac:dyDescent="0.45">
      <c r="A23" s="216">
        <v>46063</v>
      </c>
      <c r="B23" s="206">
        <v>16</v>
      </c>
      <c r="C23" s="207" t="s">
        <v>451</v>
      </c>
      <c r="D23" s="208" t="s">
        <v>436</v>
      </c>
      <c r="E23" s="208" t="s">
        <v>432</v>
      </c>
      <c r="F23" s="208" t="s">
        <v>428</v>
      </c>
      <c r="G23" s="208" t="s">
        <v>69</v>
      </c>
      <c r="H23" s="553">
        <v>80</v>
      </c>
      <c r="I23" s="565" t="s">
        <v>233</v>
      </c>
      <c r="J23" s="209" t="str">
        <f>IF(AND(ISNUMBER(I23),A23&lt;&gt;""), I23/VLOOKUP(A23,'[1]Курс валют'!$A:$D,4,0), "")</f>
        <v/>
      </c>
      <c r="K23" s="565" t="s">
        <v>233</v>
      </c>
      <c r="L23" s="209" t="str">
        <f>IF(AND(ISNUMBER(K23),A23&lt;&gt;""), K23/VLOOKUP(A23,'[1]Курс валют'!$A:$D,4,0), "")</f>
        <v/>
      </c>
      <c r="M23" s="565">
        <v>0</v>
      </c>
      <c r="N23" s="565"/>
      <c r="O23" s="633"/>
      <c r="P23" s="226">
        <f>IF(A23&lt;&gt;"", (M23+O23) / VLOOKUP(A23, 'Курс валют'!$A:$D, 4, 0), "")+N23</f>
        <v>0</v>
      </c>
    </row>
    <row r="24" spans="1:16" ht="14.25" outlineLevel="2" x14ac:dyDescent="0.45">
      <c r="A24" s="216">
        <v>46063</v>
      </c>
      <c r="B24" s="206">
        <v>17</v>
      </c>
      <c r="C24" s="207" t="s">
        <v>452</v>
      </c>
      <c r="D24" s="208" t="s">
        <v>436</v>
      </c>
      <c r="E24" s="208" t="s">
        <v>432</v>
      </c>
      <c r="F24" s="208" t="s">
        <v>428</v>
      </c>
      <c r="G24" s="208" t="s">
        <v>69</v>
      </c>
      <c r="H24" s="553">
        <v>160</v>
      </c>
      <c r="I24" s="565" t="s">
        <v>233</v>
      </c>
      <c r="J24" s="209" t="str">
        <f>IF(AND(ISNUMBER(I24),A24&lt;&gt;""), I24/VLOOKUP(A24,'[1]Курс валют'!$A:$D,4,0), "")</f>
        <v/>
      </c>
      <c r="K24" s="565" t="s">
        <v>233</v>
      </c>
      <c r="L24" s="209" t="str">
        <f>IF(AND(ISNUMBER(K24),A24&lt;&gt;""), K24/VLOOKUP(A24,'[1]Курс валют'!$A:$D,4,0), "")</f>
        <v/>
      </c>
      <c r="M24" s="565">
        <v>0</v>
      </c>
      <c r="N24" s="565"/>
      <c r="O24" s="633"/>
      <c r="P24" s="226">
        <f>IF(A24&lt;&gt;"", (M24+O24) / VLOOKUP(A24, 'Курс валют'!$A:$D, 4, 0), "")+N24</f>
        <v>0</v>
      </c>
    </row>
    <row r="25" spans="1:16" ht="14.25" outlineLevel="1" x14ac:dyDescent="0.45">
      <c r="A25" s="216" t="s">
        <v>86</v>
      </c>
      <c r="B25" s="206"/>
      <c r="C25" s="207"/>
      <c r="D25" s="208"/>
      <c r="E25" s="208"/>
      <c r="F25" s="208"/>
      <c r="G25" s="208"/>
      <c r="H25" s="553"/>
      <c r="I25" s="565"/>
      <c r="J25" s="209" t="str">
        <f>IF(AND(ISNUMBER(I25),A25&lt;&gt;""), I25/VLOOKUP(A25,'[1]Курс валют'!$A:$D,4,0), "")</f>
        <v/>
      </c>
      <c r="K25" s="565"/>
      <c r="L25" s="209" t="str">
        <f>IF(AND(ISNUMBER(K25),A25&lt;&gt;""), K25/VLOOKUP(A25,'[1]Курс валют'!$A:$D,4,0), "")</f>
        <v/>
      </c>
      <c r="M25" s="565">
        <f>SUBTOTAL(9,M8:M24)</f>
        <v>0</v>
      </c>
      <c r="N25" s="565"/>
      <c r="O25" s="565"/>
      <c r="P25" s="226" t="e">
        <f>IF(A25&lt;&gt;"", (M25+O25) / VLOOKUP(A25, 'Курс валют'!$A:$D, 4, 0), "")+N25</f>
        <v>#N/A</v>
      </c>
    </row>
    <row r="26" spans="1:16" ht="14.25" outlineLevel="2" x14ac:dyDescent="0.45">
      <c r="A26" s="216">
        <v>46081</v>
      </c>
      <c r="B26" s="206">
        <v>1</v>
      </c>
      <c r="C26" s="207" t="s">
        <v>453</v>
      </c>
      <c r="D26" s="208" t="s">
        <v>454</v>
      </c>
      <c r="E26" s="208" t="s">
        <v>455</v>
      </c>
      <c r="F26" s="208" t="s">
        <v>428</v>
      </c>
      <c r="G26" s="208" t="s">
        <v>69</v>
      </c>
      <c r="H26" s="553">
        <v>18</v>
      </c>
      <c r="I26" s="565" t="s">
        <v>233</v>
      </c>
      <c r="J26" s="209" t="str">
        <f>IF(AND(ISNUMBER(I26),A26&lt;&gt;""), I26/VLOOKUP(A26,'[1]Курс валют'!$A:$D,4,0), "")</f>
        <v/>
      </c>
      <c r="K26" s="565" t="s">
        <v>233</v>
      </c>
      <c r="L26" s="209" t="str">
        <f>IF(AND(ISNUMBER(K26),A26&lt;&gt;""), K26/VLOOKUP(A26,'[1]Курс валют'!$A:$D,4,0), "")</f>
        <v/>
      </c>
      <c r="M26" s="565">
        <v>0</v>
      </c>
      <c r="N26" s="565"/>
      <c r="O26" s="565"/>
      <c r="P26" s="226">
        <f>IF(A26&lt;&gt;"", (M26+O26) / VLOOKUP(A26, 'Курс валют'!$A:$D, 4, 0), "")+N26</f>
        <v>0</v>
      </c>
    </row>
    <row r="27" spans="1:16" ht="14.25" outlineLevel="2" x14ac:dyDescent="0.45">
      <c r="A27" s="216">
        <v>46081</v>
      </c>
      <c r="B27" s="206">
        <v>2</v>
      </c>
      <c r="C27" s="207" t="s">
        <v>456</v>
      </c>
      <c r="D27" s="208" t="s">
        <v>454</v>
      </c>
      <c r="E27" s="208" t="s">
        <v>455</v>
      </c>
      <c r="F27" s="208" t="s">
        <v>428</v>
      </c>
      <c r="G27" s="208" t="s">
        <v>69</v>
      </c>
      <c r="H27" s="553">
        <v>10</v>
      </c>
      <c r="I27" s="565" t="s">
        <v>233</v>
      </c>
      <c r="J27" s="209" t="str">
        <f>IF(AND(ISNUMBER(I27),A27&lt;&gt;""), I27/VLOOKUP(A27,'[1]Курс валют'!$A:$D,4,0), "")</f>
        <v/>
      </c>
      <c r="K27" s="565" t="s">
        <v>233</v>
      </c>
      <c r="L27" s="209" t="str">
        <f>IF(AND(ISNUMBER(K27),A27&lt;&gt;""), K27/VLOOKUP(A27,'[1]Курс валют'!$A:$D,4,0), "")</f>
        <v/>
      </c>
      <c r="M27" s="565">
        <v>0</v>
      </c>
      <c r="N27" s="565"/>
      <c r="O27" s="565"/>
      <c r="P27" s="226">
        <f>IF(A27&lt;&gt;"", (M27+O27) / VLOOKUP(A27, 'Курс валют'!$A:$D, 4, 0), "")+N27</f>
        <v>0</v>
      </c>
    </row>
    <row r="28" spans="1:16" ht="14.25" outlineLevel="1" x14ac:dyDescent="0.45">
      <c r="A28" s="216" t="s">
        <v>50</v>
      </c>
      <c r="B28" s="206"/>
      <c r="C28" s="207"/>
      <c r="D28" s="208"/>
      <c r="E28" s="208"/>
      <c r="F28" s="208"/>
      <c r="G28" s="208"/>
      <c r="H28" s="553"/>
      <c r="I28" s="565"/>
      <c r="J28" s="209" t="str">
        <f>IF(AND(ISNUMBER(I28),A28&lt;&gt;""), I28/VLOOKUP(A28,'[1]Курс валют'!$A:$D,4,0), "")</f>
        <v/>
      </c>
      <c r="K28" s="565"/>
      <c r="L28" s="209" t="str">
        <f>IF(AND(ISNUMBER(K28),A28&lt;&gt;""), K28/VLOOKUP(A28,'[1]Курс валют'!$A:$D,4,0), "")</f>
        <v/>
      </c>
      <c r="M28" s="565">
        <f>SUBTOTAL(9,M26:M27)</f>
        <v>0</v>
      </c>
      <c r="N28" s="565"/>
      <c r="O28" s="565"/>
      <c r="P28" s="226" t="e">
        <f>IF(A28&lt;&gt;"", (M28+O28) / VLOOKUP(A28, 'Курс валют'!$A:$D, 4, 0), "")+N28</f>
        <v>#N/A</v>
      </c>
    </row>
    <row r="29" spans="1:16" ht="14.25" outlineLevel="2" x14ac:dyDescent="0.45">
      <c r="A29" s="216">
        <v>46082</v>
      </c>
      <c r="B29" s="206">
        <v>1</v>
      </c>
      <c r="C29" s="207" t="s">
        <v>457</v>
      </c>
      <c r="D29" s="208" t="s">
        <v>436</v>
      </c>
      <c r="E29" s="208" t="s">
        <v>432</v>
      </c>
      <c r="F29" s="208" t="s">
        <v>428</v>
      </c>
      <c r="G29" s="208" t="s">
        <v>69</v>
      </c>
      <c r="H29" s="553">
        <v>48</v>
      </c>
      <c r="I29" s="565" t="s">
        <v>233</v>
      </c>
      <c r="J29" s="209" t="str">
        <f>IF(AND(ISNUMBER(I29),A29&lt;&gt;""), I29/VLOOKUP(A29,'[1]Курс валют'!$A:$D,4,0), "")</f>
        <v/>
      </c>
      <c r="K29" s="565" t="s">
        <v>233</v>
      </c>
      <c r="L29" s="209" t="str">
        <f>IF(AND(ISNUMBER(K29),A29&lt;&gt;""), K29/VLOOKUP(A29,'[1]Курс валют'!$A:$D,4,0), "")</f>
        <v/>
      </c>
      <c r="M29" s="565">
        <v>0</v>
      </c>
      <c r="N29" s="565"/>
      <c r="O29" s="565"/>
      <c r="P29" s="226">
        <f>IF(A29&lt;&gt;"", (M29+O29) / VLOOKUP(A29, 'Курс валют'!$A:$D, 4, 0), "")+N29</f>
        <v>0</v>
      </c>
    </row>
    <row r="30" spans="1:16" ht="14.25" outlineLevel="2" x14ac:dyDescent="0.45">
      <c r="A30" s="216">
        <v>46082</v>
      </c>
      <c r="B30" s="206">
        <v>2</v>
      </c>
      <c r="C30" s="207" t="s">
        <v>449</v>
      </c>
      <c r="D30" s="208" t="s">
        <v>436</v>
      </c>
      <c r="E30" s="208" t="s">
        <v>432</v>
      </c>
      <c r="F30" s="208" t="s">
        <v>428</v>
      </c>
      <c r="G30" s="208" t="s">
        <v>69</v>
      </c>
      <c r="H30" s="553">
        <v>20</v>
      </c>
      <c r="I30" s="565" t="s">
        <v>233</v>
      </c>
      <c r="J30" s="209" t="str">
        <f>IF(AND(ISNUMBER(I30),A30&lt;&gt;""), I30/VLOOKUP(A30,'[1]Курс валют'!$A:$D,4,0), "")</f>
        <v/>
      </c>
      <c r="K30" s="565" t="s">
        <v>233</v>
      </c>
      <c r="L30" s="209" t="str">
        <f>IF(AND(ISNUMBER(K30),A30&lt;&gt;""), K30/VLOOKUP(A30,'[1]Курс валют'!$A:$D,4,0), "")</f>
        <v/>
      </c>
      <c r="M30" s="565">
        <v>0</v>
      </c>
      <c r="N30" s="565"/>
      <c r="O30" s="565"/>
      <c r="P30" s="226">
        <f>IF(A30&lt;&gt;"", (M30+O30) / VLOOKUP(A30, 'Курс валют'!$A:$D, 4, 0), "")+N30</f>
        <v>0</v>
      </c>
    </row>
    <row r="31" spans="1:16" ht="14.25" outlineLevel="2" x14ac:dyDescent="0.45">
      <c r="A31" s="216">
        <v>46082</v>
      </c>
      <c r="B31" s="206">
        <v>3</v>
      </c>
      <c r="C31" s="207" t="s">
        <v>450</v>
      </c>
      <c r="D31" s="208" t="s">
        <v>436</v>
      </c>
      <c r="E31" s="208" t="s">
        <v>432</v>
      </c>
      <c r="F31" s="208" t="s">
        <v>428</v>
      </c>
      <c r="G31" s="208" t="s">
        <v>69</v>
      </c>
      <c r="H31" s="553">
        <v>20</v>
      </c>
      <c r="I31" s="565" t="s">
        <v>233</v>
      </c>
      <c r="J31" s="209" t="str">
        <f>IF(AND(ISNUMBER(I31),A31&lt;&gt;""), I31/VLOOKUP(A31,'[1]Курс валют'!$A:$D,4,0), "")</f>
        <v/>
      </c>
      <c r="K31" s="565" t="s">
        <v>233</v>
      </c>
      <c r="L31" s="209" t="str">
        <f>IF(AND(ISNUMBER(K31),A31&lt;&gt;""), K31/VLOOKUP(A31,'[1]Курс валют'!$A:$D,4,0), "")</f>
        <v/>
      </c>
      <c r="M31" s="565">
        <v>0</v>
      </c>
      <c r="N31" s="565"/>
      <c r="O31" s="565"/>
      <c r="P31" s="226">
        <f>IF(A31&lt;&gt;"", (M31+O31) / VLOOKUP(A31, 'Курс валют'!$A:$D, 4, 0), "")+N31</f>
        <v>0</v>
      </c>
    </row>
    <row r="32" spans="1:16" ht="14.25" outlineLevel="2" x14ac:dyDescent="0.45">
      <c r="A32" s="216">
        <v>46082</v>
      </c>
      <c r="B32" s="206">
        <v>4</v>
      </c>
      <c r="C32" s="207" t="s">
        <v>458</v>
      </c>
      <c r="D32" s="208" t="s">
        <v>436</v>
      </c>
      <c r="E32" s="208" t="s">
        <v>432</v>
      </c>
      <c r="F32" s="208" t="s">
        <v>428</v>
      </c>
      <c r="G32" s="208" t="s">
        <v>69</v>
      </c>
      <c r="H32" s="553">
        <v>48</v>
      </c>
      <c r="I32" s="565" t="s">
        <v>233</v>
      </c>
      <c r="J32" s="209" t="str">
        <f>IF(AND(ISNUMBER(I32),A32&lt;&gt;""), I32/VLOOKUP(A32,'[1]Курс валют'!$A:$D,4,0), "")</f>
        <v/>
      </c>
      <c r="K32" s="565" t="s">
        <v>233</v>
      </c>
      <c r="L32" s="209" t="str">
        <f>IF(AND(ISNUMBER(K32),A32&lt;&gt;""), K32/VLOOKUP(A32,'[1]Курс валют'!$A:$D,4,0), "")</f>
        <v/>
      </c>
      <c r="M32" s="565">
        <v>0</v>
      </c>
      <c r="N32" s="565"/>
      <c r="O32" s="565"/>
      <c r="P32" s="226">
        <f>IF(A32&lt;&gt;"", (M32+O32) / VLOOKUP(A32, 'Курс валют'!$A:$D, 4, 0), "")+N32</f>
        <v>0</v>
      </c>
    </row>
    <row r="33" spans="1:16" ht="14.25" outlineLevel="2" x14ac:dyDescent="0.45">
      <c r="A33" s="216">
        <v>46082</v>
      </c>
      <c r="B33" s="206">
        <v>5</v>
      </c>
      <c r="C33" s="207" t="s">
        <v>446</v>
      </c>
      <c r="D33" s="208" t="s">
        <v>436</v>
      </c>
      <c r="E33" s="208" t="s">
        <v>432</v>
      </c>
      <c r="F33" s="208" t="s">
        <v>428</v>
      </c>
      <c r="G33" s="208" t="s">
        <v>69</v>
      </c>
      <c r="H33" s="553">
        <v>202</v>
      </c>
      <c r="I33" s="565" t="s">
        <v>233</v>
      </c>
      <c r="J33" s="209" t="str">
        <f>IF(AND(ISNUMBER(I33),A33&lt;&gt;""), I33/VLOOKUP(A33,'[1]Курс валют'!$A:$D,4,0), "")</f>
        <v/>
      </c>
      <c r="K33" s="565" t="s">
        <v>233</v>
      </c>
      <c r="L33" s="209" t="str">
        <f>IF(AND(ISNUMBER(K33),A33&lt;&gt;""), K33/VLOOKUP(A33,'[1]Курс валют'!$A:$D,4,0), "")</f>
        <v/>
      </c>
      <c r="M33" s="565">
        <v>0</v>
      </c>
      <c r="N33" s="565"/>
      <c r="O33" s="565"/>
      <c r="P33" s="226">
        <f>IF(A33&lt;&gt;"", (M33+O33) / VLOOKUP(A33, 'Курс валют'!$A:$D, 4, 0), "")+N33</f>
        <v>0</v>
      </c>
    </row>
    <row r="34" spans="1:16" ht="14.25" outlineLevel="2" x14ac:dyDescent="0.45">
      <c r="A34" s="216">
        <v>46082</v>
      </c>
      <c r="B34" s="206">
        <v>6</v>
      </c>
      <c r="C34" s="207" t="s">
        <v>459</v>
      </c>
      <c r="D34" s="208" t="s">
        <v>436</v>
      </c>
      <c r="E34" s="208" t="s">
        <v>432</v>
      </c>
      <c r="F34" s="208" t="s">
        <v>428</v>
      </c>
      <c r="G34" s="208" t="s">
        <v>69</v>
      </c>
      <c r="H34" s="553">
        <v>20</v>
      </c>
      <c r="I34" s="565" t="s">
        <v>233</v>
      </c>
      <c r="J34" s="209" t="str">
        <f>IF(AND(ISNUMBER(I34),A34&lt;&gt;""), I34/VLOOKUP(A34,'[1]Курс валют'!$A:$D,4,0), "")</f>
        <v/>
      </c>
      <c r="K34" s="565" t="s">
        <v>233</v>
      </c>
      <c r="L34" s="209" t="str">
        <f>IF(AND(ISNUMBER(K34),A34&lt;&gt;""), K34/VLOOKUP(A34,'[1]Курс валют'!$A:$D,4,0), "")</f>
        <v/>
      </c>
      <c r="M34" s="565">
        <v>0</v>
      </c>
      <c r="N34" s="565"/>
      <c r="O34" s="565"/>
      <c r="P34" s="226">
        <f>IF(A34&lt;&gt;"", (M34+O34) / VLOOKUP(A34, 'Курс валют'!$A:$D, 4, 0), "")+N34</f>
        <v>0</v>
      </c>
    </row>
    <row r="35" spans="1:16" ht="14.25" outlineLevel="2" x14ac:dyDescent="0.45">
      <c r="A35" s="216">
        <v>46082</v>
      </c>
      <c r="B35" s="206">
        <v>7</v>
      </c>
      <c r="C35" s="207" t="s">
        <v>460</v>
      </c>
      <c r="D35" s="208" t="s">
        <v>436</v>
      </c>
      <c r="E35" s="208" t="s">
        <v>432</v>
      </c>
      <c r="F35" s="208" t="s">
        <v>428</v>
      </c>
      <c r="G35" s="208" t="s">
        <v>69</v>
      </c>
      <c r="H35" s="553">
        <v>2</v>
      </c>
      <c r="I35" s="565" t="s">
        <v>233</v>
      </c>
      <c r="J35" s="209" t="str">
        <f>IF(AND(ISNUMBER(I35),A35&lt;&gt;""), I35/VLOOKUP(A35,'[1]Курс валют'!$A:$D,4,0), "")</f>
        <v/>
      </c>
      <c r="K35" s="565" t="s">
        <v>233</v>
      </c>
      <c r="L35" s="209" t="str">
        <f>IF(AND(ISNUMBER(K35),A35&lt;&gt;""), K35/VLOOKUP(A35,'[1]Курс валют'!$A:$D,4,0), "")</f>
        <v/>
      </c>
      <c r="M35" s="565">
        <v>0</v>
      </c>
      <c r="N35" s="565"/>
      <c r="O35" s="565"/>
      <c r="P35" s="226">
        <f>IF(A35&lt;&gt;"", (M35+O35) / VLOOKUP(A35, 'Курс валют'!$A:$D, 4, 0), "")+N35</f>
        <v>0</v>
      </c>
    </row>
    <row r="36" spans="1:16" ht="14.25" outlineLevel="2" x14ac:dyDescent="0.45">
      <c r="A36" s="216">
        <v>46082</v>
      </c>
      <c r="B36" s="206">
        <v>8</v>
      </c>
      <c r="C36" s="207" t="s">
        <v>461</v>
      </c>
      <c r="D36" s="208" t="s">
        <v>436</v>
      </c>
      <c r="E36" s="208" t="s">
        <v>432</v>
      </c>
      <c r="F36" s="208" t="s">
        <v>428</v>
      </c>
      <c r="G36" s="208" t="s">
        <v>69</v>
      </c>
      <c r="H36" s="553">
        <v>150</v>
      </c>
      <c r="I36" s="565" t="s">
        <v>233</v>
      </c>
      <c r="J36" s="209" t="str">
        <f>IF(AND(ISNUMBER(I36),A36&lt;&gt;""), I36/VLOOKUP(A36,'[1]Курс валют'!$A:$D,4,0), "")</f>
        <v/>
      </c>
      <c r="K36" s="565" t="s">
        <v>233</v>
      </c>
      <c r="L36" s="209" t="str">
        <f>IF(AND(ISNUMBER(K36),A36&lt;&gt;""), K36/VLOOKUP(A36,'[1]Курс валют'!$A:$D,4,0), "")</f>
        <v/>
      </c>
      <c r="M36" s="565">
        <v>0</v>
      </c>
      <c r="N36" s="565"/>
      <c r="O36" s="565"/>
      <c r="P36" s="226">
        <f>IF(A36&lt;&gt;"", (M36+O36) / VLOOKUP(A36, 'Курс валют'!$A:$D, 4, 0), "")+N36</f>
        <v>0</v>
      </c>
    </row>
    <row r="37" spans="1:16" ht="14.25" outlineLevel="2" x14ac:dyDescent="0.45">
      <c r="A37" s="216">
        <v>46082</v>
      </c>
      <c r="B37" s="206">
        <v>9</v>
      </c>
      <c r="C37" s="207" t="s">
        <v>462</v>
      </c>
      <c r="D37" s="208" t="s">
        <v>436</v>
      </c>
      <c r="E37" s="208" t="s">
        <v>432</v>
      </c>
      <c r="F37" s="208" t="s">
        <v>428</v>
      </c>
      <c r="G37" s="208" t="s">
        <v>69</v>
      </c>
      <c r="H37" s="553">
        <v>20</v>
      </c>
      <c r="I37" s="565" t="s">
        <v>233</v>
      </c>
      <c r="J37" s="209" t="str">
        <f>IF(AND(ISNUMBER(I37),A37&lt;&gt;""), I37/VLOOKUP(A37,'[1]Курс валют'!$A:$D,4,0), "")</f>
        <v/>
      </c>
      <c r="K37" s="565" t="s">
        <v>233</v>
      </c>
      <c r="L37" s="209" t="str">
        <f>IF(AND(ISNUMBER(K37),A37&lt;&gt;""), K37/VLOOKUP(A37,'[1]Курс валют'!$A:$D,4,0), "")</f>
        <v/>
      </c>
      <c r="M37" s="565">
        <v>0</v>
      </c>
      <c r="N37" s="565"/>
      <c r="O37" s="565"/>
      <c r="P37" s="226">
        <f>IF(A37&lt;&gt;"", (M37+O37) / VLOOKUP(A37, 'Курс валют'!$A:$D, 4, 0), "")+N37</f>
        <v>0</v>
      </c>
    </row>
    <row r="38" spans="1:16" ht="14.25" outlineLevel="2" x14ac:dyDescent="0.45">
      <c r="A38" s="216">
        <v>46082</v>
      </c>
      <c r="B38" s="206">
        <v>10</v>
      </c>
      <c r="C38" s="207" t="s">
        <v>463</v>
      </c>
      <c r="D38" s="208" t="s">
        <v>436</v>
      </c>
      <c r="E38" s="208" t="s">
        <v>432</v>
      </c>
      <c r="F38" s="208" t="s">
        <v>428</v>
      </c>
      <c r="G38" s="208" t="s">
        <v>69</v>
      </c>
      <c r="H38" s="553">
        <v>40</v>
      </c>
      <c r="I38" s="565" t="s">
        <v>233</v>
      </c>
      <c r="J38" s="209" t="str">
        <f>IF(AND(ISNUMBER(I38),A38&lt;&gt;""), I38/VLOOKUP(A38,'[1]Курс валют'!$A:$D,4,0), "")</f>
        <v/>
      </c>
      <c r="K38" s="565" t="s">
        <v>233</v>
      </c>
      <c r="L38" s="209" t="str">
        <f>IF(AND(ISNUMBER(K38),A38&lt;&gt;""), K38/VLOOKUP(A38,'[1]Курс валют'!$A:$D,4,0), "")</f>
        <v/>
      </c>
      <c r="M38" s="565">
        <v>0</v>
      </c>
      <c r="N38" s="565"/>
      <c r="O38" s="565"/>
      <c r="P38" s="226">
        <f>IF(A38&lt;&gt;"", (M38+O38) / VLOOKUP(A38, 'Курс валют'!$A:$D, 4, 0), "")+N38</f>
        <v>0</v>
      </c>
    </row>
    <row r="39" spans="1:16" ht="14.25" outlineLevel="2" x14ac:dyDescent="0.45">
      <c r="A39" s="216">
        <v>46082</v>
      </c>
      <c r="B39" s="206">
        <v>11</v>
      </c>
      <c r="C39" s="207" t="s">
        <v>464</v>
      </c>
      <c r="D39" s="208" t="s">
        <v>436</v>
      </c>
      <c r="E39" s="208" t="s">
        <v>432</v>
      </c>
      <c r="F39" s="208" t="s">
        <v>428</v>
      </c>
      <c r="G39" s="208" t="s">
        <v>69</v>
      </c>
      <c r="H39" s="553">
        <v>32</v>
      </c>
      <c r="I39" s="565" t="s">
        <v>233</v>
      </c>
      <c r="J39" s="209" t="str">
        <f>IF(AND(ISNUMBER(I39),A39&lt;&gt;""), I39/VLOOKUP(A39,'[1]Курс валют'!$A:$D,4,0), "")</f>
        <v/>
      </c>
      <c r="K39" s="565" t="s">
        <v>233</v>
      </c>
      <c r="L39" s="209" t="str">
        <f>IF(AND(ISNUMBER(K39),A39&lt;&gt;""), K39/VLOOKUP(A39,'[1]Курс валют'!$A:$D,4,0), "")</f>
        <v/>
      </c>
      <c r="M39" s="565">
        <v>0</v>
      </c>
      <c r="N39" s="565"/>
      <c r="O39" s="565"/>
      <c r="P39" s="226">
        <f>IF(A39&lt;&gt;"", (M39+O39) / VLOOKUP(A39, 'Курс валют'!$A:$D, 4, 0), "")+N39</f>
        <v>0</v>
      </c>
    </row>
    <row r="40" spans="1:16" ht="14.25" outlineLevel="2" x14ac:dyDescent="0.45">
      <c r="A40" s="216">
        <v>46082</v>
      </c>
      <c r="B40" s="206">
        <v>12</v>
      </c>
      <c r="C40" s="207" t="s">
        <v>465</v>
      </c>
      <c r="D40" s="208" t="s">
        <v>436</v>
      </c>
      <c r="E40" s="208" t="s">
        <v>432</v>
      </c>
      <c r="F40" s="208" t="s">
        <v>428</v>
      </c>
      <c r="G40" s="208" t="s">
        <v>69</v>
      </c>
      <c r="H40" s="553">
        <v>50</v>
      </c>
      <c r="I40" s="565" t="s">
        <v>233</v>
      </c>
      <c r="J40" s="209" t="str">
        <f>IF(AND(ISNUMBER(I40),A40&lt;&gt;""), I40/VLOOKUP(A40,'[1]Курс валют'!$A:$D,4,0), "")</f>
        <v/>
      </c>
      <c r="K40" s="565" t="s">
        <v>233</v>
      </c>
      <c r="L40" s="209" t="str">
        <f>IF(AND(ISNUMBER(K40),A40&lt;&gt;""), K40/VLOOKUP(A40,'[1]Курс валют'!$A:$D,4,0), "")</f>
        <v/>
      </c>
      <c r="M40" s="565">
        <v>0</v>
      </c>
      <c r="N40" s="565"/>
      <c r="O40" s="565"/>
      <c r="P40" s="226">
        <f>IF(A40&lt;&gt;"", (M40+O40) / VLOOKUP(A40, 'Курс валют'!$A:$D, 4, 0), "")+N40</f>
        <v>0</v>
      </c>
    </row>
    <row r="41" spans="1:16" ht="14.25" outlineLevel="2" x14ac:dyDescent="0.45">
      <c r="A41" s="216">
        <v>46082</v>
      </c>
      <c r="B41" s="206">
        <v>13</v>
      </c>
      <c r="C41" s="207" t="s">
        <v>466</v>
      </c>
      <c r="D41" s="208" t="s">
        <v>436</v>
      </c>
      <c r="E41" s="208" t="s">
        <v>432</v>
      </c>
      <c r="F41" s="208" t="s">
        <v>428</v>
      </c>
      <c r="G41" s="208" t="s">
        <v>69</v>
      </c>
      <c r="H41" s="553">
        <v>4</v>
      </c>
      <c r="I41" s="565" t="s">
        <v>233</v>
      </c>
      <c r="J41" s="209" t="str">
        <f>IF(AND(ISNUMBER(I41),A41&lt;&gt;""), I41/VLOOKUP(A41,'[1]Курс валют'!$A:$D,4,0), "")</f>
        <v/>
      </c>
      <c r="K41" s="565" t="s">
        <v>233</v>
      </c>
      <c r="L41" s="209" t="str">
        <f>IF(AND(ISNUMBER(K41),A41&lt;&gt;""), K41/VLOOKUP(A41,'[1]Курс валют'!$A:$D,4,0), "")</f>
        <v/>
      </c>
      <c r="M41" s="565">
        <v>0</v>
      </c>
      <c r="N41" s="565"/>
      <c r="O41" s="565"/>
      <c r="P41" s="226">
        <f>IF(A41&lt;&gt;"", (M41+O41) / VLOOKUP(A41, 'Курс валют'!$A:$D, 4, 0), "")+N41</f>
        <v>0</v>
      </c>
    </row>
    <row r="42" spans="1:16" ht="14.25" outlineLevel="2" x14ac:dyDescent="0.45">
      <c r="A42" s="216">
        <v>46082</v>
      </c>
      <c r="B42" s="206">
        <v>14</v>
      </c>
      <c r="C42" s="207" t="s">
        <v>467</v>
      </c>
      <c r="D42" s="208" t="s">
        <v>436</v>
      </c>
      <c r="E42" s="208" t="s">
        <v>432</v>
      </c>
      <c r="F42" s="208" t="s">
        <v>428</v>
      </c>
      <c r="G42" s="208" t="s">
        <v>69</v>
      </c>
      <c r="H42" s="553">
        <v>15</v>
      </c>
      <c r="I42" s="565" t="s">
        <v>233</v>
      </c>
      <c r="J42" s="209" t="str">
        <f>IF(AND(ISNUMBER(I42),A42&lt;&gt;""), I42/VLOOKUP(A42,'[1]Курс валют'!$A:$D,4,0), "")</f>
        <v/>
      </c>
      <c r="K42" s="565" t="s">
        <v>233</v>
      </c>
      <c r="L42" s="209" t="str">
        <f>IF(AND(ISNUMBER(K42),A42&lt;&gt;""), K42/VLOOKUP(A42,'[1]Курс валют'!$A:$D,4,0), "")</f>
        <v/>
      </c>
      <c r="M42" s="565">
        <v>0</v>
      </c>
      <c r="N42" s="565"/>
      <c r="O42" s="565"/>
      <c r="P42" s="226">
        <f>IF(A42&lt;&gt;"", (M42+O42) / VLOOKUP(A42, 'Курс валют'!$A:$D, 4, 0), "")+N42</f>
        <v>0</v>
      </c>
    </row>
    <row r="43" spans="1:16" ht="14.25" outlineLevel="2" x14ac:dyDescent="0.45">
      <c r="A43" s="216">
        <v>46082</v>
      </c>
      <c r="B43" s="206">
        <v>15</v>
      </c>
      <c r="C43" s="207" t="s">
        <v>451</v>
      </c>
      <c r="D43" s="208" t="s">
        <v>436</v>
      </c>
      <c r="E43" s="208" t="s">
        <v>432</v>
      </c>
      <c r="F43" s="208" t="s">
        <v>428</v>
      </c>
      <c r="G43" s="208" t="s">
        <v>69</v>
      </c>
      <c r="H43" s="553">
        <v>300</v>
      </c>
      <c r="I43" s="565" t="s">
        <v>233</v>
      </c>
      <c r="J43" s="209" t="str">
        <f>IF(AND(ISNUMBER(I43),A43&lt;&gt;""), I43/VLOOKUP(A43,'[1]Курс валют'!$A:$D,4,0), "")</f>
        <v/>
      </c>
      <c r="K43" s="565" t="s">
        <v>233</v>
      </c>
      <c r="L43" s="209" t="str">
        <f>IF(AND(ISNUMBER(K43),A43&lt;&gt;""), K43/VLOOKUP(A43,'[1]Курс валют'!$A:$D,4,0), "")</f>
        <v/>
      </c>
      <c r="M43" s="565">
        <v>0</v>
      </c>
      <c r="N43" s="565"/>
      <c r="O43" s="565"/>
      <c r="P43" s="226">
        <f>IF(A43&lt;&gt;"", (M43+O43) / VLOOKUP(A43, 'Курс валют'!$A:$D, 4, 0), "")+N43</f>
        <v>0</v>
      </c>
    </row>
    <row r="44" spans="1:16" ht="14.25" outlineLevel="1" x14ac:dyDescent="0.45">
      <c r="A44" s="216" t="s">
        <v>468</v>
      </c>
      <c r="B44" s="206"/>
      <c r="C44" s="207"/>
      <c r="D44" s="208"/>
      <c r="E44" s="208"/>
      <c r="F44" s="208"/>
      <c r="G44" s="208"/>
      <c r="H44" s="553"/>
      <c r="I44" s="565"/>
      <c r="J44" s="209" t="str">
        <f>IF(AND(ISNUMBER(I44),A44&lt;&gt;""), I44/VLOOKUP(A44,'[1]Курс валют'!$A:$D,4,0), "")</f>
        <v/>
      </c>
      <c r="K44" s="565"/>
      <c r="L44" s="209" t="str">
        <f>IF(AND(ISNUMBER(K44),A44&lt;&gt;""), K44/VLOOKUP(A44,'[1]Курс валют'!$A:$D,4,0), "")</f>
        <v/>
      </c>
      <c r="M44" s="565">
        <f>SUBTOTAL(9,M29:M43)</f>
        <v>0</v>
      </c>
      <c r="N44" s="565"/>
      <c r="O44" s="565"/>
      <c r="P44" s="226" t="e">
        <f>IF(A44&lt;&gt;"", (M44+O44) / VLOOKUP(A44, 'Курс валют'!$A:$D, 4, 0), "")+N44</f>
        <v>#N/A</v>
      </c>
    </row>
    <row r="45" spans="1:16" ht="14.25" outlineLevel="2" x14ac:dyDescent="0.45">
      <c r="A45" s="216">
        <v>46091</v>
      </c>
      <c r="B45" s="206">
        <v>1</v>
      </c>
      <c r="C45" s="207" t="s">
        <v>469</v>
      </c>
      <c r="D45" s="208" t="s">
        <v>470</v>
      </c>
      <c r="E45" s="208" t="s">
        <v>427</v>
      </c>
      <c r="F45" s="208" t="s">
        <v>428</v>
      </c>
      <c r="G45" s="208" t="s">
        <v>69</v>
      </c>
      <c r="H45" s="553">
        <v>14</v>
      </c>
      <c r="I45" s="565">
        <v>96500</v>
      </c>
      <c r="J45" s="209"/>
      <c r="K45" s="565">
        <v>96500</v>
      </c>
      <c r="L45" s="209"/>
      <c r="M45" s="565">
        <f>[1]Строй.Мат!$I45*[1]Строй.Мат!$H45*3.3</f>
        <v>4458300</v>
      </c>
      <c r="N45" s="565"/>
      <c r="O45" s="633">
        <v>1100000</v>
      </c>
      <c r="P45" s="226">
        <f>IF(A45&lt;&gt;"", (M45+O45) / VLOOKUP(A45, 'Курс валют'!$A:$D, 4, 0), "")+N45</f>
        <v>463.19166666666666</v>
      </c>
    </row>
    <row r="46" spans="1:16" ht="14.25" outlineLevel="2" x14ac:dyDescent="0.45">
      <c r="A46" s="216">
        <v>46091</v>
      </c>
      <c r="B46" s="206">
        <v>2</v>
      </c>
      <c r="C46" s="207" t="s">
        <v>471</v>
      </c>
      <c r="D46" s="208" t="s">
        <v>470</v>
      </c>
      <c r="E46" s="208" t="s">
        <v>427</v>
      </c>
      <c r="F46" s="208" t="s">
        <v>428</v>
      </c>
      <c r="G46" s="208" t="s">
        <v>69</v>
      </c>
      <c r="H46" s="553">
        <v>200</v>
      </c>
      <c r="I46" s="565">
        <v>96500</v>
      </c>
      <c r="J46" s="209"/>
      <c r="K46" s="565">
        <v>96500</v>
      </c>
      <c r="L46" s="209"/>
      <c r="M46" s="565">
        <f>[1]Строй.Мат!$I46*[1]Строй.Мат!$H46*3.6</f>
        <v>69480000</v>
      </c>
      <c r="N46" s="565"/>
      <c r="O46" s="633"/>
      <c r="P46" s="226">
        <f>IF(A46&lt;&gt;"", (M46+O46) / VLOOKUP(A46, 'Курс валют'!$A:$D, 4, 0), "")+N46</f>
        <v>5790</v>
      </c>
    </row>
    <row r="47" spans="1:16" ht="14.25" outlineLevel="2" x14ac:dyDescent="0.45">
      <c r="A47" s="216">
        <v>46091</v>
      </c>
      <c r="B47" s="206">
        <v>3</v>
      </c>
      <c r="C47" s="207" t="s">
        <v>472</v>
      </c>
      <c r="D47" s="208" t="s">
        <v>470</v>
      </c>
      <c r="E47" s="208" t="s">
        <v>427</v>
      </c>
      <c r="F47" s="208" t="s">
        <v>428</v>
      </c>
      <c r="G47" s="208" t="s">
        <v>69</v>
      </c>
      <c r="H47" s="553">
        <v>158</v>
      </c>
      <c r="I47" s="565">
        <v>96500</v>
      </c>
      <c r="J47" s="209"/>
      <c r="K47" s="565">
        <v>96500</v>
      </c>
      <c r="L47" s="209"/>
      <c r="M47" s="565">
        <f>[1]Строй.Мат!$I47*[1]Строй.Мат!$H47*3.9</f>
        <v>59463300</v>
      </c>
      <c r="N47" s="565"/>
      <c r="O47" s="633"/>
      <c r="P47" s="226">
        <f>IF(A47&lt;&gt;"", (M47+O47) / VLOOKUP(A47, 'Курс валют'!$A:$D, 4, 0), "")+N47</f>
        <v>4955.2749999999996</v>
      </c>
    </row>
    <row r="48" spans="1:16" ht="14.25" outlineLevel="1" x14ac:dyDescent="0.45">
      <c r="A48" s="216" t="s">
        <v>473</v>
      </c>
      <c r="B48" s="206"/>
      <c r="C48" s="207"/>
      <c r="D48" s="208"/>
      <c r="E48" s="208"/>
      <c r="F48" s="208"/>
      <c r="G48" s="208"/>
      <c r="H48" s="553"/>
      <c r="I48" s="565"/>
      <c r="J48" s="209"/>
      <c r="K48" s="565"/>
      <c r="L48" s="209"/>
      <c r="M48" s="565">
        <f>SUBTOTAL(9,M45:M47)</f>
        <v>133401600</v>
      </c>
      <c r="N48" s="565"/>
      <c r="O48" s="565"/>
      <c r="P48" s="226" t="e">
        <f>IF(A48&lt;&gt;"", (M48+O48) / VLOOKUP(A48, 'Курс валют'!$A:$D, 4, 0), "")+N48</f>
        <v>#N/A</v>
      </c>
    </row>
    <row r="49" spans="1:16" ht="14.25" outlineLevel="2" x14ac:dyDescent="0.45">
      <c r="A49" s="216">
        <v>46092</v>
      </c>
      <c r="B49" s="206">
        <v>1</v>
      </c>
      <c r="C49" s="207" t="s">
        <v>474</v>
      </c>
      <c r="D49" s="208" t="s">
        <v>475</v>
      </c>
      <c r="E49" s="208" t="s">
        <v>427</v>
      </c>
      <c r="F49" s="208" t="s">
        <v>428</v>
      </c>
      <c r="G49" s="208" t="s">
        <v>69</v>
      </c>
      <c r="H49" s="553">
        <v>142</v>
      </c>
      <c r="I49" s="565">
        <v>142500</v>
      </c>
      <c r="J49" s="209"/>
      <c r="K49" s="565" t="s">
        <v>233</v>
      </c>
      <c r="L49" s="209"/>
      <c r="M49" s="565">
        <f>[1]Строй.Мат!$I49*[1]Строй.Мат!$H49</f>
        <v>20235000</v>
      </c>
      <c r="N49" s="565"/>
      <c r="O49" s="633">
        <v>1300000</v>
      </c>
      <c r="P49" s="226">
        <f>IF(A49&lt;&gt;"", (M49+O49) / VLOOKUP(A49, 'Курс валют'!$A:$D, 4, 0), "")+N49</f>
        <v>1779.7520661157025</v>
      </c>
    </row>
    <row r="50" spans="1:16" ht="14.25" outlineLevel="2" x14ac:dyDescent="0.45">
      <c r="A50" s="216">
        <v>46092</v>
      </c>
      <c r="B50" s="206">
        <v>2</v>
      </c>
      <c r="C50" s="207" t="s">
        <v>476</v>
      </c>
      <c r="D50" s="208" t="s">
        <v>475</v>
      </c>
      <c r="E50" s="208" t="s">
        <v>427</v>
      </c>
      <c r="F50" s="208" t="s">
        <v>428</v>
      </c>
      <c r="G50" s="208" t="s">
        <v>69</v>
      </c>
      <c r="H50" s="553">
        <v>50</v>
      </c>
      <c r="I50" s="565">
        <v>232750</v>
      </c>
      <c r="J50" s="209"/>
      <c r="K50" s="565" t="s">
        <v>233</v>
      </c>
      <c r="L50" s="209"/>
      <c r="M50" s="565">
        <f>[1]Строй.Мат!$I50*[1]Строй.Мат!$H50</f>
        <v>11637500</v>
      </c>
      <c r="N50" s="565"/>
      <c r="O50" s="633"/>
      <c r="P50" s="226">
        <f>IF(A50&lt;&gt;"", (M50+O50) / VLOOKUP(A50, 'Курс валют'!$A:$D, 4, 0), "")+N50</f>
        <v>961.77685950413218</v>
      </c>
    </row>
    <row r="51" spans="1:16" ht="14.25" outlineLevel="2" x14ac:dyDescent="0.45">
      <c r="A51" s="216">
        <v>46092</v>
      </c>
      <c r="B51" s="206">
        <v>3</v>
      </c>
      <c r="C51" s="207" t="s">
        <v>477</v>
      </c>
      <c r="D51" s="208" t="s">
        <v>475</v>
      </c>
      <c r="E51" s="208" t="s">
        <v>427</v>
      </c>
      <c r="F51" s="208" t="s">
        <v>428</v>
      </c>
      <c r="G51" s="208" t="s">
        <v>69</v>
      </c>
      <c r="H51" s="553">
        <v>50</v>
      </c>
      <c r="I51" s="565">
        <v>190000</v>
      </c>
      <c r="J51" s="209"/>
      <c r="K51" s="565" t="s">
        <v>233</v>
      </c>
      <c r="L51" s="209"/>
      <c r="M51" s="565">
        <f>[1]Строй.Мат!$I51*[1]Строй.Мат!$H51</f>
        <v>9500000</v>
      </c>
      <c r="N51" s="565"/>
      <c r="O51" s="633"/>
      <c r="P51" s="226">
        <f>IF(A51&lt;&gt;"", (M51+O51) / VLOOKUP(A51, 'Курс валют'!$A:$D, 4, 0), "")+N51</f>
        <v>785.12396694214874</v>
      </c>
    </row>
    <row r="52" spans="1:16" ht="14.25" outlineLevel="2" x14ac:dyDescent="0.45">
      <c r="A52" s="216">
        <v>46092</v>
      </c>
      <c r="B52" s="206">
        <v>4</v>
      </c>
      <c r="C52" s="207" t="s">
        <v>469</v>
      </c>
      <c r="D52" s="208" t="s">
        <v>475</v>
      </c>
      <c r="E52" s="208" t="s">
        <v>427</v>
      </c>
      <c r="F52" s="208" t="s">
        <v>428</v>
      </c>
      <c r="G52" s="208" t="s">
        <v>69</v>
      </c>
      <c r="H52" s="553">
        <v>90</v>
      </c>
      <c r="I52" s="565">
        <v>313500</v>
      </c>
      <c r="J52" s="209"/>
      <c r="K52" s="565" t="s">
        <v>233</v>
      </c>
      <c r="L52" s="209"/>
      <c r="M52" s="565">
        <f>[1]Строй.Мат!$I52*[1]Строй.Мат!$H52</f>
        <v>28215000</v>
      </c>
      <c r="N52" s="565"/>
      <c r="O52" s="633"/>
      <c r="P52" s="226">
        <f>IF(A52&lt;&gt;"", (M52+O52) / VLOOKUP(A52, 'Курс валют'!$A:$D, 4, 0), "")+N52</f>
        <v>2331.818181818182</v>
      </c>
    </row>
    <row r="53" spans="1:16" ht="14.25" outlineLevel="2" x14ac:dyDescent="0.45">
      <c r="A53" s="216">
        <v>46092</v>
      </c>
      <c r="B53" s="206">
        <v>5</v>
      </c>
      <c r="C53" s="207" t="s">
        <v>478</v>
      </c>
      <c r="D53" s="208" t="s">
        <v>475</v>
      </c>
      <c r="E53" s="208" t="s">
        <v>427</v>
      </c>
      <c r="F53" s="208" t="s">
        <v>428</v>
      </c>
      <c r="G53" s="208" t="s">
        <v>69</v>
      </c>
      <c r="H53" s="553">
        <v>200</v>
      </c>
      <c r="I53" s="565">
        <v>465000</v>
      </c>
      <c r="J53" s="209"/>
      <c r="K53" s="565" t="s">
        <v>233</v>
      </c>
      <c r="L53" s="209"/>
      <c r="M53" s="565">
        <f>[1]Строй.Мат!$I53*[1]Строй.Мат!$H53</f>
        <v>93000000</v>
      </c>
      <c r="N53" s="565"/>
      <c r="O53" s="633"/>
      <c r="P53" s="226">
        <f>IF(A53&lt;&gt;"", (M53+O53) / VLOOKUP(A53, 'Курс валют'!$A:$D, 4, 0), "")+N53</f>
        <v>7685.9504132231405</v>
      </c>
    </row>
    <row r="54" spans="1:16" ht="14.25" outlineLevel="2" x14ac:dyDescent="0.45">
      <c r="A54" s="216">
        <v>46092</v>
      </c>
      <c r="B54" s="206">
        <v>6</v>
      </c>
      <c r="C54" s="207" t="s">
        <v>479</v>
      </c>
      <c r="D54" s="208" t="s">
        <v>436</v>
      </c>
      <c r="E54" s="208" t="s">
        <v>432</v>
      </c>
      <c r="F54" s="208" t="s">
        <v>428</v>
      </c>
      <c r="G54" s="208" t="s">
        <v>69</v>
      </c>
      <c r="H54" s="553">
        <v>215</v>
      </c>
      <c r="I54" s="565" t="s">
        <v>233</v>
      </c>
      <c r="J54" s="209"/>
      <c r="K54" s="565" t="s">
        <v>233</v>
      </c>
      <c r="L54" s="209"/>
      <c r="M54" s="565">
        <v>0</v>
      </c>
      <c r="N54" s="565"/>
      <c r="O54" s="565"/>
      <c r="P54" s="226">
        <f>IF(A54&lt;&gt;"", (M54+O54) / VLOOKUP(A54, 'Курс валют'!$A:$D, 4, 0), "")+N54</f>
        <v>0</v>
      </c>
    </row>
    <row r="55" spans="1:16" ht="14.25" outlineLevel="2" x14ac:dyDescent="0.45">
      <c r="A55" s="216">
        <v>46092</v>
      </c>
      <c r="B55" s="206">
        <v>7</v>
      </c>
      <c r="C55" s="207" t="s">
        <v>478</v>
      </c>
      <c r="D55" s="208" t="s">
        <v>436</v>
      </c>
      <c r="E55" s="208" t="s">
        <v>432</v>
      </c>
      <c r="F55" s="208" t="s">
        <v>428</v>
      </c>
      <c r="G55" s="208" t="s">
        <v>69</v>
      </c>
      <c r="H55" s="553">
        <v>152</v>
      </c>
      <c r="I55" s="565" t="s">
        <v>233</v>
      </c>
      <c r="J55" s="209"/>
      <c r="K55" s="565" t="s">
        <v>233</v>
      </c>
      <c r="L55" s="209"/>
      <c r="M55" s="565">
        <v>0</v>
      </c>
      <c r="N55" s="565"/>
      <c r="O55" s="565"/>
      <c r="P55" s="226">
        <f>IF(A55&lt;&gt;"", (M55+O55) / VLOOKUP(A55, 'Курс валют'!$A:$D, 4, 0), "")+N55</f>
        <v>0</v>
      </c>
    </row>
    <row r="56" spans="1:16" ht="14.25" outlineLevel="2" x14ac:dyDescent="0.45">
      <c r="A56" s="216">
        <v>46092</v>
      </c>
      <c r="B56" s="206">
        <v>8</v>
      </c>
      <c r="C56" s="207" t="s">
        <v>446</v>
      </c>
      <c r="D56" s="208" t="s">
        <v>436</v>
      </c>
      <c r="E56" s="208" t="s">
        <v>432</v>
      </c>
      <c r="F56" s="208" t="s">
        <v>428</v>
      </c>
      <c r="G56" s="208" t="s">
        <v>69</v>
      </c>
      <c r="H56" s="553">
        <v>60</v>
      </c>
      <c r="I56" s="565" t="s">
        <v>233</v>
      </c>
      <c r="J56" s="209"/>
      <c r="K56" s="565" t="s">
        <v>233</v>
      </c>
      <c r="L56" s="209"/>
      <c r="M56" s="565">
        <v>0</v>
      </c>
      <c r="N56" s="565"/>
      <c r="O56" s="565"/>
      <c r="P56" s="226">
        <f>IF(A56&lt;&gt;"", (M56+O56) / VLOOKUP(A56, 'Курс валют'!$A:$D, 4, 0), "")+N56</f>
        <v>0</v>
      </c>
    </row>
    <row r="57" spans="1:16" ht="14.25" outlineLevel="2" x14ac:dyDescent="0.45">
      <c r="A57" s="216">
        <v>46092</v>
      </c>
      <c r="B57" s="206">
        <v>9</v>
      </c>
      <c r="C57" s="207" t="s">
        <v>462</v>
      </c>
      <c r="D57" s="208" t="s">
        <v>436</v>
      </c>
      <c r="E57" s="208" t="s">
        <v>432</v>
      </c>
      <c r="F57" s="208" t="s">
        <v>428</v>
      </c>
      <c r="G57" s="208" t="s">
        <v>69</v>
      </c>
      <c r="H57" s="553">
        <v>492</v>
      </c>
      <c r="I57" s="565" t="s">
        <v>233</v>
      </c>
      <c r="J57" s="209"/>
      <c r="K57" s="565" t="s">
        <v>233</v>
      </c>
      <c r="L57" s="209"/>
      <c r="M57" s="565">
        <v>0</v>
      </c>
      <c r="N57" s="565"/>
      <c r="O57" s="565"/>
      <c r="P57" s="226">
        <f>IF(A57&lt;&gt;"", (M57+O57) / VLOOKUP(A57, 'Курс валют'!$A:$D, 4, 0), "")+N57</f>
        <v>0</v>
      </c>
    </row>
    <row r="58" spans="1:16" ht="14.25" outlineLevel="1" x14ac:dyDescent="0.45">
      <c r="A58" s="216" t="s">
        <v>101</v>
      </c>
      <c r="B58" s="206"/>
      <c r="C58" s="207"/>
      <c r="D58" s="208"/>
      <c r="E58" s="208"/>
      <c r="F58" s="208"/>
      <c r="G58" s="208"/>
      <c r="H58" s="553"/>
      <c r="I58" s="565"/>
      <c r="J58" s="209"/>
      <c r="K58" s="565"/>
      <c r="L58" s="209"/>
      <c r="M58" s="565">
        <f>SUBTOTAL(9,M49:M57)</f>
        <v>162587500</v>
      </c>
      <c r="N58" s="565"/>
      <c r="O58" s="565"/>
      <c r="P58" s="226" t="e">
        <f>IF(A58&lt;&gt;"", (M58+O58) / VLOOKUP(A58, 'Курс валют'!$A:$D, 4, 0), "")+N58</f>
        <v>#N/A</v>
      </c>
    </row>
    <row r="59" spans="1:16" ht="14.25" outlineLevel="2" x14ac:dyDescent="0.45">
      <c r="A59" s="216">
        <v>46095</v>
      </c>
      <c r="B59" s="206">
        <v>1</v>
      </c>
      <c r="C59" s="207" t="s">
        <v>431</v>
      </c>
      <c r="D59" s="208" t="s">
        <v>233</v>
      </c>
      <c r="E59" s="208" t="s">
        <v>432</v>
      </c>
      <c r="F59" s="208" t="s">
        <v>428</v>
      </c>
      <c r="G59" s="208" t="s">
        <v>433</v>
      </c>
      <c r="H59" s="553">
        <f>6*0.05*0.1*347</f>
        <v>10.410000000000002</v>
      </c>
      <c r="I59" s="565" t="s">
        <v>233</v>
      </c>
      <c r="J59" s="209"/>
      <c r="K59" s="565" t="s">
        <v>233</v>
      </c>
      <c r="L59" s="209"/>
      <c r="M59" s="565">
        <v>0</v>
      </c>
      <c r="N59" s="565"/>
      <c r="O59" s="565"/>
      <c r="P59" s="226">
        <f>IF(A59&lt;&gt;"", (M59+O59) / VLOOKUP(A59, 'Курс валют'!$A:$D, 4, 0), "")+N59</f>
        <v>0</v>
      </c>
    </row>
    <row r="60" spans="1:16" ht="14.25" outlineLevel="1" x14ac:dyDescent="0.45">
      <c r="A60" s="216" t="s">
        <v>480</v>
      </c>
      <c r="B60" s="206"/>
      <c r="C60" s="207"/>
      <c r="D60" s="208"/>
      <c r="E60" s="208"/>
      <c r="F60" s="208"/>
      <c r="G60" s="208"/>
      <c r="H60" s="553"/>
      <c r="I60" s="565"/>
      <c r="J60" s="209"/>
      <c r="K60" s="565"/>
      <c r="L60" s="209"/>
      <c r="M60" s="565">
        <f>SUBTOTAL(9,M59:M59)</f>
        <v>0</v>
      </c>
      <c r="N60" s="565"/>
      <c r="O60" s="565"/>
      <c r="P60" s="226" t="e">
        <f>IF(A60&lt;&gt;"", (M60+O60) / VLOOKUP(A60, 'Курс валют'!$A:$D, 4, 0), "")+N60</f>
        <v>#N/A</v>
      </c>
    </row>
    <row r="61" spans="1:16" ht="14.25" outlineLevel="2" x14ac:dyDescent="0.45">
      <c r="A61" s="216">
        <v>46097</v>
      </c>
      <c r="B61" s="206">
        <v>1</v>
      </c>
      <c r="C61" s="207" t="s">
        <v>481</v>
      </c>
      <c r="D61" s="208" t="s">
        <v>233</v>
      </c>
      <c r="E61" s="208"/>
      <c r="F61" s="208" t="s">
        <v>428</v>
      </c>
      <c r="G61" s="208" t="s">
        <v>69</v>
      </c>
      <c r="H61" s="553">
        <v>500</v>
      </c>
      <c r="I61" s="565" t="s">
        <v>233</v>
      </c>
      <c r="J61" s="209"/>
      <c r="K61" s="565" t="s">
        <v>233</v>
      </c>
      <c r="L61" s="209"/>
      <c r="M61" s="565">
        <v>0</v>
      </c>
      <c r="N61" s="565"/>
      <c r="O61" s="565"/>
      <c r="P61" s="226">
        <f>IF(A61&lt;&gt;"", (M61+O61) / VLOOKUP(A61, 'Курс валют'!$A:$D, 4, 0), "")+N61</f>
        <v>0</v>
      </c>
    </row>
    <row r="62" spans="1:16" ht="14.25" outlineLevel="1" x14ac:dyDescent="0.45">
      <c r="A62" s="216" t="s">
        <v>103</v>
      </c>
      <c r="B62" s="206"/>
      <c r="C62" s="207"/>
      <c r="D62" s="208"/>
      <c r="E62" s="208"/>
      <c r="F62" s="208"/>
      <c r="G62" s="208"/>
      <c r="H62" s="553"/>
      <c r="I62" s="565"/>
      <c r="J62" s="209"/>
      <c r="K62" s="565"/>
      <c r="L62" s="209"/>
      <c r="M62" s="565">
        <f>SUBTOTAL(9,M61:M61)</f>
        <v>0</v>
      </c>
      <c r="N62" s="565"/>
      <c r="O62" s="565"/>
      <c r="P62" s="226" t="e">
        <f>IF(A62&lt;&gt;"", (M62+O62) / VLOOKUP(A62, 'Курс валют'!$A:$D, 4, 0), "")+N62</f>
        <v>#N/A</v>
      </c>
    </row>
    <row r="63" spans="1:16" ht="14.25" outlineLevel="2" x14ac:dyDescent="0.45">
      <c r="A63" s="216">
        <v>46099</v>
      </c>
      <c r="B63" s="206">
        <v>1</v>
      </c>
      <c r="C63" s="207" t="s">
        <v>482</v>
      </c>
      <c r="D63" s="208" t="s">
        <v>483</v>
      </c>
      <c r="E63" s="208" t="s">
        <v>427</v>
      </c>
      <c r="F63" s="208" t="s">
        <v>428</v>
      </c>
      <c r="G63" s="208" t="s">
        <v>69</v>
      </c>
      <c r="H63" s="553">
        <v>100</v>
      </c>
      <c r="I63" s="565" t="s">
        <v>233</v>
      </c>
      <c r="J63" s="209"/>
      <c r="K63" s="565" t="s">
        <v>233</v>
      </c>
      <c r="L63" s="209"/>
      <c r="M63" s="565">
        <v>0</v>
      </c>
      <c r="N63" s="565"/>
      <c r="O63" s="565">
        <v>700000</v>
      </c>
      <c r="P63" s="226">
        <f>IF(A63&lt;&gt;"", (M63+O63) / VLOOKUP(A63, 'Курс валют'!$A:$D, 4, 0), "")+N63</f>
        <v>57.613168724279838</v>
      </c>
    </row>
    <row r="64" spans="1:16" ht="14.25" outlineLevel="2" x14ac:dyDescent="0.45">
      <c r="A64" s="216">
        <v>46099</v>
      </c>
      <c r="B64" s="206">
        <v>2</v>
      </c>
      <c r="C64" s="207" t="s">
        <v>484</v>
      </c>
      <c r="D64" s="208" t="s">
        <v>470</v>
      </c>
      <c r="E64" s="208" t="s">
        <v>427</v>
      </c>
      <c r="F64" s="208" t="s">
        <v>428</v>
      </c>
      <c r="G64" s="208" t="s">
        <v>69</v>
      </c>
      <c r="H64" s="553">
        <v>100</v>
      </c>
      <c r="I64" s="565">
        <v>30000</v>
      </c>
      <c r="J64" s="209"/>
      <c r="K64" s="565" t="s">
        <v>233</v>
      </c>
      <c r="L64" s="209"/>
      <c r="M64" s="565">
        <f>[1]Строй.Мат!$I64*[1]Строй.Мат!$H64</f>
        <v>3000000</v>
      </c>
      <c r="N64" s="565"/>
      <c r="O64" s="633">
        <v>500000</v>
      </c>
      <c r="P64" s="226">
        <f>IF(A64&lt;&gt;"", (M64+O64) / VLOOKUP(A64, 'Курс валют'!$A:$D, 4, 0), "")+N64</f>
        <v>288.06584362139915</v>
      </c>
    </row>
    <row r="65" spans="1:16" ht="14.25" outlineLevel="2" x14ac:dyDescent="0.45">
      <c r="A65" s="216">
        <v>46099</v>
      </c>
      <c r="B65" s="206">
        <v>3</v>
      </c>
      <c r="C65" s="207" t="s">
        <v>485</v>
      </c>
      <c r="D65" s="208" t="s">
        <v>470</v>
      </c>
      <c r="E65" s="208" t="s">
        <v>427</v>
      </c>
      <c r="F65" s="208" t="s">
        <v>428</v>
      </c>
      <c r="G65" s="208" t="s">
        <v>69</v>
      </c>
      <c r="H65" s="553">
        <v>10</v>
      </c>
      <c r="I65" s="565">
        <v>45000</v>
      </c>
      <c r="J65" s="209"/>
      <c r="K65" s="565" t="s">
        <v>233</v>
      </c>
      <c r="L65" s="209"/>
      <c r="M65" s="565">
        <f>[1]Строй.Мат!$I65*[1]Строй.Мат!$H65</f>
        <v>450000</v>
      </c>
      <c r="N65" s="565"/>
      <c r="O65" s="633"/>
      <c r="P65" s="226">
        <f>IF(A65&lt;&gt;"", (M65+O65) / VLOOKUP(A65, 'Курс валют'!$A:$D, 4, 0), "")+N65</f>
        <v>37.037037037037038</v>
      </c>
    </row>
    <row r="66" spans="1:16" ht="14.25" outlineLevel="2" x14ac:dyDescent="0.45">
      <c r="A66" s="216">
        <v>46099</v>
      </c>
      <c r="B66" s="206">
        <v>4</v>
      </c>
      <c r="C66" s="207" t="s">
        <v>486</v>
      </c>
      <c r="D66" s="208" t="s">
        <v>470</v>
      </c>
      <c r="E66" s="208" t="s">
        <v>427</v>
      </c>
      <c r="F66" s="208" t="s">
        <v>428</v>
      </c>
      <c r="G66" s="208" t="s">
        <v>69</v>
      </c>
      <c r="H66" s="553">
        <v>370</v>
      </c>
      <c r="I66" s="565">
        <v>19000</v>
      </c>
      <c r="J66" s="209"/>
      <c r="K66" s="565" t="s">
        <v>233</v>
      </c>
      <c r="L66" s="209"/>
      <c r="M66" s="565">
        <f>[1]Строй.Мат!$I66*[1]Строй.Мат!$H66</f>
        <v>7030000</v>
      </c>
      <c r="N66" s="565"/>
      <c r="O66" s="633"/>
      <c r="P66" s="226">
        <f>IF(A66&lt;&gt;"", (M66+O66) / VLOOKUP(A66, 'Курс валют'!$A:$D, 4, 0), "")+N66</f>
        <v>578.60082304526748</v>
      </c>
    </row>
    <row r="67" spans="1:16" ht="14.25" outlineLevel="1" x14ac:dyDescent="0.45">
      <c r="A67" s="216" t="s">
        <v>397</v>
      </c>
      <c r="B67" s="206"/>
      <c r="C67" s="207"/>
      <c r="D67" s="208"/>
      <c r="E67" s="208"/>
      <c r="F67" s="208"/>
      <c r="G67" s="208"/>
      <c r="H67" s="553"/>
      <c r="I67" s="565"/>
      <c r="J67" s="209"/>
      <c r="K67" s="565"/>
      <c r="L67" s="209"/>
      <c r="M67" s="565">
        <f>SUBTOTAL(9,M63:M66)</f>
        <v>10480000</v>
      </c>
      <c r="N67" s="565"/>
      <c r="O67" s="565"/>
      <c r="P67" s="226" t="e">
        <f>IF(A67&lt;&gt;"", (M67+O67) / VLOOKUP(A67, 'Курс валют'!$A:$D, 4, 0), "")+N67</f>
        <v>#N/A</v>
      </c>
    </row>
    <row r="68" spans="1:16" ht="14.25" outlineLevel="2" x14ac:dyDescent="0.45">
      <c r="A68" s="216">
        <v>46100</v>
      </c>
      <c r="B68" s="206">
        <v>1</v>
      </c>
      <c r="C68" s="207" t="s">
        <v>474</v>
      </c>
      <c r="D68" s="208" t="s">
        <v>475</v>
      </c>
      <c r="E68" s="208" t="s">
        <v>427</v>
      </c>
      <c r="F68" s="208" t="s">
        <v>428</v>
      </c>
      <c r="G68" s="208" t="s">
        <v>69</v>
      </c>
      <c r="H68" s="553">
        <v>100</v>
      </c>
      <c r="I68" s="565">
        <v>142500</v>
      </c>
      <c r="J68" s="209"/>
      <c r="K68" s="565" t="s">
        <v>233</v>
      </c>
      <c r="L68" s="209"/>
      <c r="M68" s="565">
        <f>[1]Строй.Мат!$I68*[1]Строй.Мат!$H68</f>
        <v>14250000</v>
      </c>
      <c r="N68" s="565"/>
      <c r="O68" s="633">
        <v>1300000</v>
      </c>
      <c r="P68" s="226">
        <f>IF(A68&lt;&gt;"", (M68+O68) / VLOOKUP(A68, 'Курс валют'!$A:$D, 4, 0), "")+N68</f>
        <v>1279.835390946502</v>
      </c>
    </row>
    <row r="69" spans="1:16" ht="14.25" outlineLevel="2" x14ac:dyDescent="0.45">
      <c r="A69" s="216">
        <v>46100</v>
      </c>
      <c r="B69" s="206">
        <v>2</v>
      </c>
      <c r="C69" s="207" t="s">
        <v>487</v>
      </c>
      <c r="D69" s="208" t="s">
        <v>475</v>
      </c>
      <c r="E69" s="208" t="s">
        <v>427</v>
      </c>
      <c r="F69" s="208" t="s">
        <v>428</v>
      </c>
      <c r="G69" s="208" t="s">
        <v>69</v>
      </c>
      <c r="H69" s="553">
        <v>175</v>
      </c>
      <c r="I69" s="565">
        <v>285000</v>
      </c>
      <c r="J69" s="209"/>
      <c r="K69" s="565" t="s">
        <v>233</v>
      </c>
      <c r="L69" s="209"/>
      <c r="M69" s="565">
        <f>[1]Строй.Мат!$I69*[1]Строй.Мат!$H69</f>
        <v>49875000</v>
      </c>
      <c r="N69" s="565"/>
      <c r="O69" s="633"/>
      <c r="P69" s="226">
        <f>IF(A69&lt;&gt;"", (M69+O69) / VLOOKUP(A69, 'Курс валют'!$A:$D, 4, 0), "")+N69</f>
        <v>4104.9382716049386</v>
      </c>
    </row>
    <row r="70" spans="1:16" ht="14.25" outlineLevel="2" x14ac:dyDescent="0.45">
      <c r="A70" s="216">
        <v>46100</v>
      </c>
      <c r="B70" s="206">
        <v>3</v>
      </c>
      <c r="C70" s="207" t="s">
        <v>488</v>
      </c>
      <c r="D70" s="208" t="s">
        <v>475</v>
      </c>
      <c r="E70" s="208" t="s">
        <v>427</v>
      </c>
      <c r="F70" s="208" t="s">
        <v>428</v>
      </c>
      <c r="G70" s="208" t="s">
        <v>69</v>
      </c>
      <c r="H70" s="553">
        <v>275</v>
      </c>
      <c r="I70" s="565">
        <v>313500</v>
      </c>
      <c r="J70" s="209"/>
      <c r="K70" s="565" t="s">
        <v>233</v>
      </c>
      <c r="L70" s="209"/>
      <c r="M70" s="565">
        <f>[1]Строй.Мат!$I70*[1]Строй.Мат!$H70</f>
        <v>86212500</v>
      </c>
      <c r="N70" s="565"/>
      <c r="O70" s="633"/>
      <c r="P70" s="226">
        <f>IF(A70&lt;&gt;"", (M70+O70) / VLOOKUP(A70, 'Курс валют'!$A:$D, 4, 0), "")+N70</f>
        <v>7095.6790123456794</v>
      </c>
    </row>
    <row r="71" spans="1:16" ht="14.25" outlineLevel="2" x14ac:dyDescent="0.45">
      <c r="A71" s="216">
        <v>46100</v>
      </c>
      <c r="B71" s="206">
        <v>4</v>
      </c>
      <c r="C71" s="207" t="s">
        <v>489</v>
      </c>
      <c r="D71" s="208" t="s">
        <v>475</v>
      </c>
      <c r="E71" s="208" t="s">
        <v>427</v>
      </c>
      <c r="F71" s="208" t="s">
        <v>428</v>
      </c>
      <c r="G71" s="208" t="s">
        <v>69</v>
      </c>
      <c r="H71" s="553">
        <v>200</v>
      </c>
      <c r="I71" s="565">
        <v>342000</v>
      </c>
      <c r="J71" s="209"/>
      <c r="K71" s="565" t="s">
        <v>233</v>
      </c>
      <c r="L71" s="209"/>
      <c r="M71" s="565">
        <f>[1]Строй.Мат!$I71*[1]Строй.Мат!$H71</f>
        <v>68400000</v>
      </c>
      <c r="N71" s="565"/>
      <c r="O71" s="633"/>
      <c r="P71" s="226">
        <f>IF(A71&lt;&gt;"", (M71+O71) / VLOOKUP(A71, 'Курс валют'!$A:$D, 4, 0), "")+N71</f>
        <v>5629.6296296296296</v>
      </c>
    </row>
    <row r="72" spans="1:16" ht="14.25" outlineLevel="2" x14ac:dyDescent="0.45">
      <c r="A72" s="216">
        <v>46100</v>
      </c>
      <c r="B72" s="206">
        <v>5</v>
      </c>
      <c r="C72" s="207" t="s">
        <v>490</v>
      </c>
      <c r="D72" s="208" t="s">
        <v>475</v>
      </c>
      <c r="E72" s="208" t="s">
        <v>427</v>
      </c>
      <c r="F72" s="208" t="s">
        <v>428</v>
      </c>
      <c r="G72" s="208" t="s">
        <v>69</v>
      </c>
      <c r="H72" s="553">
        <v>50</v>
      </c>
      <c r="I72" s="565">
        <v>370500</v>
      </c>
      <c r="J72" s="209"/>
      <c r="K72" s="565" t="s">
        <v>233</v>
      </c>
      <c r="L72" s="209"/>
      <c r="M72" s="565">
        <f>[1]Строй.Мат!$I72*[1]Строй.Мат!$H72</f>
        <v>18525000</v>
      </c>
      <c r="N72" s="565"/>
      <c r="O72" s="633"/>
      <c r="P72" s="226">
        <f>IF(A72&lt;&gt;"", (M72+O72) / VLOOKUP(A72, 'Курс валют'!$A:$D, 4, 0), "")+N72</f>
        <v>1524.6913580246915</v>
      </c>
    </row>
    <row r="73" spans="1:16" ht="14.25" outlineLevel="2" x14ac:dyDescent="0.45">
      <c r="A73" s="216">
        <v>46100</v>
      </c>
      <c r="B73" s="206">
        <v>6</v>
      </c>
      <c r="C73" s="207" t="s">
        <v>478</v>
      </c>
      <c r="D73" s="208" t="s">
        <v>475</v>
      </c>
      <c r="E73" s="208" t="s">
        <v>427</v>
      </c>
      <c r="F73" s="208" t="s">
        <v>428</v>
      </c>
      <c r="G73" s="208" t="s">
        <v>69</v>
      </c>
      <c r="H73" s="553">
        <v>280</v>
      </c>
      <c r="I73" s="565">
        <v>475000</v>
      </c>
      <c r="J73" s="209"/>
      <c r="K73" s="565" t="s">
        <v>233</v>
      </c>
      <c r="L73" s="209"/>
      <c r="M73" s="565">
        <f>[1]Строй.Мат!$I73*[1]Строй.Мат!$H73</f>
        <v>133000000</v>
      </c>
      <c r="N73" s="565"/>
      <c r="O73" s="633"/>
      <c r="P73" s="226">
        <f>IF(A73&lt;&gt;"", (M73+O73) / VLOOKUP(A73, 'Курс валют'!$A:$D, 4, 0), "")+N73</f>
        <v>10946.502057613168</v>
      </c>
    </row>
    <row r="74" spans="1:16" ht="14.25" outlineLevel="1" x14ac:dyDescent="0.45">
      <c r="A74" s="216" t="s">
        <v>398</v>
      </c>
      <c r="B74" s="206"/>
      <c r="C74" s="207"/>
      <c r="D74" s="208"/>
      <c r="E74" s="208"/>
      <c r="F74" s="208"/>
      <c r="G74" s="208"/>
      <c r="H74" s="553"/>
      <c r="I74" s="565"/>
      <c r="J74" s="209"/>
      <c r="K74" s="565"/>
      <c r="L74" s="209"/>
      <c r="M74" s="565">
        <f>SUBTOTAL(9,M68:M73)</f>
        <v>370262500</v>
      </c>
      <c r="N74" s="565"/>
      <c r="O74" s="565"/>
      <c r="P74" s="226" t="e">
        <f>IF(A74&lt;&gt;"", (M74+O74) / VLOOKUP(A74, 'Курс валют'!$A:$D, 4, 0), "")+N74</f>
        <v>#N/A</v>
      </c>
    </row>
    <row r="75" spans="1:16" ht="14.25" outlineLevel="2" x14ac:dyDescent="0.45">
      <c r="A75" s="216">
        <v>46113</v>
      </c>
      <c r="B75" s="206">
        <v>1</v>
      </c>
      <c r="C75" s="207" t="s">
        <v>431</v>
      </c>
      <c r="D75" s="208" t="s">
        <v>233</v>
      </c>
      <c r="E75" s="208" t="s">
        <v>432</v>
      </c>
      <c r="F75" s="208" t="s">
        <v>428</v>
      </c>
      <c r="G75" s="208" t="s">
        <v>433</v>
      </c>
      <c r="H75" s="553">
        <f>6*0.05*0.1*278</f>
        <v>8.3400000000000016</v>
      </c>
      <c r="I75" s="565" t="s">
        <v>233</v>
      </c>
      <c r="J75" s="209">
        <v>310</v>
      </c>
      <c r="K75" s="565" t="s">
        <v>233</v>
      </c>
      <c r="L75" s="209">
        <f>J75*H75</f>
        <v>2585.4000000000005</v>
      </c>
      <c r="M75" s="565">
        <v>0</v>
      </c>
      <c r="N75" s="209">
        <f>L75</f>
        <v>2585.4000000000005</v>
      </c>
      <c r="O75" s="565"/>
      <c r="P75" s="226">
        <f>IF(A75&lt;&gt;"", (M75+O75) / VLOOKUP(A75, 'Курс валют'!$A:$D, 4, 0), "")+N75</f>
        <v>2585.4000000000005</v>
      </c>
    </row>
    <row r="76" spans="1:16" ht="14.25" outlineLevel="1" x14ac:dyDescent="0.45">
      <c r="A76" s="216" t="s">
        <v>402</v>
      </c>
      <c r="B76" s="206"/>
      <c r="C76" s="207"/>
      <c r="D76" s="208"/>
      <c r="E76" s="208"/>
      <c r="F76" s="208"/>
      <c r="G76" s="208"/>
      <c r="H76" s="553"/>
      <c r="I76" s="565"/>
      <c r="J76" s="209"/>
      <c r="K76" s="565"/>
      <c r="L76" s="209"/>
      <c r="M76" s="565">
        <f>SUBTOTAL(9,M75:M75)</f>
        <v>0</v>
      </c>
      <c r="N76" s="565"/>
      <c r="O76" s="565"/>
      <c r="P76" s="226" t="e">
        <f>IF(A76&lt;&gt;"", (M76+O76) / VLOOKUP(A76, 'Курс валют'!$A:$D, 4, 0), "")+N76</f>
        <v>#N/A</v>
      </c>
    </row>
    <row r="77" spans="1:16" ht="14.25" outlineLevel="2" x14ac:dyDescent="0.45">
      <c r="A77" s="216">
        <v>46114</v>
      </c>
      <c r="B77" s="206">
        <v>1</v>
      </c>
      <c r="C77" s="207" t="s">
        <v>478</v>
      </c>
      <c r="D77" s="208" t="s">
        <v>475</v>
      </c>
      <c r="E77" s="208" t="s">
        <v>427</v>
      </c>
      <c r="F77" s="208" t="s">
        <v>428</v>
      </c>
      <c r="G77" s="208" t="s">
        <v>69</v>
      </c>
      <c r="H77" s="553">
        <v>370</v>
      </c>
      <c r="I77" s="565">
        <v>475000</v>
      </c>
      <c r="J77" s="209"/>
      <c r="K77" s="565"/>
      <c r="L77" s="209"/>
      <c r="M77" s="565">
        <f>[1]Строй.Мат!$I77*[1]Строй.Мат!$H77</f>
        <v>175750000</v>
      </c>
      <c r="N77" s="565"/>
      <c r="O77" s="565">
        <v>1300000</v>
      </c>
      <c r="P77" s="226">
        <f>IF(A77&lt;&gt;"", (M77+O77) / VLOOKUP(A77, 'Курс валют'!$A:$D, 4, 0), "")+N77</f>
        <v>14632.231404958678</v>
      </c>
    </row>
    <row r="78" spans="1:16" ht="14.25" outlineLevel="1" x14ac:dyDescent="0.45">
      <c r="A78" s="216" t="s">
        <v>491</v>
      </c>
      <c r="B78" s="206"/>
      <c r="C78" s="207"/>
      <c r="D78" s="208"/>
      <c r="E78" s="208"/>
      <c r="F78" s="208"/>
      <c r="G78" s="208"/>
      <c r="H78" s="553"/>
      <c r="I78" s="565"/>
      <c r="J78" s="209"/>
      <c r="K78" s="565"/>
      <c r="L78" s="209"/>
      <c r="M78" s="565">
        <f>SUBTOTAL(9,M77:M77)</f>
        <v>175750000</v>
      </c>
      <c r="N78" s="565"/>
      <c r="O78" s="565"/>
      <c r="P78" s="226" t="e">
        <f>IF(A78&lt;&gt;"", (M78+O78) / VLOOKUP(A78, 'Курс валют'!$A:$D, 4, 0), "")+N78</f>
        <v>#N/A</v>
      </c>
    </row>
    <row r="79" spans="1:16" ht="14.25" outlineLevel="2" x14ac:dyDescent="0.45">
      <c r="A79" s="216">
        <v>46116</v>
      </c>
      <c r="B79" s="206">
        <v>1</v>
      </c>
      <c r="C79" s="207" t="s">
        <v>478</v>
      </c>
      <c r="D79" s="208" t="s">
        <v>475</v>
      </c>
      <c r="E79" s="208" t="s">
        <v>427</v>
      </c>
      <c r="F79" s="208" t="s">
        <v>428</v>
      </c>
      <c r="G79" s="208" t="s">
        <v>69</v>
      </c>
      <c r="H79" s="553">
        <v>505</v>
      </c>
      <c r="I79" s="565">
        <v>475000</v>
      </c>
      <c r="J79" s="209"/>
      <c r="K79" s="565"/>
      <c r="L79" s="209"/>
      <c r="M79" s="565">
        <f>[1]Строй.Мат!$I79*[1]Строй.Мат!$H79</f>
        <v>239875000</v>
      </c>
      <c r="N79" s="565"/>
      <c r="O79" s="565">
        <v>1500000</v>
      </c>
      <c r="P79" s="226">
        <f>IF(A79&lt;&gt;"", (M79+O79) / VLOOKUP(A79, 'Курс валют'!$A:$D, 4, 0), "")+N79</f>
        <v>20114.583333333332</v>
      </c>
    </row>
    <row r="80" spans="1:16" ht="14.25" outlineLevel="2" x14ac:dyDescent="0.45">
      <c r="A80" s="216">
        <v>46116</v>
      </c>
      <c r="B80" s="206">
        <v>2</v>
      </c>
      <c r="C80" s="207" t="s">
        <v>492</v>
      </c>
      <c r="D80" s="208" t="s">
        <v>483</v>
      </c>
      <c r="E80" s="208" t="s">
        <v>427</v>
      </c>
      <c r="F80" s="208" t="s">
        <v>428</v>
      </c>
      <c r="G80" s="208" t="s">
        <v>69</v>
      </c>
      <c r="H80" s="553">
        <v>96</v>
      </c>
      <c r="I80" s="565" t="s">
        <v>233</v>
      </c>
      <c r="J80" s="209"/>
      <c r="K80" s="565" t="s">
        <v>233</v>
      </c>
      <c r="L80" s="209"/>
      <c r="M80" s="565">
        <v>0</v>
      </c>
      <c r="N80" s="565"/>
      <c r="O80" s="633">
        <v>700000</v>
      </c>
      <c r="P80" s="226">
        <f>IF(A80&lt;&gt;"", (M80+O80) / VLOOKUP(A80, 'Курс валют'!$A:$D, 4, 0), "")+N80</f>
        <v>58.333333333333336</v>
      </c>
    </row>
    <row r="81" spans="1:16" ht="14.25" outlineLevel="2" x14ac:dyDescent="0.45">
      <c r="A81" s="216">
        <v>46116</v>
      </c>
      <c r="B81" s="206">
        <v>3</v>
      </c>
      <c r="C81" s="207" t="s">
        <v>493</v>
      </c>
      <c r="D81" s="208" t="s">
        <v>483</v>
      </c>
      <c r="E81" s="208" t="s">
        <v>427</v>
      </c>
      <c r="F81" s="208" t="s">
        <v>428</v>
      </c>
      <c r="G81" s="208" t="s">
        <v>69</v>
      </c>
      <c r="H81" s="553">
        <v>3</v>
      </c>
      <c r="I81" s="565" t="s">
        <v>233</v>
      </c>
      <c r="J81" s="209"/>
      <c r="K81" s="565" t="s">
        <v>233</v>
      </c>
      <c r="L81" s="209"/>
      <c r="M81" s="565">
        <v>0</v>
      </c>
      <c r="N81" s="565"/>
      <c r="O81" s="633"/>
      <c r="P81" s="226">
        <f>IF(A81&lt;&gt;"", (M81+O81) / VLOOKUP(A81, 'Курс валют'!$A:$D, 4, 0), "")+N81</f>
        <v>0</v>
      </c>
    </row>
    <row r="82" spans="1:16" ht="14.25" outlineLevel="1" x14ac:dyDescent="0.45">
      <c r="A82" s="216" t="s">
        <v>114</v>
      </c>
      <c r="B82" s="206"/>
      <c r="C82" s="207"/>
      <c r="D82" s="208"/>
      <c r="E82" s="208"/>
      <c r="F82" s="208"/>
      <c r="G82" s="208"/>
      <c r="H82" s="553"/>
      <c r="I82" s="565"/>
      <c r="J82" s="209"/>
      <c r="K82" s="565"/>
      <c r="L82" s="209"/>
      <c r="M82" s="565">
        <f>SUBTOTAL(9,M79:M81)</f>
        <v>239875000</v>
      </c>
      <c r="N82" s="565"/>
      <c r="O82" s="565"/>
      <c r="P82" s="226" t="e">
        <f>IF(A82&lt;&gt;"", (M82+O82) / VLOOKUP(A82, 'Курс валют'!$A:$D, 4, 0), "")+N82</f>
        <v>#N/A</v>
      </c>
    </row>
    <row r="83" spans="1:16" ht="14.25" outlineLevel="2" x14ac:dyDescent="0.45">
      <c r="A83" s="216">
        <v>46122</v>
      </c>
      <c r="B83" s="206">
        <v>1</v>
      </c>
      <c r="C83" s="207" t="s">
        <v>494</v>
      </c>
      <c r="D83" s="208" t="s">
        <v>483</v>
      </c>
      <c r="E83" s="208" t="s">
        <v>427</v>
      </c>
      <c r="F83" s="208" t="s">
        <v>428</v>
      </c>
      <c r="G83" s="208" t="s">
        <v>69</v>
      </c>
      <c r="H83" s="553">
        <v>34</v>
      </c>
      <c r="I83" s="565" t="s">
        <v>233</v>
      </c>
      <c r="J83" s="209"/>
      <c r="K83" s="565" t="s">
        <v>233</v>
      </c>
      <c r="L83" s="209"/>
      <c r="M83" s="565">
        <v>0</v>
      </c>
      <c r="N83" s="565"/>
      <c r="O83" s="633">
        <v>600000</v>
      </c>
      <c r="P83" s="226">
        <f>IF(A83&lt;&gt;"", (M83+O83) / VLOOKUP(A83, 'Курс валют'!$A:$D, 4, 0), "")+N83</f>
        <v>49.180327868852459</v>
      </c>
    </row>
    <row r="84" spans="1:16" ht="14.25" outlineLevel="2" x14ac:dyDescent="0.45">
      <c r="A84" s="216">
        <v>46122</v>
      </c>
      <c r="B84" s="206">
        <v>2</v>
      </c>
      <c r="C84" s="207" t="s">
        <v>495</v>
      </c>
      <c r="D84" s="208" t="s">
        <v>483</v>
      </c>
      <c r="E84" s="208" t="s">
        <v>427</v>
      </c>
      <c r="F84" s="208" t="s">
        <v>428</v>
      </c>
      <c r="G84" s="208" t="s">
        <v>69</v>
      </c>
      <c r="H84" s="553">
        <v>1</v>
      </c>
      <c r="I84" s="565" t="s">
        <v>233</v>
      </c>
      <c r="J84" s="209"/>
      <c r="K84" s="565" t="s">
        <v>233</v>
      </c>
      <c r="L84" s="209"/>
      <c r="M84" s="565">
        <v>0</v>
      </c>
      <c r="N84" s="565"/>
      <c r="O84" s="633"/>
      <c r="P84" s="226">
        <f>IF(A84&lt;&gt;"", (M84+O84) / VLOOKUP(A84, 'Курс валют'!$A:$D, 4, 0), "")+N84</f>
        <v>0</v>
      </c>
    </row>
    <row r="85" spans="1:16" ht="14.25" outlineLevel="1" x14ac:dyDescent="0.45">
      <c r="A85" s="216" t="s">
        <v>405</v>
      </c>
      <c r="B85" s="206"/>
      <c r="C85" s="207"/>
      <c r="D85" s="208"/>
      <c r="E85" s="208"/>
      <c r="F85" s="208"/>
      <c r="G85" s="208"/>
      <c r="H85" s="553"/>
      <c r="I85" s="565"/>
      <c r="J85" s="209"/>
      <c r="K85" s="565"/>
      <c r="L85" s="209"/>
      <c r="M85" s="565">
        <f>SUBTOTAL(9,M83:M84)</f>
        <v>0</v>
      </c>
      <c r="N85" s="565"/>
      <c r="O85" s="565"/>
      <c r="P85" s="226" t="e">
        <f>IF(A85&lt;&gt;"", (M85+O85) / VLOOKUP(A85, 'Курс валют'!$A:$D, 4, 0), "")+N85</f>
        <v>#N/A</v>
      </c>
    </row>
    <row r="86" spans="1:16" ht="14.25" outlineLevel="2" x14ac:dyDescent="0.45">
      <c r="A86" s="216" t="s">
        <v>405</v>
      </c>
      <c r="B86" s="206"/>
      <c r="C86" s="207"/>
      <c r="D86" s="208"/>
      <c r="E86" s="208"/>
      <c r="F86" s="208"/>
      <c r="G86" s="208"/>
      <c r="H86" s="553"/>
      <c r="I86" s="565"/>
      <c r="J86" s="209"/>
      <c r="K86" s="565"/>
      <c r="L86" s="209"/>
      <c r="M86" s="565"/>
      <c r="N86" s="565"/>
      <c r="O86" s="565"/>
      <c r="P86" s="226" t="e">
        <f>IF(A86&lt;&gt;"", (M86+O86) / VLOOKUP(A86, 'Курс валют'!$A:$D, 4, 0), "")+N86</f>
        <v>#N/A</v>
      </c>
    </row>
    <row r="87" spans="1:16" ht="14.25" outlineLevel="1" x14ac:dyDescent="0.45">
      <c r="A87" s="216" t="s">
        <v>496</v>
      </c>
      <c r="B87" s="206"/>
      <c r="C87" s="207"/>
      <c r="D87" s="208"/>
      <c r="E87" s="208"/>
      <c r="F87" s="208"/>
      <c r="G87" s="208"/>
      <c r="H87" s="553"/>
      <c r="I87" s="565"/>
      <c r="J87" s="209"/>
      <c r="K87" s="565"/>
      <c r="L87" s="209"/>
      <c r="M87" s="565">
        <f>SUBTOTAL(9,M86:M86)</f>
        <v>0</v>
      </c>
      <c r="N87" s="565"/>
      <c r="O87" s="565"/>
      <c r="P87" s="226" t="e">
        <f>IF(A87&lt;&gt;"", (M87+O87) / VLOOKUP(A87, 'Курс валют'!$A:$D, 4, 0), "")+N87</f>
        <v>#N/A</v>
      </c>
    </row>
    <row r="88" spans="1:16" ht="14.25" outlineLevel="2" x14ac:dyDescent="0.45">
      <c r="A88" s="216">
        <v>46128</v>
      </c>
      <c r="B88" s="206"/>
      <c r="C88" s="207" t="s">
        <v>497</v>
      </c>
      <c r="D88" s="208" t="s">
        <v>498</v>
      </c>
      <c r="E88" s="208" t="s">
        <v>427</v>
      </c>
      <c r="F88" s="208"/>
      <c r="G88" s="208" t="s">
        <v>69</v>
      </c>
      <c r="H88" s="553">
        <v>300</v>
      </c>
      <c r="I88" s="565">
        <v>1500</v>
      </c>
      <c r="J88" s="209"/>
      <c r="K88" s="565">
        <v>46</v>
      </c>
      <c r="L88" s="209"/>
      <c r="M88" s="565">
        <v>21400000</v>
      </c>
      <c r="N88" s="565"/>
      <c r="O88" s="565"/>
      <c r="P88" s="226">
        <f>IF(A88&lt;&gt;"", (M88+O88) / VLOOKUP(A88, 'Курс валют'!$A:$D, 4, 0), "")+N88</f>
        <v>1761.3168724279835</v>
      </c>
    </row>
    <row r="89" spans="1:16" ht="14.25" outlineLevel="1" x14ac:dyDescent="0.45">
      <c r="A89" s="216" t="s">
        <v>499</v>
      </c>
      <c r="B89" s="206"/>
      <c r="C89" s="207"/>
      <c r="D89" s="208"/>
      <c r="E89" s="208"/>
      <c r="F89" s="208"/>
      <c r="G89" s="208"/>
      <c r="H89" s="553"/>
      <c r="I89" s="565"/>
      <c r="J89" s="209"/>
      <c r="K89" s="565"/>
      <c r="L89" s="209"/>
      <c r="M89" s="565">
        <f>SUBTOTAL(9,M88:M88)</f>
        <v>21400000</v>
      </c>
      <c r="N89" s="565"/>
      <c r="O89" s="565"/>
      <c r="P89" s="226" t="e">
        <f>IF(A89&lt;&gt;"", (M89+O89) / VLOOKUP(A89, 'Курс валют'!$A:$D, 4, 0), "")+N89</f>
        <v>#N/A</v>
      </c>
    </row>
    <row r="90" spans="1:16" ht="14.25" outlineLevel="2" x14ac:dyDescent="0.45">
      <c r="A90" s="216">
        <v>46129</v>
      </c>
      <c r="B90" s="206">
        <v>1</v>
      </c>
      <c r="C90" s="207" t="s">
        <v>500</v>
      </c>
      <c r="D90" s="208" t="s">
        <v>483</v>
      </c>
      <c r="E90" s="208" t="s">
        <v>427</v>
      </c>
      <c r="F90" s="208" t="s">
        <v>428</v>
      </c>
      <c r="G90" s="208" t="s">
        <v>69</v>
      </c>
      <c r="H90" s="553">
        <v>32</v>
      </c>
      <c r="I90" s="565">
        <v>8388000</v>
      </c>
      <c r="J90" s="211"/>
      <c r="K90" s="210"/>
      <c r="L90" s="211"/>
      <c r="M90" s="565">
        <f>I90*H90</f>
        <v>268416000</v>
      </c>
      <c r="N90" s="565"/>
      <c r="O90" s="633">
        <v>1800000</v>
      </c>
      <c r="P90" s="226">
        <f>IF(A90&lt;&gt;"", (M90+O90) / VLOOKUP(A90, 'Курс валют'!$A:$D, 4, 0), "")+N90</f>
        <v>22148.852459016394</v>
      </c>
    </row>
    <row r="91" spans="1:16" ht="14.25" outlineLevel="2" x14ac:dyDescent="0.45">
      <c r="A91" s="216">
        <v>46129</v>
      </c>
      <c r="B91" s="206">
        <v>2</v>
      </c>
      <c r="C91" s="207" t="s">
        <v>501</v>
      </c>
      <c r="D91" s="208" t="s">
        <v>483</v>
      </c>
      <c r="E91" s="208" t="s">
        <v>427</v>
      </c>
      <c r="F91" s="208" t="s">
        <v>428</v>
      </c>
      <c r="G91" s="208" t="s">
        <v>69</v>
      </c>
      <c r="H91" s="553">
        <v>10</v>
      </c>
      <c r="I91" s="565">
        <v>4734000</v>
      </c>
      <c r="J91" s="209"/>
      <c r="K91" s="565" t="s">
        <v>233</v>
      </c>
      <c r="L91" s="209"/>
      <c r="M91" s="565">
        <f>I91*H91</f>
        <v>47340000</v>
      </c>
      <c r="N91" s="565"/>
      <c r="O91" s="633"/>
      <c r="P91" s="226">
        <f>IF(A91&lt;&gt;"", (M91+O91) / VLOOKUP(A91, 'Курс валют'!$A:$D, 4, 0), "")+N91</f>
        <v>3880.3278688524592</v>
      </c>
    </row>
    <row r="92" spans="1:16" ht="14.25" outlineLevel="1" x14ac:dyDescent="0.45">
      <c r="A92" s="216" t="s">
        <v>118</v>
      </c>
      <c r="B92" s="206"/>
      <c r="C92" s="207"/>
      <c r="D92" s="208"/>
      <c r="E92" s="208"/>
      <c r="F92" s="208"/>
      <c r="G92" s="208"/>
      <c r="H92" s="553"/>
      <c r="I92" s="565"/>
      <c r="J92" s="209"/>
      <c r="K92" s="565"/>
      <c r="L92" s="209"/>
      <c r="M92" s="565">
        <f>SUBTOTAL(9,M90:M91)</f>
        <v>315756000</v>
      </c>
      <c r="N92" s="565"/>
      <c r="O92" s="565"/>
      <c r="P92" s="226" t="e">
        <f>IF(A92&lt;&gt;"", (M92+O92) / VLOOKUP(A92, 'Курс валют'!$A:$D, 4, 0), "")+N92</f>
        <v>#N/A</v>
      </c>
    </row>
    <row r="93" spans="1:16" ht="14.25" outlineLevel="2" x14ac:dyDescent="0.45">
      <c r="A93" s="216">
        <v>46132</v>
      </c>
      <c r="B93" s="206">
        <v>1</v>
      </c>
      <c r="C93" s="207" t="s">
        <v>479</v>
      </c>
      <c r="D93" s="208" t="s">
        <v>483</v>
      </c>
      <c r="E93" s="208" t="s">
        <v>427</v>
      </c>
      <c r="F93" s="208" t="s">
        <v>428</v>
      </c>
      <c r="G93" s="208" t="s">
        <v>69</v>
      </c>
      <c r="H93" s="553">
        <v>100</v>
      </c>
      <c r="I93" s="565">
        <v>155150</v>
      </c>
      <c r="J93" s="209"/>
      <c r="K93" s="565"/>
      <c r="L93" s="209"/>
      <c r="M93" s="565">
        <f t="shared" ref="M93:M94" si="0">I93*H93</f>
        <v>15515000</v>
      </c>
      <c r="N93" s="565"/>
      <c r="O93" s="633">
        <v>700000</v>
      </c>
      <c r="P93" s="226">
        <f>IF(A93&lt;&gt;"", (M93+O93) / VLOOKUP(A93, 'Курс валют'!$A:$D, 4, 0), "")+N93</f>
        <v>1346.7607973421927</v>
      </c>
    </row>
    <row r="94" spans="1:16" ht="14.25" outlineLevel="2" x14ac:dyDescent="0.45">
      <c r="A94" s="216">
        <v>46132</v>
      </c>
      <c r="B94" s="206">
        <v>2</v>
      </c>
      <c r="C94" s="207" t="s">
        <v>461</v>
      </c>
      <c r="D94" s="208" t="s">
        <v>483</v>
      </c>
      <c r="E94" s="208" t="s">
        <v>427</v>
      </c>
      <c r="F94" s="208" t="s">
        <v>428</v>
      </c>
      <c r="G94" s="208" t="s">
        <v>69</v>
      </c>
      <c r="H94" s="553">
        <v>128</v>
      </c>
      <c r="I94" s="565">
        <v>180000</v>
      </c>
      <c r="J94" s="209"/>
      <c r="K94" s="565" t="s">
        <v>233</v>
      </c>
      <c r="L94" s="209"/>
      <c r="M94" s="565">
        <f t="shared" si="0"/>
        <v>23040000</v>
      </c>
      <c r="N94" s="565"/>
      <c r="O94" s="633"/>
      <c r="P94" s="226">
        <f>IF(A94&lt;&gt;"", (M94+O94) / VLOOKUP(A94, 'Курс валют'!$A:$D, 4, 0), "")+N94</f>
        <v>1913.6212624584718</v>
      </c>
    </row>
    <row r="95" spans="1:16" ht="14.25" outlineLevel="1" x14ac:dyDescent="0.45">
      <c r="A95" s="216" t="s">
        <v>409</v>
      </c>
      <c r="B95" s="206"/>
      <c r="C95" s="207"/>
      <c r="D95" s="208"/>
      <c r="E95" s="208"/>
      <c r="F95" s="208"/>
      <c r="G95" s="208"/>
      <c r="H95" s="553"/>
      <c r="I95" s="565"/>
      <c r="J95" s="209"/>
      <c r="K95" s="565"/>
      <c r="L95" s="209"/>
      <c r="M95" s="565">
        <f>SUBTOTAL(9,M93:M94)</f>
        <v>38555000</v>
      </c>
      <c r="N95" s="565"/>
      <c r="O95" s="565"/>
      <c r="P95" s="226" t="e">
        <f>IF(A95&lt;&gt;"", (M95+O95) / VLOOKUP(A95, 'Курс валют'!$A:$D, 4, 0), "")+N95</f>
        <v>#N/A</v>
      </c>
    </row>
    <row r="96" spans="1:16" ht="14.25" outlineLevel="2" x14ac:dyDescent="0.45">
      <c r="A96" s="216">
        <v>46135</v>
      </c>
      <c r="B96" s="206">
        <v>1</v>
      </c>
      <c r="C96" s="207" t="s">
        <v>497</v>
      </c>
      <c r="D96" s="208" t="s">
        <v>483</v>
      </c>
      <c r="E96" s="208" t="s">
        <v>427</v>
      </c>
      <c r="F96" s="208" t="s">
        <v>428</v>
      </c>
      <c r="G96" s="208" t="s">
        <v>69</v>
      </c>
      <c r="H96" s="553">
        <v>1000</v>
      </c>
      <c r="I96" s="565">
        <v>617100</v>
      </c>
      <c r="J96" s="209"/>
      <c r="K96" s="565" t="s">
        <v>233</v>
      </c>
      <c r="L96" s="209"/>
      <c r="M96" s="565">
        <f>I96*H96</f>
        <v>617100000</v>
      </c>
      <c r="N96" s="565"/>
      <c r="O96" s="565"/>
      <c r="P96" s="226">
        <f>IF(A96&lt;&gt;"", (M96+O96) / VLOOKUP(A96, 'Курс валют'!$A:$D, 4, 0), "")+N96</f>
        <v>51000</v>
      </c>
    </row>
    <row r="97" spans="1:16" ht="14.25" outlineLevel="1" x14ac:dyDescent="0.45">
      <c r="A97" s="216" t="s">
        <v>411</v>
      </c>
      <c r="B97" s="206"/>
      <c r="C97" s="207"/>
      <c r="D97" s="208"/>
      <c r="E97" s="208"/>
      <c r="F97" s="208"/>
      <c r="G97" s="208"/>
      <c r="H97" s="553"/>
      <c r="I97" s="565"/>
      <c r="J97" s="209"/>
      <c r="K97" s="565"/>
      <c r="L97" s="209"/>
      <c r="M97" s="565">
        <f>SUBTOTAL(9,M96:M96)</f>
        <v>617100000</v>
      </c>
      <c r="N97" s="565"/>
      <c r="O97" s="565"/>
      <c r="P97" s="226" t="e">
        <f>IF(A97&lt;&gt;"", (M97+O97) / VLOOKUP(A97, 'Курс валют'!$A:$D, 4, 0), "")+N97</f>
        <v>#N/A</v>
      </c>
    </row>
    <row r="98" spans="1:16" ht="14.25" outlineLevel="2" x14ac:dyDescent="0.45">
      <c r="A98" s="216">
        <v>46139</v>
      </c>
      <c r="B98" s="206">
        <v>1</v>
      </c>
      <c r="C98" s="207" t="s">
        <v>502</v>
      </c>
      <c r="D98" s="208" t="s">
        <v>470</v>
      </c>
      <c r="E98" s="208" t="s">
        <v>427</v>
      </c>
      <c r="F98" s="208" t="s">
        <v>428</v>
      </c>
      <c r="G98" s="208" t="s">
        <v>69</v>
      </c>
      <c r="H98" s="553">
        <v>30000</v>
      </c>
      <c r="I98" s="565">
        <v>270</v>
      </c>
      <c r="J98" s="209"/>
      <c r="K98" s="565"/>
      <c r="L98" s="209"/>
      <c r="M98" s="565">
        <f>[1]Строй.Мат!$I98*[1]Строй.Мат!$H98</f>
        <v>8100000</v>
      </c>
      <c r="N98" s="565"/>
      <c r="O98" s="565"/>
      <c r="P98" s="226">
        <f>IF(A98&lt;&gt;"", (M98+O98) / VLOOKUP(A98, 'Курс валют'!$A:$D, 4, 0), "")+N98</f>
        <v>669.42148760330576</v>
      </c>
    </row>
    <row r="99" spans="1:16" ht="14.25" outlineLevel="2" x14ac:dyDescent="0.45">
      <c r="A99" s="216">
        <v>46139</v>
      </c>
      <c r="B99" s="206">
        <v>2</v>
      </c>
      <c r="C99" s="207" t="s">
        <v>283</v>
      </c>
      <c r="D99" s="208" t="s">
        <v>470</v>
      </c>
      <c r="E99" s="208" t="s">
        <v>427</v>
      </c>
      <c r="F99" s="208" t="s">
        <v>428</v>
      </c>
      <c r="G99" s="208" t="s">
        <v>69</v>
      </c>
      <c r="H99" s="553">
        <v>5000</v>
      </c>
      <c r="I99" s="565">
        <v>580</v>
      </c>
      <c r="J99" s="209"/>
      <c r="K99" s="565"/>
      <c r="L99" s="209"/>
      <c r="M99" s="565">
        <f>[1]Строй.Мат!$I99*[1]Строй.Мат!$H99</f>
        <v>2900000</v>
      </c>
      <c r="N99" s="565"/>
      <c r="O99" s="565"/>
      <c r="P99" s="226">
        <f>IF(A99&lt;&gt;"", (M99+O99) / VLOOKUP(A99, 'Курс валют'!$A:$D, 4, 0), "")+N99</f>
        <v>239.6694214876033</v>
      </c>
    </row>
    <row r="100" spans="1:16" ht="14.25" outlineLevel="1" x14ac:dyDescent="0.45">
      <c r="A100" s="216" t="s">
        <v>503</v>
      </c>
      <c r="B100" s="206"/>
      <c r="C100" s="207"/>
      <c r="D100" s="208"/>
      <c r="E100" s="208"/>
      <c r="F100" s="208"/>
      <c r="G100" s="208"/>
      <c r="H100" s="553"/>
      <c r="I100" s="565"/>
      <c r="J100" s="209"/>
      <c r="K100" s="565"/>
      <c r="L100" s="209"/>
      <c r="M100" s="565">
        <f>SUBTOTAL(9,M98:M99)</f>
        <v>11000000</v>
      </c>
      <c r="N100" s="565"/>
      <c r="O100" s="565"/>
      <c r="P100" s="226" t="e">
        <f>IF(A100&lt;&gt;"", (M100+O100) / VLOOKUP(A100, 'Курс валют'!$A:$D, 4, 0), "")+N100</f>
        <v>#N/A</v>
      </c>
    </row>
    <row r="101" spans="1:16" ht="14.25" x14ac:dyDescent="0.45">
      <c r="A101" s="216" t="s">
        <v>53</v>
      </c>
      <c r="B101" s="206"/>
      <c r="C101" s="207"/>
      <c r="D101" s="208"/>
      <c r="E101" s="208"/>
      <c r="F101" s="208"/>
      <c r="G101" s="208"/>
      <c r="H101" s="553"/>
      <c r="I101" s="565"/>
      <c r="J101" s="209"/>
      <c r="K101" s="565"/>
      <c r="L101" s="209"/>
      <c r="M101" s="565">
        <f>SUBTOTAL(9,M2:M99)</f>
        <v>2103267600</v>
      </c>
      <c r="N101" s="565"/>
      <c r="O101" s="565"/>
      <c r="P101" s="226" t="e">
        <f>IF(A101&lt;&gt;"", (M101+O101) / VLOOKUP(A101, 'Курс валют'!$A:$D, 4, 0), "")+N101</f>
        <v>#N/A</v>
      </c>
    </row>
    <row r="102" spans="1:16" ht="14.25" outlineLevel="1" x14ac:dyDescent="0.45">
      <c r="A102" s="216">
        <v>46155</v>
      </c>
      <c r="B102" s="206">
        <v>1</v>
      </c>
      <c r="C102" s="207" t="s">
        <v>497</v>
      </c>
      <c r="D102" s="208" t="s">
        <v>483</v>
      </c>
      <c r="E102" s="208" t="s">
        <v>432</v>
      </c>
      <c r="F102" s="208" t="s">
        <v>428</v>
      </c>
      <c r="G102" s="208" t="s">
        <v>69</v>
      </c>
      <c r="H102" s="553">
        <v>70</v>
      </c>
      <c r="I102" s="565"/>
      <c r="J102" s="209">
        <v>50</v>
      </c>
      <c r="K102" s="565"/>
      <c r="L102" s="209"/>
      <c r="M102" s="565">
        <v>0</v>
      </c>
      <c r="N102" s="209">
        <f>J102*H102</f>
        <v>3500</v>
      </c>
      <c r="O102" s="565"/>
      <c r="P102" s="605">
        <f>IF(A102&lt;&gt;"", (M102+O102) / VLOOKUP(A102, 'Курс валют'!$A:$D, 4, 0), "")+N102</f>
        <v>3500</v>
      </c>
    </row>
    <row r="103" spans="1:16" ht="14.25" outlineLevel="1" x14ac:dyDescent="0.45">
      <c r="A103" s="216">
        <v>46161</v>
      </c>
      <c r="B103" s="206">
        <v>1</v>
      </c>
      <c r="C103" s="207" t="s">
        <v>497</v>
      </c>
      <c r="D103" s="208" t="s">
        <v>483</v>
      </c>
      <c r="E103" s="208" t="s">
        <v>427</v>
      </c>
      <c r="F103" s="208" t="s">
        <v>428</v>
      </c>
      <c r="G103" s="208" t="s">
        <v>69</v>
      </c>
      <c r="H103" s="553">
        <v>52</v>
      </c>
      <c r="I103" s="565"/>
      <c r="J103" s="209">
        <v>50</v>
      </c>
      <c r="K103" s="565"/>
      <c r="L103" s="209"/>
      <c r="M103" s="565">
        <f>[1]Строй.Мат!$I103*[1]Строй.Мат!$H103</f>
        <v>0</v>
      </c>
      <c r="N103" s="209">
        <f>J103*H103</f>
        <v>2600</v>
      </c>
      <c r="O103" s="565"/>
      <c r="P103" s="226">
        <f>IF(A103&lt;&gt;"", (M103+O103) / VLOOKUP(A103, 'Курс валют'!$A:$D, 4, 0), "")+N103</f>
        <v>2600</v>
      </c>
    </row>
    <row r="104" spans="1:16" ht="14.25" outlineLevel="1" x14ac:dyDescent="0.45">
      <c r="A104" s="216">
        <v>46168</v>
      </c>
      <c r="B104" s="206">
        <v>1</v>
      </c>
      <c r="C104" s="207" t="s">
        <v>502</v>
      </c>
      <c r="D104" s="208" t="s">
        <v>470</v>
      </c>
      <c r="E104" s="208" t="s">
        <v>427</v>
      </c>
      <c r="F104" s="208" t="s">
        <v>428</v>
      </c>
      <c r="G104" s="208" t="s">
        <v>69</v>
      </c>
      <c r="H104" s="231">
        <v>20000</v>
      </c>
      <c r="I104" s="565">
        <v>270</v>
      </c>
      <c r="J104" s="209"/>
      <c r="K104" s="565"/>
      <c r="L104" s="209"/>
      <c r="M104" s="565">
        <f>I104*H104</f>
        <v>5400000</v>
      </c>
      <c r="N104" s="565">
        <v>0</v>
      </c>
      <c r="O104" s="565">
        <v>0</v>
      </c>
      <c r="P104" s="226" t="e">
        <f>IF(A104&lt;&gt;"", (M104+O104) / VLOOKUP(A104, 'Курс валют'!$A:$D, 4, 0), "")+N104</f>
        <v>#DIV/0!</v>
      </c>
    </row>
    <row r="105" spans="1:16" ht="14.25" outlineLevel="1" x14ac:dyDescent="0.45">
      <c r="A105" s="216">
        <v>46168</v>
      </c>
      <c r="B105" s="206">
        <v>2</v>
      </c>
      <c r="C105" s="207" t="s">
        <v>283</v>
      </c>
      <c r="D105" s="208" t="s">
        <v>470</v>
      </c>
      <c r="E105" s="208" t="s">
        <v>427</v>
      </c>
      <c r="F105" s="208" t="s">
        <v>428</v>
      </c>
      <c r="G105" s="208" t="s">
        <v>69</v>
      </c>
      <c r="H105" s="231">
        <v>5000</v>
      </c>
      <c r="I105" s="565">
        <v>580</v>
      </c>
      <c r="J105" s="209"/>
      <c r="K105" s="565"/>
      <c r="L105" s="209"/>
      <c r="M105" s="565">
        <f>I105*H105</f>
        <v>2900000</v>
      </c>
      <c r="N105" s="565">
        <v>0</v>
      </c>
      <c r="O105" s="565">
        <v>0</v>
      </c>
      <c r="P105" s="226" t="e">
        <f>IF(A105&lt;&gt;"", (M105+O105) / VLOOKUP(A105, 'Курс валют'!$A:$D, 4, 0), "")+N105</f>
        <v>#DIV/0!</v>
      </c>
    </row>
    <row r="106" spans="1:16" ht="14.25" outlineLevel="1" x14ac:dyDescent="0.45">
      <c r="A106" s="216">
        <v>46176</v>
      </c>
      <c r="B106" s="206">
        <v>1</v>
      </c>
      <c r="C106" s="207" t="s">
        <v>19</v>
      </c>
      <c r="D106" s="208"/>
      <c r="E106" s="208" t="s">
        <v>427</v>
      </c>
      <c r="F106" s="208" t="s">
        <v>428</v>
      </c>
      <c r="G106" s="208" t="s">
        <v>69</v>
      </c>
      <c r="H106" s="231">
        <v>30</v>
      </c>
      <c r="I106" s="565"/>
      <c r="J106" s="209"/>
      <c r="K106" s="565"/>
      <c r="L106" s="209"/>
      <c r="M106" s="565">
        <f t="shared" ref="M106:M169" si="1">I106*H106</f>
        <v>0</v>
      </c>
      <c r="N106" s="565"/>
      <c r="O106" s="565"/>
      <c r="P106" s="218" t="e">
        <f t="shared" ref="P106:P167" si="2">SUBTOTAL(9,P104:P105)</f>
        <v>#DIV/0!</v>
      </c>
    </row>
    <row r="107" spans="1:16" ht="14.25" outlineLevel="1" x14ac:dyDescent="0.45">
      <c r="A107" s="216">
        <v>46178</v>
      </c>
      <c r="B107" s="206">
        <v>1</v>
      </c>
      <c r="C107" s="207" t="s">
        <v>898</v>
      </c>
      <c r="D107" s="208"/>
      <c r="E107" s="208" t="s">
        <v>427</v>
      </c>
      <c r="F107" s="208" t="s">
        <v>428</v>
      </c>
      <c r="G107" s="208" t="s">
        <v>69</v>
      </c>
      <c r="H107" s="231">
        <v>1</v>
      </c>
      <c r="I107" s="565">
        <v>28500000</v>
      </c>
      <c r="J107" s="209"/>
      <c r="K107" s="565"/>
      <c r="L107" s="209"/>
      <c r="M107" s="565">
        <f t="shared" si="1"/>
        <v>28500000</v>
      </c>
      <c r="N107" s="565"/>
      <c r="O107" s="565"/>
      <c r="P107" s="218" t="e">
        <f t="shared" si="2"/>
        <v>#DIV/0!</v>
      </c>
    </row>
    <row r="108" spans="1:16" ht="14.25" outlineLevel="1" x14ac:dyDescent="0.45">
      <c r="A108" s="216">
        <v>46178</v>
      </c>
      <c r="B108" s="206">
        <v>1</v>
      </c>
      <c r="C108" s="207" t="s">
        <v>900</v>
      </c>
      <c r="D108" s="208" t="s">
        <v>483</v>
      </c>
      <c r="E108" s="208" t="s">
        <v>427</v>
      </c>
      <c r="F108" s="208" t="s">
        <v>428</v>
      </c>
      <c r="G108" s="208" t="s">
        <v>69</v>
      </c>
      <c r="H108" s="231">
        <v>500</v>
      </c>
      <c r="I108" s="565">
        <v>0</v>
      </c>
      <c r="J108" s="209"/>
      <c r="K108" s="565"/>
      <c r="L108" s="209"/>
      <c r="M108" s="565">
        <f t="shared" si="1"/>
        <v>0</v>
      </c>
      <c r="N108" s="565"/>
      <c r="O108" s="565"/>
      <c r="P108" s="218">
        <f t="shared" si="2"/>
        <v>0</v>
      </c>
    </row>
    <row r="109" spans="1:16" ht="14.25" outlineLevel="1" x14ac:dyDescent="0.45">
      <c r="A109" s="216"/>
      <c r="B109" s="206"/>
      <c r="C109" s="207"/>
      <c r="D109" s="208"/>
      <c r="E109" s="208"/>
      <c r="F109" s="208" t="s">
        <v>428</v>
      </c>
      <c r="G109" s="208"/>
      <c r="H109" s="231"/>
      <c r="I109" s="565"/>
      <c r="J109" s="209"/>
      <c r="K109" s="565"/>
      <c r="L109" s="209"/>
      <c r="M109" s="565">
        <f t="shared" si="1"/>
        <v>0</v>
      </c>
      <c r="N109" s="565"/>
      <c r="O109" s="565"/>
      <c r="P109" s="218">
        <f t="shared" si="2"/>
        <v>0</v>
      </c>
    </row>
    <row r="110" spans="1:16" ht="14.25" outlineLevel="1" x14ac:dyDescent="0.45">
      <c r="A110" s="216"/>
      <c r="B110" s="206"/>
      <c r="C110" s="207"/>
      <c r="D110" s="208"/>
      <c r="E110" s="208"/>
      <c r="F110" s="208" t="s">
        <v>428</v>
      </c>
      <c r="G110" s="208"/>
      <c r="H110" s="231"/>
      <c r="I110" s="565"/>
      <c r="J110" s="209"/>
      <c r="K110" s="565"/>
      <c r="L110" s="209"/>
      <c r="M110" s="565">
        <f t="shared" si="1"/>
        <v>0</v>
      </c>
      <c r="N110" s="565"/>
      <c r="O110" s="565"/>
      <c r="P110" s="218">
        <f t="shared" si="2"/>
        <v>0</v>
      </c>
    </row>
    <row r="111" spans="1:16" ht="14.25" outlineLevel="1" x14ac:dyDescent="0.45">
      <c r="A111" s="216"/>
      <c r="B111" s="206"/>
      <c r="C111" s="207"/>
      <c r="D111" s="208"/>
      <c r="E111" s="208"/>
      <c r="F111" s="208" t="s">
        <v>428</v>
      </c>
      <c r="G111" s="208"/>
      <c r="H111" s="231"/>
      <c r="I111" s="565"/>
      <c r="J111" s="209"/>
      <c r="K111" s="565"/>
      <c r="L111" s="209"/>
      <c r="M111" s="565">
        <f t="shared" si="1"/>
        <v>0</v>
      </c>
      <c r="N111" s="565"/>
      <c r="O111" s="565"/>
      <c r="P111" s="218">
        <f t="shared" si="2"/>
        <v>0</v>
      </c>
    </row>
    <row r="112" spans="1:16" ht="14.25" outlineLevel="1" x14ac:dyDescent="0.45">
      <c r="A112" s="216"/>
      <c r="B112" s="206"/>
      <c r="C112" s="207"/>
      <c r="D112" s="208"/>
      <c r="E112" s="208"/>
      <c r="F112" s="208" t="s">
        <v>428</v>
      </c>
      <c r="G112" s="208"/>
      <c r="H112" s="231"/>
      <c r="I112" s="565"/>
      <c r="J112" s="209"/>
      <c r="K112" s="565"/>
      <c r="L112" s="209"/>
      <c r="M112" s="565">
        <f t="shared" si="1"/>
        <v>0</v>
      </c>
      <c r="N112" s="565"/>
      <c r="O112" s="565"/>
      <c r="P112" s="218">
        <f t="shared" si="2"/>
        <v>0</v>
      </c>
    </row>
    <row r="113" spans="1:16" ht="14.25" outlineLevel="1" x14ac:dyDescent="0.45">
      <c r="A113" s="216"/>
      <c r="B113" s="206"/>
      <c r="C113" s="207"/>
      <c r="D113" s="208"/>
      <c r="E113" s="208"/>
      <c r="F113" s="208" t="s">
        <v>428</v>
      </c>
      <c r="G113" s="208"/>
      <c r="H113" s="231"/>
      <c r="I113" s="565"/>
      <c r="J113" s="209"/>
      <c r="K113" s="565"/>
      <c r="L113" s="209"/>
      <c r="M113" s="565">
        <f t="shared" si="1"/>
        <v>0</v>
      </c>
      <c r="N113" s="565"/>
      <c r="O113" s="565"/>
      <c r="P113" s="218">
        <f t="shared" si="2"/>
        <v>0</v>
      </c>
    </row>
    <row r="114" spans="1:16" ht="14.25" outlineLevel="1" x14ac:dyDescent="0.45">
      <c r="A114" s="216"/>
      <c r="B114" s="206"/>
      <c r="C114" s="207"/>
      <c r="D114" s="208"/>
      <c r="E114" s="208"/>
      <c r="F114" s="208" t="s">
        <v>428</v>
      </c>
      <c r="G114" s="208"/>
      <c r="H114" s="231"/>
      <c r="I114" s="565"/>
      <c r="J114" s="209"/>
      <c r="K114" s="565"/>
      <c r="L114" s="209"/>
      <c r="M114" s="565">
        <f t="shared" si="1"/>
        <v>0</v>
      </c>
      <c r="N114" s="565"/>
      <c r="O114" s="565"/>
      <c r="P114" s="218">
        <f t="shared" si="2"/>
        <v>0</v>
      </c>
    </row>
    <row r="115" spans="1:16" ht="14.25" outlineLevel="1" x14ac:dyDescent="0.45">
      <c r="A115" s="216"/>
      <c r="B115" s="206"/>
      <c r="C115" s="207"/>
      <c r="D115" s="208"/>
      <c r="E115" s="208"/>
      <c r="F115" s="208" t="s">
        <v>428</v>
      </c>
      <c r="G115" s="208"/>
      <c r="H115" s="231"/>
      <c r="I115" s="565"/>
      <c r="J115" s="209"/>
      <c r="K115" s="565"/>
      <c r="L115" s="209"/>
      <c r="M115" s="565">
        <f t="shared" si="1"/>
        <v>0</v>
      </c>
      <c r="N115" s="565"/>
      <c r="O115" s="565"/>
      <c r="P115" s="218">
        <f t="shared" si="2"/>
        <v>0</v>
      </c>
    </row>
    <row r="116" spans="1:16" ht="14.25" outlineLevel="1" x14ac:dyDescent="0.45">
      <c r="A116" s="216"/>
      <c r="B116" s="206"/>
      <c r="C116" s="207"/>
      <c r="D116" s="208"/>
      <c r="E116" s="208"/>
      <c r="F116" s="208" t="s">
        <v>428</v>
      </c>
      <c r="G116" s="208"/>
      <c r="H116" s="231"/>
      <c r="I116" s="565"/>
      <c r="J116" s="209"/>
      <c r="K116" s="565"/>
      <c r="L116" s="209"/>
      <c r="M116" s="565">
        <f t="shared" si="1"/>
        <v>0</v>
      </c>
      <c r="N116" s="565"/>
      <c r="O116" s="565"/>
      <c r="P116" s="218">
        <f t="shared" si="2"/>
        <v>0</v>
      </c>
    </row>
    <row r="117" spans="1:16" ht="14.25" outlineLevel="1" x14ac:dyDescent="0.45">
      <c r="A117" s="216"/>
      <c r="B117" s="206"/>
      <c r="C117" s="207"/>
      <c r="D117" s="208"/>
      <c r="E117" s="208"/>
      <c r="F117" s="208" t="s">
        <v>428</v>
      </c>
      <c r="G117" s="208"/>
      <c r="H117" s="231"/>
      <c r="I117" s="565"/>
      <c r="J117" s="209"/>
      <c r="K117" s="565"/>
      <c r="L117" s="209"/>
      <c r="M117" s="565">
        <f t="shared" si="1"/>
        <v>0</v>
      </c>
      <c r="N117" s="565"/>
      <c r="O117" s="565"/>
      <c r="P117" s="218">
        <f t="shared" si="2"/>
        <v>0</v>
      </c>
    </row>
    <row r="118" spans="1:16" ht="14.25" outlineLevel="1" x14ac:dyDescent="0.45">
      <c r="A118" s="216"/>
      <c r="B118" s="206"/>
      <c r="C118" s="207"/>
      <c r="D118" s="208"/>
      <c r="E118" s="208"/>
      <c r="F118" s="208" t="s">
        <v>428</v>
      </c>
      <c r="G118" s="208"/>
      <c r="H118" s="231"/>
      <c r="I118" s="565"/>
      <c r="J118" s="209"/>
      <c r="K118" s="565"/>
      <c r="L118" s="209"/>
      <c r="M118" s="565">
        <f t="shared" si="1"/>
        <v>0</v>
      </c>
      <c r="N118" s="565"/>
      <c r="O118" s="565"/>
      <c r="P118" s="218">
        <f t="shared" si="2"/>
        <v>0</v>
      </c>
    </row>
    <row r="119" spans="1:16" ht="14.25" outlineLevel="1" x14ac:dyDescent="0.45">
      <c r="A119" s="216"/>
      <c r="B119" s="206"/>
      <c r="C119" s="207"/>
      <c r="D119" s="208"/>
      <c r="E119" s="208"/>
      <c r="F119" s="208" t="s">
        <v>428</v>
      </c>
      <c r="G119" s="208"/>
      <c r="H119" s="231"/>
      <c r="I119" s="565"/>
      <c r="J119" s="209"/>
      <c r="K119" s="565"/>
      <c r="L119" s="209"/>
      <c r="M119" s="565">
        <f t="shared" si="1"/>
        <v>0</v>
      </c>
      <c r="N119" s="565"/>
      <c r="O119" s="565"/>
      <c r="P119" s="218">
        <f t="shared" si="2"/>
        <v>0</v>
      </c>
    </row>
    <row r="120" spans="1:16" ht="14.25" outlineLevel="1" x14ac:dyDescent="0.45">
      <c r="A120" s="216"/>
      <c r="B120" s="206"/>
      <c r="C120" s="207"/>
      <c r="D120" s="208"/>
      <c r="E120" s="208"/>
      <c r="F120" s="208" t="s">
        <v>428</v>
      </c>
      <c r="G120" s="208"/>
      <c r="H120" s="231"/>
      <c r="I120" s="565"/>
      <c r="J120" s="209"/>
      <c r="K120" s="565"/>
      <c r="L120" s="209"/>
      <c r="M120" s="565">
        <f t="shared" si="1"/>
        <v>0</v>
      </c>
      <c r="N120" s="565"/>
      <c r="O120" s="565"/>
      <c r="P120" s="218">
        <f t="shared" si="2"/>
        <v>0</v>
      </c>
    </row>
    <row r="121" spans="1:16" ht="14.25" outlineLevel="1" x14ac:dyDescent="0.45">
      <c r="A121" s="216"/>
      <c r="B121" s="206"/>
      <c r="C121" s="207"/>
      <c r="D121" s="208"/>
      <c r="E121" s="208"/>
      <c r="F121" s="208" t="s">
        <v>428</v>
      </c>
      <c r="G121" s="208"/>
      <c r="H121" s="231"/>
      <c r="I121" s="565"/>
      <c r="J121" s="209"/>
      <c r="K121" s="565"/>
      <c r="L121" s="209"/>
      <c r="M121" s="565">
        <f t="shared" si="1"/>
        <v>0</v>
      </c>
      <c r="N121" s="565"/>
      <c r="O121" s="565"/>
      <c r="P121" s="218">
        <f t="shared" si="2"/>
        <v>0</v>
      </c>
    </row>
    <row r="122" spans="1:16" ht="14.25" outlineLevel="1" x14ac:dyDescent="0.45">
      <c r="A122" s="216"/>
      <c r="B122" s="206"/>
      <c r="C122" s="207"/>
      <c r="D122" s="208"/>
      <c r="E122" s="208"/>
      <c r="F122" s="208" t="s">
        <v>428</v>
      </c>
      <c r="G122" s="208"/>
      <c r="H122" s="231"/>
      <c r="I122" s="565"/>
      <c r="J122" s="209"/>
      <c r="K122" s="565"/>
      <c r="L122" s="209"/>
      <c r="M122" s="565">
        <f t="shared" si="1"/>
        <v>0</v>
      </c>
      <c r="N122" s="565"/>
      <c r="O122" s="565"/>
      <c r="P122" s="218">
        <f t="shared" si="2"/>
        <v>0</v>
      </c>
    </row>
    <row r="123" spans="1:16" ht="14.25" outlineLevel="1" x14ac:dyDescent="0.45">
      <c r="A123" s="216"/>
      <c r="B123" s="206"/>
      <c r="C123" s="207"/>
      <c r="D123" s="208"/>
      <c r="E123" s="208"/>
      <c r="F123" s="208" t="s">
        <v>428</v>
      </c>
      <c r="G123" s="208"/>
      <c r="H123" s="231"/>
      <c r="I123" s="565"/>
      <c r="J123" s="209"/>
      <c r="K123" s="565"/>
      <c r="L123" s="209"/>
      <c r="M123" s="565">
        <f t="shared" si="1"/>
        <v>0</v>
      </c>
      <c r="N123" s="565"/>
      <c r="O123" s="565"/>
      <c r="P123" s="218">
        <f t="shared" si="2"/>
        <v>0</v>
      </c>
    </row>
    <row r="124" spans="1:16" ht="14.25" outlineLevel="1" x14ac:dyDescent="0.45">
      <c r="A124" s="216"/>
      <c r="B124" s="206"/>
      <c r="C124" s="207"/>
      <c r="D124" s="208"/>
      <c r="E124" s="208"/>
      <c r="F124" s="208" t="s">
        <v>428</v>
      </c>
      <c r="G124" s="208"/>
      <c r="H124" s="231"/>
      <c r="I124" s="565"/>
      <c r="J124" s="209"/>
      <c r="K124" s="565"/>
      <c r="L124" s="209"/>
      <c r="M124" s="565">
        <f t="shared" si="1"/>
        <v>0</v>
      </c>
      <c r="N124" s="565"/>
      <c r="O124" s="565"/>
      <c r="P124" s="218">
        <f t="shared" si="2"/>
        <v>0</v>
      </c>
    </row>
    <row r="125" spans="1:16" ht="14.25" outlineLevel="1" x14ac:dyDescent="0.45">
      <c r="A125" s="216"/>
      <c r="B125" s="206"/>
      <c r="C125" s="207"/>
      <c r="D125" s="208"/>
      <c r="E125" s="208"/>
      <c r="F125" s="208" t="s">
        <v>428</v>
      </c>
      <c r="G125" s="208"/>
      <c r="H125" s="231"/>
      <c r="I125" s="565"/>
      <c r="J125" s="209"/>
      <c r="K125" s="565"/>
      <c r="L125" s="209"/>
      <c r="M125" s="565">
        <f t="shared" si="1"/>
        <v>0</v>
      </c>
      <c r="N125" s="565"/>
      <c r="O125" s="565"/>
      <c r="P125" s="218">
        <f t="shared" si="2"/>
        <v>0</v>
      </c>
    </row>
    <row r="126" spans="1:16" ht="14.25" outlineLevel="1" x14ac:dyDescent="0.45">
      <c r="A126" s="216"/>
      <c r="B126" s="206"/>
      <c r="C126" s="207"/>
      <c r="D126" s="208"/>
      <c r="E126" s="208"/>
      <c r="F126" s="208" t="s">
        <v>428</v>
      </c>
      <c r="G126" s="208"/>
      <c r="H126" s="231"/>
      <c r="I126" s="565"/>
      <c r="J126" s="209"/>
      <c r="K126" s="565"/>
      <c r="L126" s="209"/>
      <c r="M126" s="565">
        <f t="shared" si="1"/>
        <v>0</v>
      </c>
      <c r="N126" s="565"/>
      <c r="O126" s="565"/>
      <c r="P126" s="218">
        <f t="shared" si="2"/>
        <v>0</v>
      </c>
    </row>
    <row r="127" spans="1:16" ht="14.25" outlineLevel="1" x14ac:dyDescent="0.45">
      <c r="A127" s="216"/>
      <c r="B127" s="206"/>
      <c r="C127" s="207"/>
      <c r="D127" s="208"/>
      <c r="E127" s="208"/>
      <c r="F127" s="208" t="s">
        <v>428</v>
      </c>
      <c r="G127" s="208"/>
      <c r="H127" s="231"/>
      <c r="I127" s="565"/>
      <c r="J127" s="209"/>
      <c r="K127" s="565"/>
      <c r="L127" s="209"/>
      <c r="M127" s="565">
        <f t="shared" si="1"/>
        <v>0</v>
      </c>
      <c r="N127" s="565"/>
      <c r="O127" s="565"/>
      <c r="P127" s="218">
        <f t="shared" si="2"/>
        <v>0</v>
      </c>
    </row>
    <row r="128" spans="1:16" ht="14.25" outlineLevel="1" x14ac:dyDescent="0.45">
      <c r="A128" s="216"/>
      <c r="B128" s="206"/>
      <c r="C128" s="207"/>
      <c r="D128" s="208"/>
      <c r="E128" s="208"/>
      <c r="F128" s="208" t="s">
        <v>428</v>
      </c>
      <c r="G128" s="208"/>
      <c r="H128" s="231"/>
      <c r="I128" s="565"/>
      <c r="J128" s="209"/>
      <c r="K128" s="565"/>
      <c r="L128" s="209"/>
      <c r="M128" s="565">
        <f t="shared" si="1"/>
        <v>0</v>
      </c>
      <c r="N128" s="565"/>
      <c r="O128" s="565"/>
      <c r="P128" s="218">
        <f t="shared" si="2"/>
        <v>0</v>
      </c>
    </row>
    <row r="129" spans="1:16" ht="14.25" outlineLevel="1" x14ac:dyDescent="0.45">
      <c r="A129" s="216"/>
      <c r="B129" s="206"/>
      <c r="C129" s="207"/>
      <c r="D129" s="208"/>
      <c r="E129" s="208"/>
      <c r="F129" s="208" t="s">
        <v>428</v>
      </c>
      <c r="G129" s="208"/>
      <c r="H129" s="231"/>
      <c r="I129" s="565"/>
      <c r="J129" s="209"/>
      <c r="K129" s="565"/>
      <c r="L129" s="209"/>
      <c r="M129" s="565">
        <f t="shared" si="1"/>
        <v>0</v>
      </c>
      <c r="N129" s="565"/>
      <c r="O129" s="565"/>
      <c r="P129" s="218">
        <f t="shared" si="2"/>
        <v>0</v>
      </c>
    </row>
    <row r="130" spans="1:16" ht="14.25" outlineLevel="1" x14ac:dyDescent="0.45">
      <c r="A130" s="216"/>
      <c r="B130" s="206"/>
      <c r="C130" s="207"/>
      <c r="D130" s="208"/>
      <c r="E130" s="208"/>
      <c r="F130" s="208" t="s">
        <v>428</v>
      </c>
      <c r="G130" s="208"/>
      <c r="H130" s="231"/>
      <c r="I130" s="565"/>
      <c r="J130" s="209"/>
      <c r="K130" s="565"/>
      <c r="L130" s="209"/>
      <c r="M130" s="565">
        <f t="shared" si="1"/>
        <v>0</v>
      </c>
      <c r="N130" s="565"/>
      <c r="O130" s="565"/>
      <c r="P130" s="218">
        <f t="shared" si="2"/>
        <v>0</v>
      </c>
    </row>
    <row r="131" spans="1:16" ht="14.25" outlineLevel="1" x14ac:dyDescent="0.45">
      <c r="A131" s="216"/>
      <c r="B131" s="206"/>
      <c r="C131" s="207"/>
      <c r="D131" s="208"/>
      <c r="E131" s="208"/>
      <c r="F131" s="208" t="s">
        <v>428</v>
      </c>
      <c r="G131" s="208"/>
      <c r="H131" s="231"/>
      <c r="I131" s="565"/>
      <c r="J131" s="209"/>
      <c r="K131" s="565"/>
      <c r="L131" s="209"/>
      <c r="M131" s="565">
        <f t="shared" si="1"/>
        <v>0</v>
      </c>
      <c r="N131" s="565"/>
      <c r="O131" s="565"/>
      <c r="P131" s="218">
        <f t="shared" si="2"/>
        <v>0</v>
      </c>
    </row>
    <row r="132" spans="1:16" ht="14.25" outlineLevel="1" x14ac:dyDescent="0.45">
      <c r="A132" s="216"/>
      <c r="B132" s="206"/>
      <c r="C132" s="207"/>
      <c r="D132" s="208"/>
      <c r="E132" s="208"/>
      <c r="F132" s="208" t="s">
        <v>428</v>
      </c>
      <c r="G132" s="208"/>
      <c r="H132" s="231"/>
      <c r="I132" s="565"/>
      <c r="J132" s="209"/>
      <c r="K132" s="565"/>
      <c r="L132" s="209"/>
      <c r="M132" s="565">
        <f t="shared" si="1"/>
        <v>0</v>
      </c>
      <c r="N132" s="565"/>
      <c r="O132" s="565"/>
      <c r="P132" s="218">
        <f t="shared" si="2"/>
        <v>0</v>
      </c>
    </row>
    <row r="133" spans="1:16" ht="14.25" outlineLevel="1" x14ac:dyDescent="0.45">
      <c r="A133" s="216"/>
      <c r="B133" s="206"/>
      <c r="C133" s="207"/>
      <c r="D133" s="208"/>
      <c r="E133" s="208"/>
      <c r="F133" s="208" t="s">
        <v>428</v>
      </c>
      <c r="G133" s="208"/>
      <c r="H133" s="231"/>
      <c r="I133" s="565"/>
      <c r="J133" s="209"/>
      <c r="K133" s="565"/>
      <c r="L133" s="209"/>
      <c r="M133" s="565">
        <f t="shared" si="1"/>
        <v>0</v>
      </c>
      <c r="N133" s="565"/>
      <c r="O133" s="565"/>
      <c r="P133" s="218">
        <f t="shared" si="2"/>
        <v>0</v>
      </c>
    </row>
    <row r="134" spans="1:16" ht="14.25" outlineLevel="1" x14ac:dyDescent="0.45">
      <c r="A134" s="216"/>
      <c r="B134" s="206"/>
      <c r="C134" s="207"/>
      <c r="D134" s="208"/>
      <c r="E134" s="208"/>
      <c r="F134" s="208" t="s">
        <v>428</v>
      </c>
      <c r="G134" s="208"/>
      <c r="H134" s="231"/>
      <c r="I134" s="565"/>
      <c r="J134" s="209"/>
      <c r="K134" s="565"/>
      <c r="L134" s="209"/>
      <c r="M134" s="565">
        <f t="shared" si="1"/>
        <v>0</v>
      </c>
      <c r="N134" s="565"/>
      <c r="O134" s="565"/>
      <c r="P134" s="218">
        <f t="shared" si="2"/>
        <v>0</v>
      </c>
    </row>
    <row r="135" spans="1:16" ht="14.25" outlineLevel="1" x14ac:dyDescent="0.45">
      <c r="A135" s="216"/>
      <c r="B135" s="206"/>
      <c r="C135" s="207"/>
      <c r="D135" s="208"/>
      <c r="E135" s="208"/>
      <c r="F135" s="208" t="s">
        <v>428</v>
      </c>
      <c r="G135" s="208"/>
      <c r="H135" s="231"/>
      <c r="I135" s="565"/>
      <c r="J135" s="209"/>
      <c r="K135" s="565"/>
      <c r="L135" s="209"/>
      <c r="M135" s="565">
        <f t="shared" si="1"/>
        <v>0</v>
      </c>
      <c r="N135" s="565"/>
      <c r="O135" s="565"/>
      <c r="P135" s="218">
        <f t="shared" si="2"/>
        <v>0</v>
      </c>
    </row>
    <row r="136" spans="1:16" ht="14.25" outlineLevel="1" x14ac:dyDescent="0.45">
      <c r="A136" s="216"/>
      <c r="B136" s="206"/>
      <c r="C136" s="207"/>
      <c r="D136" s="208"/>
      <c r="E136" s="208"/>
      <c r="F136" s="208" t="s">
        <v>428</v>
      </c>
      <c r="G136" s="208"/>
      <c r="H136" s="231"/>
      <c r="I136" s="565"/>
      <c r="J136" s="209"/>
      <c r="K136" s="565"/>
      <c r="L136" s="209"/>
      <c r="M136" s="565">
        <f t="shared" si="1"/>
        <v>0</v>
      </c>
      <c r="N136" s="565"/>
      <c r="O136" s="565"/>
      <c r="P136" s="218">
        <f t="shared" si="2"/>
        <v>0</v>
      </c>
    </row>
    <row r="137" spans="1:16" ht="14.25" outlineLevel="1" x14ac:dyDescent="0.45">
      <c r="A137" s="216"/>
      <c r="B137" s="206"/>
      <c r="C137" s="207"/>
      <c r="D137" s="208"/>
      <c r="E137" s="208"/>
      <c r="F137" s="208" t="s">
        <v>428</v>
      </c>
      <c r="G137" s="208"/>
      <c r="H137" s="231"/>
      <c r="I137" s="565"/>
      <c r="J137" s="209"/>
      <c r="K137" s="565"/>
      <c r="L137" s="209"/>
      <c r="M137" s="565">
        <f t="shared" si="1"/>
        <v>0</v>
      </c>
      <c r="N137" s="565"/>
      <c r="O137" s="565"/>
      <c r="P137" s="218">
        <f t="shared" si="2"/>
        <v>0</v>
      </c>
    </row>
    <row r="138" spans="1:16" ht="14.25" outlineLevel="1" x14ac:dyDescent="0.45">
      <c r="A138" s="216"/>
      <c r="B138" s="206"/>
      <c r="C138" s="207"/>
      <c r="D138" s="208"/>
      <c r="E138" s="208"/>
      <c r="F138" s="208" t="s">
        <v>428</v>
      </c>
      <c r="G138" s="208"/>
      <c r="H138" s="231"/>
      <c r="I138" s="565"/>
      <c r="J138" s="209"/>
      <c r="K138" s="565"/>
      <c r="L138" s="209"/>
      <c r="M138" s="565">
        <f t="shared" si="1"/>
        <v>0</v>
      </c>
      <c r="N138" s="565"/>
      <c r="O138" s="565"/>
      <c r="P138" s="218">
        <f t="shared" si="2"/>
        <v>0</v>
      </c>
    </row>
    <row r="139" spans="1:16" ht="14.25" outlineLevel="1" x14ac:dyDescent="0.45">
      <c r="A139" s="216"/>
      <c r="B139" s="206"/>
      <c r="C139" s="207"/>
      <c r="D139" s="208"/>
      <c r="E139" s="208"/>
      <c r="F139" s="208" t="s">
        <v>428</v>
      </c>
      <c r="G139" s="208"/>
      <c r="H139" s="231"/>
      <c r="I139" s="565"/>
      <c r="J139" s="209"/>
      <c r="K139" s="565"/>
      <c r="L139" s="209"/>
      <c r="M139" s="565">
        <f t="shared" si="1"/>
        <v>0</v>
      </c>
      <c r="N139" s="565"/>
      <c r="O139" s="565"/>
      <c r="P139" s="218">
        <f t="shared" si="2"/>
        <v>0</v>
      </c>
    </row>
    <row r="140" spans="1:16" ht="14.25" outlineLevel="1" x14ac:dyDescent="0.45">
      <c r="A140" s="216"/>
      <c r="B140" s="206"/>
      <c r="C140" s="207"/>
      <c r="D140" s="208"/>
      <c r="E140" s="208"/>
      <c r="F140" s="208" t="s">
        <v>428</v>
      </c>
      <c r="G140" s="208"/>
      <c r="H140" s="231"/>
      <c r="I140" s="565"/>
      <c r="J140" s="209"/>
      <c r="K140" s="565"/>
      <c r="L140" s="209"/>
      <c r="M140" s="565">
        <f t="shared" si="1"/>
        <v>0</v>
      </c>
      <c r="N140" s="565"/>
      <c r="O140" s="565"/>
      <c r="P140" s="218">
        <f t="shared" si="2"/>
        <v>0</v>
      </c>
    </row>
    <row r="141" spans="1:16" ht="14.25" outlineLevel="1" x14ac:dyDescent="0.45">
      <c r="A141" s="216"/>
      <c r="B141" s="206"/>
      <c r="C141" s="207"/>
      <c r="D141" s="208"/>
      <c r="E141" s="208"/>
      <c r="F141" s="208" t="s">
        <v>428</v>
      </c>
      <c r="G141" s="208"/>
      <c r="H141" s="231"/>
      <c r="I141" s="565"/>
      <c r="J141" s="209"/>
      <c r="K141" s="565"/>
      <c r="L141" s="209"/>
      <c r="M141" s="565">
        <f t="shared" si="1"/>
        <v>0</v>
      </c>
      <c r="N141" s="565"/>
      <c r="O141" s="565"/>
      <c r="P141" s="218">
        <f t="shared" si="2"/>
        <v>0</v>
      </c>
    </row>
    <row r="142" spans="1:16" ht="14.25" outlineLevel="1" x14ac:dyDescent="0.45">
      <c r="A142" s="216"/>
      <c r="B142" s="206"/>
      <c r="C142" s="207"/>
      <c r="D142" s="208"/>
      <c r="E142" s="208"/>
      <c r="F142" s="208" t="s">
        <v>428</v>
      </c>
      <c r="G142" s="208"/>
      <c r="H142" s="231"/>
      <c r="I142" s="565"/>
      <c r="J142" s="209"/>
      <c r="K142" s="565"/>
      <c r="L142" s="209"/>
      <c r="M142" s="565">
        <f t="shared" si="1"/>
        <v>0</v>
      </c>
      <c r="N142" s="565"/>
      <c r="O142" s="565"/>
      <c r="P142" s="218">
        <f t="shared" si="2"/>
        <v>0</v>
      </c>
    </row>
    <row r="143" spans="1:16" ht="14.25" outlineLevel="1" x14ac:dyDescent="0.45">
      <c r="A143" s="216"/>
      <c r="B143" s="206"/>
      <c r="C143" s="207"/>
      <c r="D143" s="208"/>
      <c r="E143" s="208"/>
      <c r="F143" s="208" t="s">
        <v>428</v>
      </c>
      <c r="G143" s="208"/>
      <c r="H143" s="231"/>
      <c r="I143" s="565"/>
      <c r="J143" s="209"/>
      <c r="K143" s="565"/>
      <c r="L143" s="209"/>
      <c r="M143" s="565">
        <f t="shared" si="1"/>
        <v>0</v>
      </c>
      <c r="N143" s="565"/>
      <c r="O143" s="565"/>
      <c r="P143" s="218">
        <f t="shared" si="2"/>
        <v>0</v>
      </c>
    </row>
    <row r="144" spans="1:16" ht="14.25" outlineLevel="1" x14ac:dyDescent="0.45">
      <c r="A144" s="216"/>
      <c r="B144" s="206"/>
      <c r="C144" s="207"/>
      <c r="D144" s="208"/>
      <c r="E144" s="208"/>
      <c r="F144" s="208" t="s">
        <v>428</v>
      </c>
      <c r="G144" s="208"/>
      <c r="H144" s="231"/>
      <c r="I144" s="565"/>
      <c r="J144" s="209"/>
      <c r="K144" s="565"/>
      <c r="L144" s="209"/>
      <c r="M144" s="565">
        <f t="shared" si="1"/>
        <v>0</v>
      </c>
      <c r="N144" s="565"/>
      <c r="O144" s="565"/>
      <c r="P144" s="218">
        <f t="shared" si="2"/>
        <v>0</v>
      </c>
    </row>
    <row r="145" spans="1:16" ht="14.25" outlineLevel="1" x14ac:dyDescent="0.45">
      <c r="A145" s="216"/>
      <c r="B145" s="206"/>
      <c r="C145" s="207"/>
      <c r="D145" s="208"/>
      <c r="E145" s="208"/>
      <c r="F145" s="208" t="s">
        <v>428</v>
      </c>
      <c r="G145" s="208"/>
      <c r="H145" s="231"/>
      <c r="I145" s="565"/>
      <c r="J145" s="209"/>
      <c r="K145" s="565"/>
      <c r="L145" s="209"/>
      <c r="M145" s="565">
        <f t="shared" si="1"/>
        <v>0</v>
      </c>
      <c r="N145" s="565"/>
      <c r="O145" s="565"/>
      <c r="P145" s="218">
        <f t="shared" si="2"/>
        <v>0</v>
      </c>
    </row>
    <row r="146" spans="1:16" ht="14.25" outlineLevel="1" x14ac:dyDescent="0.45">
      <c r="A146" s="216"/>
      <c r="B146" s="206"/>
      <c r="C146" s="207"/>
      <c r="D146" s="208"/>
      <c r="E146" s="208"/>
      <c r="F146" s="208" t="s">
        <v>428</v>
      </c>
      <c r="G146" s="208"/>
      <c r="H146" s="231"/>
      <c r="I146" s="565"/>
      <c r="J146" s="209"/>
      <c r="K146" s="565"/>
      <c r="L146" s="209"/>
      <c r="M146" s="565">
        <f t="shared" si="1"/>
        <v>0</v>
      </c>
      <c r="N146" s="565"/>
      <c r="O146" s="565"/>
      <c r="P146" s="218">
        <f t="shared" si="2"/>
        <v>0</v>
      </c>
    </row>
    <row r="147" spans="1:16" ht="14.25" outlineLevel="1" x14ac:dyDescent="0.45">
      <c r="A147" s="216"/>
      <c r="B147" s="206"/>
      <c r="C147" s="207"/>
      <c r="D147" s="208"/>
      <c r="E147" s="208"/>
      <c r="F147" s="208" t="s">
        <v>428</v>
      </c>
      <c r="G147" s="208"/>
      <c r="H147" s="231"/>
      <c r="I147" s="565"/>
      <c r="J147" s="209"/>
      <c r="K147" s="565"/>
      <c r="L147" s="209"/>
      <c r="M147" s="565">
        <f t="shared" si="1"/>
        <v>0</v>
      </c>
      <c r="N147" s="565"/>
      <c r="O147" s="565"/>
      <c r="P147" s="218">
        <f t="shared" si="2"/>
        <v>0</v>
      </c>
    </row>
    <row r="148" spans="1:16" ht="14.25" outlineLevel="1" x14ac:dyDescent="0.45">
      <c r="A148" s="216"/>
      <c r="B148" s="206"/>
      <c r="C148" s="207"/>
      <c r="D148" s="208"/>
      <c r="E148" s="208"/>
      <c r="F148" s="208" t="s">
        <v>428</v>
      </c>
      <c r="G148" s="208"/>
      <c r="H148" s="231"/>
      <c r="I148" s="565"/>
      <c r="J148" s="209"/>
      <c r="K148" s="565"/>
      <c r="L148" s="209"/>
      <c r="M148" s="565">
        <f t="shared" si="1"/>
        <v>0</v>
      </c>
      <c r="N148" s="565"/>
      <c r="O148" s="565"/>
      <c r="P148" s="218">
        <f t="shared" si="2"/>
        <v>0</v>
      </c>
    </row>
    <row r="149" spans="1:16" ht="14.25" outlineLevel="1" x14ac:dyDescent="0.45">
      <c r="A149" s="216"/>
      <c r="B149" s="206"/>
      <c r="C149" s="207"/>
      <c r="D149" s="208"/>
      <c r="E149" s="208"/>
      <c r="F149" s="208" t="s">
        <v>428</v>
      </c>
      <c r="G149" s="208"/>
      <c r="H149" s="231"/>
      <c r="I149" s="565"/>
      <c r="J149" s="209"/>
      <c r="K149" s="565"/>
      <c r="L149" s="209"/>
      <c r="M149" s="565">
        <f t="shared" si="1"/>
        <v>0</v>
      </c>
      <c r="N149" s="565"/>
      <c r="O149" s="565"/>
      <c r="P149" s="218">
        <f t="shared" si="2"/>
        <v>0</v>
      </c>
    </row>
    <row r="150" spans="1:16" ht="14.25" outlineLevel="1" x14ac:dyDescent="0.45">
      <c r="A150" s="216"/>
      <c r="B150" s="206"/>
      <c r="C150" s="207"/>
      <c r="D150" s="208"/>
      <c r="E150" s="208"/>
      <c r="F150" s="208" t="s">
        <v>428</v>
      </c>
      <c r="G150" s="208"/>
      <c r="H150" s="231"/>
      <c r="I150" s="565"/>
      <c r="J150" s="209"/>
      <c r="K150" s="565"/>
      <c r="L150" s="209"/>
      <c r="M150" s="565">
        <f t="shared" si="1"/>
        <v>0</v>
      </c>
      <c r="N150" s="565"/>
      <c r="O150" s="565"/>
      <c r="P150" s="218">
        <f t="shared" si="2"/>
        <v>0</v>
      </c>
    </row>
    <row r="151" spans="1:16" ht="14.25" outlineLevel="1" x14ac:dyDescent="0.45">
      <c r="A151" s="216"/>
      <c r="B151" s="206"/>
      <c r="C151" s="207"/>
      <c r="D151" s="208"/>
      <c r="E151" s="208"/>
      <c r="F151" s="208" t="s">
        <v>428</v>
      </c>
      <c r="G151" s="208"/>
      <c r="H151" s="231"/>
      <c r="I151" s="565"/>
      <c r="J151" s="209"/>
      <c r="K151" s="565"/>
      <c r="L151" s="209"/>
      <c r="M151" s="565">
        <f t="shared" si="1"/>
        <v>0</v>
      </c>
      <c r="N151" s="565"/>
      <c r="O151" s="565"/>
      <c r="P151" s="218">
        <f t="shared" si="2"/>
        <v>0</v>
      </c>
    </row>
    <row r="152" spans="1:16" ht="14.25" outlineLevel="1" x14ac:dyDescent="0.45">
      <c r="A152" s="216"/>
      <c r="B152" s="206"/>
      <c r="C152" s="207"/>
      <c r="D152" s="208"/>
      <c r="E152" s="208"/>
      <c r="F152" s="208" t="s">
        <v>428</v>
      </c>
      <c r="G152" s="208"/>
      <c r="H152" s="231"/>
      <c r="I152" s="565"/>
      <c r="J152" s="209"/>
      <c r="K152" s="565"/>
      <c r="L152" s="209"/>
      <c r="M152" s="565">
        <f t="shared" si="1"/>
        <v>0</v>
      </c>
      <c r="N152" s="565"/>
      <c r="O152" s="565"/>
      <c r="P152" s="218">
        <f t="shared" si="2"/>
        <v>0</v>
      </c>
    </row>
    <row r="153" spans="1:16" ht="14.25" outlineLevel="1" x14ac:dyDescent="0.45">
      <c r="A153" s="216"/>
      <c r="B153" s="206"/>
      <c r="C153" s="207"/>
      <c r="D153" s="208"/>
      <c r="E153" s="208"/>
      <c r="F153" s="208" t="s">
        <v>428</v>
      </c>
      <c r="G153" s="208"/>
      <c r="H153" s="231"/>
      <c r="I153" s="565"/>
      <c r="J153" s="209"/>
      <c r="K153" s="565"/>
      <c r="L153" s="209"/>
      <c r="M153" s="565">
        <f t="shared" si="1"/>
        <v>0</v>
      </c>
      <c r="N153" s="565"/>
      <c r="O153" s="565"/>
      <c r="P153" s="218">
        <f t="shared" si="2"/>
        <v>0</v>
      </c>
    </row>
    <row r="154" spans="1:16" ht="14.25" outlineLevel="1" x14ac:dyDescent="0.45">
      <c r="A154" s="216"/>
      <c r="B154" s="206"/>
      <c r="C154" s="207"/>
      <c r="D154" s="208"/>
      <c r="E154" s="208"/>
      <c r="F154" s="208" t="s">
        <v>428</v>
      </c>
      <c r="G154" s="208"/>
      <c r="H154" s="231"/>
      <c r="I154" s="565"/>
      <c r="J154" s="209"/>
      <c r="K154" s="565"/>
      <c r="L154" s="209"/>
      <c r="M154" s="565">
        <f t="shared" si="1"/>
        <v>0</v>
      </c>
      <c r="N154" s="565"/>
      <c r="O154" s="565"/>
      <c r="P154" s="218">
        <f t="shared" si="2"/>
        <v>0</v>
      </c>
    </row>
    <row r="155" spans="1:16" ht="14.25" outlineLevel="1" x14ac:dyDescent="0.45">
      <c r="A155" s="216"/>
      <c r="B155" s="206"/>
      <c r="C155" s="207"/>
      <c r="D155" s="208"/>
      <c r="E155" s="208"/>
      <c r="F155" s="208" t="s">
        <v>428</v>
      </c>
      <c r="G155" s="208"/>
      <c r="H155" s="231"/>
      <c r="I155" s="565"/>
      <c r="J155" s="209"/>
      <c r="K155" s="565"/>
      <c r="L155" s="209"/>
      <c r="M155" s="565">
        <f t="shared" si="1"/>
        <v>0</v>
      </c>
      <c r="N155" s="565"/>
      <c r="O155" s="565"/>
      <c r="P155" s="218">
        <f t="shared" si="2"/>
        <v>0</v>
      </c>
    </row>
    <row r="156" spans="1:16" ht="14.25" outlineLevel="1" x14ac:dyDescent="0.45">
      <c r="A156" s="216"/>
      <c r="B156" s="206"/>
      <c r="C156" s="207"/>
      <c r="D156" s="208"/>
      <c r="E156" s="208"/>
      <c r="F156" s="208" t="s">
        <v>428</v>
      </c>
      <c r="G156" s="208"/>
      <c r="H156" s="231"/>
      <c r="I156" s="565"/>
      <c r="J156" s="209"/>
      <c r="K156" s="565"/>
      <c r="L156" s="209"/>
      <c r="M156" s="565">
        <f t="shared" si="1"/>
        <v>0</v>
      </c>
      <c r="N156" s="565"/>
      <c r="O156" s="565"/>
      <c r="P156" s="218">
        <f t="shared" si="2"/>
        <v>0</v>
      </c>
    </row>
    <row r="157" spans="1:16" ht="14.25" outlineLevel="1" x14ac:dyDescent="0.45">
      <c r="A157" s="216"/>
      <c r="B157" s="206"/>
      <c r="C157" s="207"/>
      <c r="D157" s="208"/>
      <c r="E157" s="208"/>
      <c r="F157" s="208" t="s">
        <v>428</v>
      </c>
      <c r="G157" s="208"/>
      <c r="H157" s="231"/>
      <c r="I157" s="565"/>
      <c r="J157" s="209"/>
      <c r="K157" s="565"/>
      <c r="L157" s="209"/>
      <c r="M157" s="565">
        <f t="shared" si="1"/>
        <v>0</v>
      </c>
      <c r="N157" s="565"/>
      <c r="O157" s="565"/>
      <c r="P157" s="218">
        <f t="shared" si="2"/>
        <v>0</v>
      </c>
    </row>
    <row r="158" spans="1:16" ht="14.25" outlineLevel="1" x14ac:dyDescent="0.45">
      <c r="A158" s="216"/>
      <c r="B158" s="206"/>
      <c r="C158" s="207"/>
      <c r="D158" s="208"/>
      <c r="E158" s="208"/>
      <c r="F158" s="208" t="s">
        <v>428</v>
      </c>
      <c r="G158" s="208"/>
      <c r="H158" s="231"/>
      <c r="I158" s="565"/>
      <c r="J158" s="209"/>
      <c r="K158" s="565"/>
      <c r="L158" s="209"/>
      <c r="M158" s="565">
        <f t="shared" si="1"/>
        <v>0</v>
      </c>
      <c r="N158" s="565"/>
      <c r="O158" s="565"/>
      <c r="P158" s="218">
        <f t="shared" si="2"/>
        <v>0</v>
      </c>
    </row>
    <row r="159" spans="1:16" ht="14.25" outlineLevel="1" x14ac:dyDescent="0.45">
      <c r="A159" s="216"/>
      <c r="B159" s="206"/>
      <c r="C159" s="207"/>
      <c r="D159" s="208"/>
      <c r="E159" s="208"/>
      <c r="F159" s="208" t="s">
        <v>428</v>
      </c>
      <c r="G159" s="208"/>
      <c r="H159" s="231"/>
      <c r="I159" s="565"/>
      <c r="J159" s="209"/>
      <c r="K159" s="565"/>
      <c r="L159" s="209"/>
      <c r="M159" s="565">
        <f t="shared" si="1"/>
        <v>0</v>
      </c>
      <c r="N159" s="565"/>
      <c r="O159" s="565"/>
      <c r="P159" s="218">
        <f t="shared" si="2"/>
        <v>0</v>
      </c>
    </row>
    <row r="160" spans="1:16" ht="14.25" outlineLevel="1" x14ac:dyDescent="0.45">
      <c r="A160" s="216"/>
      <c r="B160" s="206"/>
      <c r="C160" s="207"/>
      <c r="D160" s="208"/>
      <c r="E160" s="208"/>
      <c r="F160" s="208" t="s">
        <v>428</v>
      </c>
      <c r="G160" s="208"/>
      <c r="H160" s="231"/>
      <c r="I160" s="565"/>
      <c r="J160" s="209"/>
      <c r="K160" s="565"/>
      <c r="L160" s="209"/>
      <c r="M160" s="565">
        <f t="shared" si="1"/>
        <v>0</v>
      </c>
      <c r="N160" s="565"/>
      <c r="O160" s="565"/>
      <c r="P160" s="218">
        <f t="shared" si="2"/>
        <v>0</v>
      </c>
    </row>
    <row r="161" spans="1:16" ht="14.25" outlineLevel="1" x14ac:dyDescent="0.45">
      <c r="A161" s="216"/>
      <c r="B161" s="206"/>
      <c r="C161" s="207"/>
      <c r="D161" s="208"/>
      <c r="E161" s="208"/>
      <c r="F161" s="208" t="s">
        <v>428</v>
      </c>
      <c r="G161" s="208"/>
      <c r="H161" s="231"/>
      <c r="I161" s="565"/>
      <c r="J161" s="209"/>
      <c r="K161" s="565"/>
      <c r="L161" s="209"/>
      <c r="M161" s="565">
        <f t="shared" si="1"/>
        <v>0</v>
      </c>
      <c r="N161" s="565"/>
      <c r="O161" s="565"/>
      <c r="P161" s="218">
        <f t="shared" si="2"/>
        <v>0</v>
      </c>
    </row>
    <row r="162" spans="1:16" ht="14.25" outlineLevel="1" x14ac:dyDescent="0.45">
      <c r="A162" s="216"/>
      <c r="B162" s="206"/>
      <c r="C162" s="207"/>
      <c r="D162" s="208"/>
      <c r="E162" s="208"/>
      <c r="F162" s="208" t="s">
        <v>428</v>
      </c>
      <c r="G162" s="208"/>
      <c r="H162" s="231"/>
      <c r="I162" s="565"/>
      <c r="J162" s="209"/>
      <c r="K162" s="565"/>
      <c r="L162" s="209"/>
      <c r="M162" s="565">
        <f t="shared" si="1"/>
        <v>0</v>
      </c>
      <c r="N162" s="565"/>
      <c r="O162" s="565"/>
      <c r="P162" s="218">
        <f t="shared" si="2"/>
        <v>0</v>
      </c>
    </row>
    <row r="163" spans="1:16" ht="14.25" outlineLevel="1" x14ac:dyDescent="0.45">
      <c r="A163" s="216"/>
      <c r="B163" s="206"/>
      <c r="C163" s="207"/>
      <c r="D163" s="208"/>
      <c r="E163" s="208"/>
      <c r="F163" s="208" t="s">
        <v>428</v>
      </c>
      <c r="G163" s="208"/>
      <c r="H163" s="231"/>
      <c r="I163" s="565"/>
      <c r="J163" s="209"/>
      <c r="K163" s="565"/>
      <c r="L163" s="209"/>
      <c r="M163" s="565">
        <f t="shared" si="1"/>
        <v>0</v>
      </c>
      <c r="N163" s="565"/>
      <c r="O163" s="565"/>
      <c r="P163" s="218">
        <f t="shared" si="2"/>
        <v>0</v>
      </c>
    </row>
    <row r="164" spans="1:16" ht="14.25" outlineLevel="1" x14ac:dyDescent="0.45">
      <c r="A164" s="216"/>
      <c r="B164" s="206"/>
      <c r="C164" s="207"/>
      <c r="D164" s="208"/>
      <c r="E164" s="208"/>
      <c r="F164" s="208" t="s">
        <v>428</v>
      </c>
      <c r="G164" s="208"/>
      <c r="H164" s="231"/>
      <c r="I164" s="565"/>
      <c r="J164" s="209"/>
      <c r="K164" s="565"/>
      <c r="L164" s="209"/>
      <c r="M164" s="565">
        <f t="shared" si="1"/>
        <v>0</v>
      </c>
      <c r="N164" s="565"/>
      <c r="O164" s="565"/>
      <c r="P164" s="218">
        <f t="shared" si="2"/>
        <v>0</v>
      </c>
    </row>
    <row r="165" spans="1:16" ht="14.25" outlineLevel="1" x14ac:dyDescent="0.45">
      <c r="A165" s="216"/>
      <c r="B165" s="206"/>
      <c r="C165" s="207"/>
      <c r="D165" s="208"/>
      <c r="E165" s="208"/>
      <c r="F165" s="208" t="s">
        <v>428</v>
      </c>
      <c r="G165" s="208"/>
      <c r="H165" s="231"/>
      <c r="I165" s="565"/>
      <c r="J165" s="209"/>
      <c r="K165" s="565"/>
      <c r="L165" s="209"/>
      <c r="M165" s="565">
        <f t="shared" si="1"/>
        <v>0</v>
      </c>
      <c r="N165" s="565"/>
      <c r="O165" s="565"/>
      <c r="P165" s="218">
        <f t="shared" si="2"/>
        <v>0</v>
      </c>
    </row>
    <row r="166" spans="1:16" ht="14.25" outlineLevel="1" x14ac:dyDescent="0.45">
      <c r="A166" s="216"/>
      <c r="B166" s="206"/>
      <c r="C166" s="207"/>
      <c r="D166" s="208"/>
      <c r="E166" s="208"/>
      <c r="F166" s="208" t="s">
        <v>428</v>
      </c>
      <c r="G166" s="208"/>
      <c r="H166" s="231"/>
      <c r="I166" s="565"/>
      <c r="J166" s="209"/>
      <c r="K166" s="565"/>
      <c r="L166" s="209"/>
      <c r="M166" s="565">
        <f t="shared" si="1"/>
        <v>0</v>
      </c>
      <c r="N166" s="565"/>
      <c r="O166" s="565"/>
      <c r="P166" s="218">
        <f t="shared" si="2"/>
        <v>0</v>
      </c>
    </row>
    <row r="167" spans="1:16" ht="14.25" outlineLevel="1" x14ac:dyDescent="0.45">
      <c r="A167" s="216"/>
      <c r="B167" s="206"/>
      <c r="C167" s="207"/>
      <c r="D167" s="208"/>
      <c r="E167" s="208"/>
      <c r="F167" s="208" t="s">
        <v>428</v>
      </c>
      <c r="G167" s="208"/>
      <c r="H167" s="231"/>
      <c r="I167" s="565"/>
      <c r="J167" s="209"/>
      <c r="K167" s="565"/>
      <c r="L167" s="209"/>
      <c r="M167" s="565">
        <f t="shared" si="1"/>
        <v>0</v>
      </c>
      <c r="N167" s="565"/>
      <c r="O167" s="565"/>
      <c r="P167" s="218">
        <f t="shared" si="2"/>
        <v>0</v>
      </c>
    </row>
    <row r="168" spans="1:16" ht="14.25" outlineLevel="1" x14ac:dyDescent="0.45">
      <c r="A168" s="216"/>
      <c r="B168" s="206"/>
      <c r="C168" s="207"/>
      <c r="D168" s="208"/>
      <c r="E168" s="208"/>
      <c r="F168" s="208" t="s">
        <v>428</v>
      </c>
      <c r="G168" s="208"/>
      <c r="H168" s="231"/>
      <c r="I168" s="565"/>
      <c r="J168" s="209"/>
      <c r="K168" s="565"/>
      <c r="L168" s="209"/>
      <c r="M168" s="565">
        <f t="shared" si="1"/>
        <v>0</v>
      </c>
      <c r="N168" s="565"/>
      <c r="O168" s="565"/>
      <c r="P168" s="218">
        <f t="shared" ref="P168:P231" si="3">SUBTOTAL(9,P166:P167)</f>
        <v>0</v>
      </c>
    </row>
    <row r="169" spans="1:16" ht="14.25" outlineLevel="1" x14ac:dyDescent="0.45">
      <c r="A169" s="216"/>
      <c r="B169" s="206"/>
      <c r="C169" s="207"/>
      <c r="D169" s="208"/>
      <c r="E169" s="208"/>
      <c r="F169" s="208" t="s">
        <v>428</v>
      </c>
      <c r="G169" s="208"/>
      <c r="H169" s="231"/>
      <c r="I169" s="565"/>
      <c r="J169" s="209"/>
      <c r="K169" s="565"/>
      <c r="L169" s="209"/>
      <c r="M169" s="565">
        <f t="shared" si="1"/>
        <v>0</v>
      </c>
      <c r="N169" s="565"/>
      <c r="O169" s="565"/>
      <c r="P169" s="218">
        <f t="shared" si="3"/>
        <v>0</v>
      </c>
    </row>
    <row r="170" spans="1:16" ht="14.25" outlineLevel="1" x14ac:dyDescent="0.45">
      <c r="A170" s="216"/>
      <c r="B170" s="206"/>
      <c r="C170" s="207"/>
      <c r="D170" s="208"/>
      <c r="E170" s="208"/>
      <c r="F170" s="208" t="s">
        <v>428</v>
      </c>
      <c r="G170" s="208"/>
      <c r="H170" s="231"/>
      <c r="I170" s="565"/>
      <c r="J170" s="209"/>
      <c r="K170" s="565"/>
      <c r="L170" s="209"/>
      <c r="M170" s="565">
        <f t="shared" ref="M170:M233" si="4">I170*H170</f>
        <v>0</v>
      </c>
      <c r="N170" s="565"/>
      <c r="O170" s="565"/>
      <c r="P170" s="218">
        <f t="shared" si="3"/>
        <v>0</v>
      </c>
    </row>
    <row r="171" spans="1:16" ht="14.25" outlineLevel="1" x14ac:dyDescent="0.45">
      <c r="A171" s="216"/>
      <c r="B171" s="206"/>
      <c r="C171" s="207"/>
      <c r="D171" s="208"/>
      <c r="E171" s="208"/>
      <c r="F171" s="208" t="s">
        <v>428</v>
      </c>
      <c r="G171" s="208"/>
      <c r="H171" s="231"/>
      <c r="I171" s="565"/>
      <c r="J171" s="209"/>
      <c r="K171" s="565"/>
      <c r="L171" s="209"/>
      <c r="M171" s="565">
        <f t="shared" si="4"/>
        <v>0</v>
      </c>
      <c r="N171" s="565"/>
      <c r="O171" s="565"/>
      <c r="P171" s="218">
        <f t="shared" si="3"/>
        <v>0</v>
      </c>
    </row>
    <row r="172" spans="1:16" ht="14.25" outlineLevel="1" x14ac:dyDescent="0.45">
      <c r="A172" s="216"/>
      <c r="B172" s="206"/>
      <c r="C172" s="207"/>
      <c r="D172" s="208"/>
      <c r="E172" s="208"/>
      <c r="F172" s="208" t="s">
        <v>428</v>
      </c>
      <c r="G172" s="208"/>
      <c r="H172" s="231"/>
      <c r="I172" s="565"/>
      <c r="J172" s="209"/>
      <c r="K172" s="565"/>
      <c r="L172" s="209"/>
      <c r="M172" s="565">
        <f t="shared" si="4"/>
        <v>0</v>
      </c>
      <c r="N172" s="565"/>
      <c r="O172" s="565"/>
      <c r="P172" s="218">
        <f t="shared" si="3"/>
        <v>0</v>
      </c>
    </row>
    <row r="173" spans="1:16" ht="14.25" outlineLevel="1" x14ac:dyDescent="0.45">
      <c r="A173" s="216"/>
      <c r="B173" s="206"/>
      <c r="C173" s="207"/>
      <c r="D173" s="208"/>
      <c r="E173" s="208"/>
      <c r="F173" s="208" t="s">
        <v>428</v>
      </c>
      <c r="G173" s="208"/>
      <c r="H173" s="231"/>
      <c r="I173" s="565"/>
      <c r="J173" s="209"/>
      <c r="K173" s="565"/>
      <c r="L173" s="209"/>
      <c r="M173" s="565">
        <f t="shared" si="4"/>
        <v>0</v>
      </c>
      <c r="N173" s="565"/>
      <c r="O173" s="565"/>
      <c r="P173" s="218">
        <f t="shared" si="3"/>
        <v>0</v>
      </c>
    </row>
    <row r="174" spans="1:16" ht="14.25" outlineLevel="1" x14ac:dyDescent="0.45">
      <c r="A174" s="216"/>
      <c r="B174" s="206"/>
      <c r="C174" s="207"/>
      <c r="D174" s="208"/>
      <c r="E174" s="208"/>
      <c r="F174" s="208" t="s">
        <v>428</v>
      </c>
      <c r="G174" s="208"/>
      <c r="H174" s="231"/>
      <c r="I174" s="565"/>
      <c r="J174" s="209"/>
      <c r="K174" s="565"/>
      <c r="L174" s="209"/>
      <c r="M174" s="565">
        <f t="shared" si="4"/>
        <v>0</v>
      </c>
      <c r="N174" s="565"/>
      <c r="O174" s="565"/>
      <c r="P174" s="218">
        <f t="shared" si="3"/>
        <v>0</v>
      </c>
    </row>
    <row r="175" spans="1:16" ht="14.25" outlineLevel="1" x14ac:dyDescent="0.45">
      <c r="A175" s="216"/>
      <c r="B175" s="206"/>
      <c r="C175" s="207"/>
      <c r="D175" s="208"/>
      <c r="E175" s="208"/>
      <c r="F175" s="208" t="s">
        <v>428</v>
      </c>
      <c r="G175" s="208"/>
      <c r="H175" s="231"/>
      <c r="I175" s="565"/>
      <c r="J175" s="209"/>
      <c r="K175" s="565"/>
      <c r="L175" s="209"/>
      <c r="M175" s="565">
        <f t="shared" si="4"/>
        <v>0</v>
      </c>
      <c r="N175" s="565"/>
      <c r="O175" s="565"/>
      <c r="P175" s="218">
        <f t="shared" si="3"/>
        <v>0</v>
      </c>
    </row>
    <row r="176" spans="1:16" ht="14.25" outlineLevel="1" x14ac:dyDescent="0.45">
      <c r="A176" s="216"/>
      <c r="B176" s="206"/>
      <c r="C176" s="207"/>
      <c r="D176" s="208"/>
      <c r="E176" s="208"/>
      <c r="F176" s="208" t="s">
        <v>428</v>
      </c>
      <c r="G176" s="208"/>
      <c r="H176" s="231"/>
      <c r="I176" s="565"/>
      <c r="J176" s="209"/>
      <c r="K176" s="565"/>
      <c r="L176" s="209"/>
      <c r="M176" s="565">
        <f t="shared" si="4"/>
        <v>0</v>
      </c>
      <c r="N176" s="565"/>
      <c r="O176" s="565"/>
      <c r="P176" s="218">
        <f t="shared" si="3"/>
        <v>0</v>
      </c>
    </row>
    <row r="177" spans="1:16" ht="14.25" outlineLevel="1" x14ac:dyDescent="0.45">
      <c r="A177" s="216"/>
      <c r="B177" s="206"/>
      <c r="C177" s="207"/>
      <c r="D177" s="208"/>
      <c r="E177" s="208"/>
      <c r="F177" s="208" t="s">
        <v>428</v>
      </c>
      <c r="G177" s="208"/>
      <c r="H177" s="231"/>
      <c r="I177" s="565"/>
      <c r="J177" s="209"/>
      <c r="K177" s="565"/>
      <c r="L177" s="209"/>
      <c r="M177" s="565">
        <f t="shared" si="4"/>
        <v>0</v>
      </c>
      <c r="N177" s="565"/>
      <c r="O177" s="565"/>
      <c r="P177" s="218">
        <f t="shared" si="3"/>
        <v>0</v>
      </c>
    </row>
    <row r="178" spans="1:16" ht="14.25" outlineLevel="1" x14ac:dyDescent="0.45">
      <c r="A178" s="216"/>
      <c r="B178" s="206"/>
      <c r="C178" s="207"/>
      <c r="D178" s="208"/>
      <c r="E178" s="208"/>
      <c r="F178" s="208" t="s">
        <v>428</v>
      </c>
      <c r="G178" s="208"/>
      <c r="H178" s="231"/>
      <c r="I178" s="565"/>
      <c r="J178" s="209"/>
      <c r="K178" s="565"/>
      <c r="L178" s="209"/>
      <c r="M178" s="565">
        <f t="shared" si="4"/>
        <v>0</v>
      </c>
      <c r="N178" s="565"/>
      <c r="O178" s="565"/>
      <c r="P178" s="218">
        <f t="shared" si="3"/>
        <v>0</v>
      </c>
    </row>
    <row r="179" spans="1:16" ht="14.25" outlineLevel="1" x14ac:dyDescent="0.45">
      <c r="A179" s="216"/>
      <c r="B179" s="206"/>
      <c r="C179" s="207"/>
      <c r="D179" s="208"/>
      <c r="E179" s="208"/>
      <c r="F179" s="208" t="s">
        <v>428</v>
      </c>
      <c r="G179" s="208"/>
      <c r="H179" s="231"/>
      <c r="I179" s="565"/>
      <c r="J179" s="209"/>
      <c r="K179" s="565"/>
      <c r="L179" s="209"/>
      <c r="M179" s="565">
        <f t="shared" si="4"/>
        <v>0</v>
      </c>
      <c r="N179" s="565"/>
      <c r="O179" s="565"/>
      <c r="P179" s="218">
        <f t="shared" si="3"/>
        <v>0</v>
      </c>
    </row>
    <row r="180" spans="1:16" ht="14.25" outlineLevel="1" x14ac:dyDescent="0.45">
      <c r="A180" s="216"/>
      <c r="B180" s="206"/>
      <c r="C180" s="207"/>
      <c r="D180" s="208"/>
      <c r="E180" s="208"/>
      <c r="F180" s="208" t="s">
        <v>428</v>
      </c>
      <c r="G180" s="208"/>
      <c r="H180" s="231"/>
      <c r="I180" s="565"/>
      <c r="J180" s="209"/>
      <c r="K180" s="565"/>
      <c r="L180" s="209"/>
      <c r="M180" s="565">
        <f t="shared" si="4"/>
        <v>0</v>
      </c>
      <c r="N180" s="565"/>
      <c r="O180" s="565"/>
      <c r="P180" s="218">
        <f t="shared" si="3"/>
        <v>0</v>
      </c>
    </row>
    <row r="181" spans="1:16" ht="14.25" outlineLevel="1" x14ac:dyDescent="0.45">
      <c r="A181" s="216"/>
      <c r="B181" s="206"/>
      <c r="C181" s="207"/>
      <c r="D181" s="208"/>
      <c r="E181" s="208"/>
      <c r="F181" s="208" t="s">
        <v>428</v>
      </c>
      <c r="G181" s="208"/>
      <c r="H181" s="231"/>
      <c r="I181" s="565"/>
      <c r="J181" s="209"/>
      <c r="K181" s="565"/>
      <c r="L181" s="209"/>
      <c r="M181" s="565">
        <f t="shared" si="4"/>
        <v>0</v>
      </c>
      <c r="N181" s="565"/>
      <c r="O181" s="565"/>
      <c r="P181" s="218">
        <f t="shared" si="3"/>
        <v>0</v>
      </c>
    </row>
    <row r="182" spans="1:16" ht="14.25" outlineLevel="1" x14ac:dyDescent="0.45">
      <c r="A182" s="216"/>
      <c r="B182" s="206"/>
      <c r="C182" s="207"/>
      <c r="D182" s="208"/>
      <c r="E182" s="208"/>
      <c r="F182" s="208" t="s">
        <v>428</v>
      </c>
      <c r="G182" s="208"/>
      <c r="H182" s="231"/>
      <c r="I182" s="565"/>
      <c r="J182" s="209"/>
      <c r="K182" s="565"/>
      <c r="L182" s="209"/>
      <c r="M182" s="565">
        <f t="shared" si="4"/>
        <v>0</v>
      </c>
      <c r="N182" s="565"/>
      <c r="O182" s="565"/>
      <c r="P182" s="218">
        <f t="shared" si="3"/>
        <v>0</v>
      </c>
    </row>
    <row r="183" spans="1:16" ht="14.25" outlineLevel="1" x14ac:dyDescent="0.45">
      <c r="A183" s="216"/>
      <c r="B183" s="206"/>
      <c r="C183" s="207"/>
      <c r="D183" s="208"/>
      <c r="E183" s="208"/>
      <c r="F183" s="208" t="s">
        <v>428</v>
      </c>
      <c r="G183" s="208"/>
      <c r="H183" s="231"/>
      <c r="I183" s="565"/>
      <c r="J183" s="209"/>
      <c r="K183" s="565"/>
      <c r="L183" s="209"/>
      <c r="M183" s="565">
        <f t="shared" si="4"/>
        <v>0</v>
      </c>
      <c r="N183" s="565"/>
      <c r="O183" s="565"/>
      <c r="P183" s="218">
        <f t="shared" si="3"/>
        <v>0</v>
      </c>
    </row>
    <row r="184" spans="1:16" ht="14.25" outlineLevel="1" x14ac:dyDescent="0.45">
      <c r="A184" s="216"/>
      <c r="B184" s="206"/>
      <c r="C184" s="207"/>
      <c r="D184" s="208"/>
      <c r="E184" s="208"/>
      <c r="F184" s="208" t="s">
        <v>428</v>
      </c>
      <c r="G184" s="208"/>
      <c r="H184" s="231"/>
      <c r="I184" s="565"/>
      <c r="J184" s="209"/>
      <c r="K184" s="565"/>
      <c r="L184" s="209"/>
      <c r="M184" s="565">
        <f t="shared" si="4"/>
        <v>0</v>
      </c>
      <c r="N184" s="565"/>
      <c r="O184" s="565"/>
      <c r="P184" s="218">
        <f t="shared" si="3"/>
        <v>0</v>
      </c>
    </row>
    <row r="185" spans="1:16" ht="14.25" outlineLevel="1" x14ac:dyDescent="0.45">
      <c r="A185" s="216"/>
      <c r="B185" s="206"/>
      <c r="C185" s="207"/>
      <c r="D185" s="208"/>
      <c r="E185" s="208"/>
      <c r="F185" s="208" t="s">
        <v>428</v>
      </c>
      <c r="G185" s="208"/>
      <c r="H185" s="231"/>
      <c r="I185" s="565"/>
      <c r="J185" s="209"/>
      <c r="K185" s="565"/>
      <c r="L185" s="209"/>
      <c r="M185" s="565">
        <f t="shared" si="4"/>
        <v>0</v>
      </c>
      <c r="N185" s="565"/>
      <c r="O185" s="565"/>
      <c r="P185" s="218">
        <f t="shared" si="3"/>
        <v>0</v>
      </c>
    </row>
    <row r="186" spans="1:16" ht="14.25" outlineLevel="1" x14ac:dyDescent="0.45">
      <c r="A186" s="216"/>
      <c r="B186" s="206"/>
      <c r="C186" s="207"/>
      <c r="D186" s="208"/>
      <c r="E186" s="208"/>
      <c r="F186" s="208" t="s">
        <v>428</v>
      </c>
      <c r="G186" s="208"/>
      <c r="H186" s="231"/>
      <c r="I186" s="565"/>
      <c r="J186" s="209"/>
      <c r="K186" s="565"/>
      <c r="L186" s="209"/>
      <c r="M186" s="565">
        <f t="shared" si="4"/>
        <v>0</v>
      </c>
      <c r="N186" s="565"/>
      <c r="O186" s="565"/>
      <c r="P186" s="218">
        <f t="shared" si="3"/>
        <v>0</v>
      </c>
    </row>
    <row r="187" spans="1:16" ht="14.25" outlineLevel="1" x14ac:dyDescent="0.45">
      <c r="A187" s="216"/>
      <c r="B187" s="206"/>
      <c r="C187" s="207"/>
      <c r="D187" s="208"/>
      <c r="E187" s="208"/>
      <c r="F187" s="208" t="s">
        <v>428</v>
      </c>
      <c r="G187" s="208"/>
      <c r="H187" s="231"/>
      <c r="I187" s="565"/>
      <c r="J187" s="209"/>
      <c r="K187" s="565"/>
      <c r="L187" s="209"/>
      <c r="M187" s="565">
        <f t="shared" si="4"/>
        <v>0</v>
      </c>
      <c r="N187" s="565"/>
      <c r="O187" s="565"/>
      <c r="P187" s="218">
        <f t="shared" si="3"/>
        <v>0</v>
      </c>
    </row>
    <row r="188" spans="1:16" ht="14.25" outlineLevel="1" x14ac:dyDescent="0.45">
      <c r="A188" s="216"/>
      <c r="B188" s="206"/>
      <c r="C188" s="207"/>
      <c r="D188" s="208"/>
      <c r="E188" s="208"/>
      <c r="F188" s="208" t="s">
        <v>428</v>
      </c>
      <c r="G188" s="208"/>
      <c r="H188" s="231"/>
      <c r="I188" s="565"/>
      <c r="J188" s="209"/>
      <c r="K188" s="565"/>
      <c r="L188" s="209"/>
      <c r="M188" s="565">
        <f t="shared" si="4"/>
        <v>0</v>
      </c>
      <c r="N188" s="565"/>
      <c r="O188" s="565"/>
      <c r="P188" s="218">
        <f t="shared" si="3"/>
        <v>0</v>
      </c>
    </row>
    <row r="189" spans="1:16" ht="14.25" outlineLevel="1" x14ac:dyDescent="0.45">
      <c r="A189" s="216"/>
      <c r="B189" s="206"/>
      <c r="C189" s="207"/>
      <c r="D189" s="208"/>
      <c r="E189" s="208"/>
      <c r="F189" s="208" t="s">
        <v>428</v>
      </c>
      <c r="G189" s="208"/>
      <c r="H189" s="231"/>
      <c r="I189" s="565"/>
      <c r="J189" s="209"/>
      <c r="K189" s="565"/>
      <c r="L189" s="209"/>
      <c r="M189" s="565">
        <f t="shared" si="4"/>
        <v>0</v>
      </c>
      <c r="N189" s="565"/>
      <c r="O189" s="565"/>
      <c r="P189" s="218">
        <f t="shared" si="3"/>
        <v>0</v>
      </c>
    </row>
    <row r="190" spans="1:16" ht="14.25" outlineLevel="1" x14ac:dyDescent="0.45">
      <c r="A190" s="216"/>
      <c r="B190" s="206"/>
      <c r="C190" s="207"/>
      <c r="D190" s="208"/>
      <c r="E190" s="208"/>
      <c r="F190" s="208" t="s">
        <v>428</v>
      </c>
      <c r="G190" s="208"/>
      <c r="H190" s="231"/>
      <c r="I190" s="565"/>
      <c r="J190" s="209"/>
      <c r="K190" s="565"/>
      <c r="L190" s="209"/>
      <c r="M190" s="565">
        <f t="shared" si="4"/>
        <v>0</v>
      </c>
      <c r="N190" s="565"/>
      <c r="O190" s="565"/>
      <c r="P190" s="218">
        <f t="shared" si="3"/>
        <v>0</v>
      </c>
    </row>
    <row r="191" spans="1:16" ht="14.25" outlineLevel="1" x14ac:dyDescent="0.45">
      <c r="A191" s="216"/>
      <c r="B191" s="206"/>
      <c r="C191" s="207"/>
      <c r="D191" s="208"/>
      <c r="E191" s="208"/>
      <c r="F191" s="208" t="s">
        <v>428</v>
      </c>
      <c r="G191" s="208"/>
      <c r="H191" s="231"/>
      <c r="I191" s="565"/>
      <c r="J191" s="209"/>
      <c r="K191" s="565"/>
      <c r="L191" s="209"/>
      <c r="M191" s="565">
        <f t="shared" si="4"/>
        <v>0</v>
      </c>
      <c r="N191" s="565"/>
      <c r="O191" s="565"/>
      <c r="P191" s="218">
        <f t="shared" si="3"/>
        <v>0</v>
      </c>
    </row>
    <row r="192" spans="1:16" ht="14.25" outlineLevel="1" x14ac:dyDescent="0.45">
      <c r="A192" s="216"/>
      <c r="B192" s="206"/>
      <c r="C192" s="207"/>
      <c r="D192" s="208"/>
      <c r="E192" s="208"/>
      <c r="F192" s="208" t="s">
        <v>428</v>
      </c>
      <c r="G192" s="208"/>
      <c r="H192" s="231"/>
      <c r="I192" s="565"/>
      <c r="J192" s="209"/>
      <c r="K192" s="565"/>
      <c r="L192" s="209"/>
      <c r="M192" s="565">
        <f t="shared" si="4"/>
        <v>0</v>
      </c>
      <c r="N192" s="565"/>
      <c r="O192" s="565"/>
      <c r="P192" s="218">
        <f t="shared" si="3"/>
        <v>0</v>
      </c>
    </row>
    <row r="193" spans="1:16" ht="14.25" outlineLevel="1" x14ac:dyDescent="0.45">
      <c r="A193" s="216"/>
      <c r="B193" s="206"/>
      <c r="C193" s="207"/>
      <c r="D193" s="208"/>
      <c r="E193" s="208"/>
      <c r="F193" s="208" t="s">
        <v>428</v>
      </c>
      <c r="G193" s="208"/>
      <c r="H193" s="231"/>
      <c r="I193" s="565"/>
      <c r="J193" s="209"/>
      <c r="K193" s="565"/>
      <c r="L193" s="209"/>
      <c r="M193" s="565">
        <f t="shared" si="4"/>
        <v>0</v>
      </c>
      <c r="N193" s="565"/>
      <c r="O193" s="565"/>
      <c r="P193" s="218">
        <f t="shared" si="3"/>
        <v>0</v>
      </c>
    </row>
    <row r="194" spans="1:16" ht="14.25" outlineLevel="1" x14ac:dyDescent="0.45">
      <c r="A194" s="216"/>
      <c r="B194" s="206"/>
      <c r="C194" s="207"/>
      <c r="D194" s="208"/>
      <c r="E194" s="208"/>
      <c r="F194" s="208" t="s">
        <v>428</v>
      </c>
      <c r="G194" s="208"/>
      <c r="H194" s="231"/>
      <c r="I194" s="565"/>
      <c r="J194" s="209"/>
      <c r="K194" s="565"/>
      <c r="L194" s="209"/>
      <c r="M194" s="565">
        <f t="shared" si="4"/>
        <v>0</v>
      </c>
      <c r="N194" s="565"/>
      <c r="O194" s="565"/>
      <c r="P194" s="218">
        <f t="shared" si="3"/>
        <v>0</v>
      </c>
    </row>
    <row r="195" spans="1:16" ht="14.25" outlineLevel="1" x14ac:dyDescent="0.45">
      <c r="A195" s="216"/>
      <c r="B195" s="206"/>
      <c r="C195" s="207"/>
      <c r="D195" s="208"/>
      <c r="E195" s="208"/>
      <c r="F195" s="208" t="s">
        <v>428</v>
      </c>
      <c r="G195" s="208"/>
      <c r="H195" s="231"/>
      <c r="I195" s="565"/>
      <c r="J195" s="209"/>
      <c r="K195" s="565"/>
      <c r="L195" s="209"/>
      <c r="M195" s="565">
        <f t="shared" si="4"/>
        <v>0</v>
      </c>
      <c r="N195" s="565"/>
      <c r="O195" s="565"/>
      <c r="P195" s="218">
        <f t="shared" si="3"/>
        <v>0</v>
      </c>
    </row>
    <row r="196" spans="1:16" ht="14.25" outlineLevel="1" x14ac:dyDescent="0.45">
      <c r="A196" s="216"/>
      <c r="B196" s="206"/>
      <c r="C196" s="207"/>
      <c r="D196" s="208"/>
      <c r="E196" s="208"/>
      <c r="F196" s="208" t="s">
        <v>428</v>
      </c>
      <c r="G196" s="208"/>
      <c r="H196" s="231"/>
      <c r="I196" s="565"/>
      <c r="J196" s="209"/>
      <c r="K196" s="565"/>
      <c r="L196" s="209"/>
      <c r="M196" s="565">
        <f t="shared" si="4"/>
        <v>0</v>
      </c>
      <c r="N196" s="565"/>
      <c r="O196" s="565"/>
      <c r="P196" s="218">
        <f t="shared" si="3"/>
        <v>0</v>
      </c>
    </row>
    <row r="197" spans="1:16" ht="14.25" outlineLevel="1" x14ac:dyDescent="0.45">
      <c r="A197" s="216"/>
      <c r="B197" s="206"/>
      <c r="C197" s="207"/>
      <c r="D197" s="208"/>
      <c r="E197" s="208"/>
      <c r="F197" s="208" t="s">
        <v>428</v>
      </c>
      <c r="G197" s="208"/>
      <c r="H197" s="231"/>
      <c r="I197" s="565"/>
      <c r="J197" s="209"/>
      <c r="K197" s="565"/>
      <c r="L197" s="209"/>
      <c r="M197" s="565">
        <f t="shared" si="4"/>
        <v>0</v>
      </c>
      <c r="N197" s="565"/>
      <c r="O197" s="565"/>
      <c r="P197" s="218">
        <f t="shared" si="3"/>
        <v>0</v>
      </c>
    </row>
    <row r="198" spans="1:16" ht="14.25" outlineLevel="1" x14ac:dyDescent="0.45">
      <c r="A198" s="216"/>
      <c r="B198" s="206"/>
      <c r="C198" s="207"/>
      <c r="D198" s="208"/>
      <c r="E198" s="208"/>
      <c r="F198" s="208" t="s">
        <v>428</v>
      </c>
      <c r="G198" s="208"/>
      <c r="H198" s="231"/>
      <c r="I198" s="565"/>
      <c r="J198" s="209"/>
      <c r="K198" s="565"/>
      <c r="L198" s="209"/>
      <c r="M198" s="565">
        <f t="shared" si="4"/>
        <v>0</v>
      </c>
      <c r="N198" s="565"/>
      <c r="O198" s="565"/>
      <c r="P198" s="218">
        <f t="shared" si="3"/>
        <v>0</v>
      </c>
    </row>
    <row r="199" spans="1:16" ht="14.25" outlineLevel="1" x14ac:dyDescent="0.45">
      <c r="A199" s="216"/>
      <c r="B199" s="206"/>
      <c r="C199" s="207"/>
      <c r="D199" s="208"/>
      <c r="E199" s="208"/>
      <c r="F199" s="208" t="s">
        <v>428</v>
      </c>
      <c r="G199" s="208"/>
      <c r="H199" s="231"/>
      <c r="I199" s="565"/>
      <c r="J199" s="209"/>
      <c r="K199" s="565"/>
      <c r="L199" s="209"/>
      <c r="M199" s="565">
        <f t="shared" si="4"/>
        <v>0</v>
      </c>
      <c r="N199" s="565"/>
      <c r="O199" s="565"/>
      <c r="P199" s="218">
        <f t="shared" si="3"/>
        <v>0</v>
      </c>
    </row>
    <row r="200" spans="1:16" ht="14.25" outlineLevel="1" x14ac:dyDescent="0.45">
      <c r="A200" s="216"/>
      <c r="B200" s="206"/>
      <c r="C200" s="207"/>
      <c r="D200" s="208"/>
      <c r="E200" s="208"/>
      <c r="F200" s="208" t="s">
        <v>428</v>
      </c>
      <c r="G200" s="208"/>
      <c r="H200" s="231"/>
      <c r="I200" s="565"/>
      <c r="J200" s="209"/>
      <c r="K200" s="565"/>
      <c r="L200" s="209"/>
      <c r="M200" s="565">
        <f t="shared" si="4"/>
        <v>0</v>
      </c>
      <c r="N200" s="565"/>
      <c r="O200" s="565"/>
      <c r="P200" s="218">
        <f t="shared" si="3"/>
        <v>0</v>
      </c>
    </row>
    <row r="201" spans="1:16" ht="14.25" outlineLevel="1" x14ac:dyDescent="0.45">
      <c r="A201" s="216"/>
      <c r="B201" s="206"/>
      <c r="C201" s="207"/>
      <c r="D201" s="208"/>
      <c r="E201" s="208"/>
      <c r="F201" s="208" t="s">
        <v>428</v>
      </c>
      <c r="G201" s="208"/>
      <c r="H201" s="231"/>
      <c r="I201" s="565"/>
      <c r="J201" s="209"/>
      <c r="K201" s="565"/>
      <c r="L201" s="209"/>
      <c r="M201" s="565">
        <f t="shared" si="4"/>
        <v>0</v>
      </c>
      <c r="N201" s="565"/>
      <c r="O201" s="565"/>
      <c r="P201" s="218">
        <f t="shared" si="3"/>
        <v>0</v>
      </c>
    </row>
    <row r="202" spans="1:16" ht="14.25" outlineLevel="1" x14ac:dyDescent="0.45">
      <c r="A202" s="216"/>
      <c r="B202" s="206"/>
      <c r="C202" s="207"/>
      <c r="D202" s="208"/>
      <c r="E202" s="208"/>
      <c r="F202" s="208" t="s">
        <v>428</v>
      </c>
      <c r="G202" s="208"/>
      <c r="H202" s="231"/>
      <c r="I202" s="565"/>
      <c r="J202" s="209"/>
      <c r="K202" s="565"/>
      <c r="L202" s="209"/>
      <c r="M202" s="565">
        <f t="shared" si="4"/>
        <v>0</v>
      </c>
      <c r="N202" s="565"/>
      <c r="O202" s="565"/>
      <c r="P202" s="218">
        <f t="shared" si="3"/>
        <v>0</v>
      </c>
    </row>
    <row r="203" spans="1:16" ht="14.25" outlineLevel="1" x14ac:dyDescent="0.45">
      <c r="A203" s="216"/>
      <c r="B203" s="206"/>
      <c r="C203" s="207"/>
      <c r="D203" s="208"/>
      <c r="E203" s="208"/>
      <c r="F203" s="208" t="s">
        <v>428</v>
      </c>
      <c r="G203" s="208"/>
      <c r="H203" s="231"/>
      <c r="I203" s="565"/>
      <c r="J203" s="209"/>
      <c r="K203" s="565"/>
      <c r="L203" s="209"/>
      <c r="M203" s="565">
        <f t="shared" si="4"/>
        <v>0</v>
      </c>
      <c r="N203" s="565"/>
      <c r="O203" s="565"/>
      <c r="P203" s="218">
        <f t="shared" si="3"/>
        <v>0</v>
      </c>
    </row>
    <row r="204" spans="1:16" ht="14.25" outlineLevel="1" x14ac:dyDescent="0.45">
      <c r="A204" s="216"/>
      <c r="B204" s="206"/>
      <c r="C204" s="207"/>
      <c r="D204" s="208"/>
      <c r="E204" s="208"/>
      <c r="F204" s="208" t="s">
        <v>428</v>
      </c>
      <c r="G204" s="208"/>
      <c r="H204" s="231"/>
      <c r="I204" s="565"/>
      <c r="J204" s="209"/>
      <c r="K204" s="565"/>
      <c r="L204" s="209"/>
      <c r="M204" s="565">
        <f t="shared" si="4"/>
        <v>0</v>
      </c>
      <c r="N204" s="565"/>
      <c r="O204" s="565"/>
      <c r="P204" s="218">
        <f t="shared" si="3"/>
        <v>0</v>
      </c>
    </row>
    <row r="205" spans="1:16" ht="14.25" outlineLevel="1" x14ac:dyDescent="0.45">
      <c r="A205" s="216"/>
      <c r="B205" s="206"/>
      <c r="C205" s="207"/>
      <c r="D205" s="208"/>
      <c r="E205" s="208"/>
      <c r="F205" s="208" t="s">
        <v>428</v>
      </c>
      <c r="G205" s="208"/>
      <c r="H205" s="231"/>
      <c r="I205" s="565"/>
      <c r="J205" s="209"/>
      <c r="K205" s="565"/>
      <c r="L205" s="209"/>
      <c r="M205" s="565">
        <f t="shared" si="4"/>
        <v>0</v>
      </c>
      <c r="N205" s="565"/>
      <c r="O205" s="565"/>
      <c r="P205" s="218">
        <f t="shared" si="3"/>
        <v>0</v>
      </c>
    </row>
    <row r="206" spans="1:16" ht="14.25" outlineLevel="1" x14ac:dyDescent="0.45">
      <c r="A206" s="216"/>
      <c r="B206" s="206"/>
      <c r="C206" s="207"/>
      <c r="D206" s="208"/>
      <c r="E206" s="208"/>
      <c r="F206" s="208" t="s">
        <v>428</v>
      </c>
      <c r="G206" s="208"/>
      <c r="H206" s="231"/>
      <c r="I206" s="565"/>
      <c r="J206" s="209"/>
      <c r="K206" s="565"/>
      <c r="L206" s="209"/>
      <c r="M206" s="565">
        <f t="shared" si="4"/>
        <v>0</v>
      </c>
      <c r="N206" s="565"/>
      <c r="O206" s="565"/>
      <c r="P206" s="218">
        <f t="shared" si="3"/>
        <v>0</v>
      </c>
    </row>
    <row r="207" spans="1:16" ht="14.25" outlineLevel="1" x14ac:dyDescent="0.45">
      <c r="A207" s="216"/>
      <c r="B207" s="206"/>
      <c r="C207" s="207"/>
      <c r="D207" s="208"/>
      <c r="E207" s="208"/>
      <c r="F207" s="208" t="s">
        <v>428</v>
      </c>
      <c r="G207" s="208"/>
      <c r="H207" s="231"/>
      <c r="I207" s="565"/>
      <c r="J207" s="209"/>
      <c r="K207" s="565"/>
      <c r="L207" s="209"/>
      <c r="M207" s="565">
        <f t="shared" si="4"/>
        <v>0</v>
      </c>
      <c r="N207" s="565"/>
      <c r="O207" s="565"/>
      <c r="P207" s="218">
        <f t="shared" si="3"/>
        <v>0</v>
      </c>
    </row>
    <row r="208" spans="1:16" ht="14.25" outlineLevel="1" x14ac:dyDescent="0.45">
      <c r="A208" s="216"/>
      <c r="B208" s="206"/>
      <c r="C208" s="207"/>
      <c r="D208" s="208"/>
      <c r="E208" s="208"/>
      <c r="F208" s="208" t="s">
        <v>428</v>
      </c>
      <c r="G208" s="208"/>
      <c r="H208" s="231"/>
      <c r="I208" s="565"/>
      <c r="J208" s="209"/>
      <c r="K208" s="565"/>
      <c r="L208" s="209"/>
      <c r="M208" s="565">
        <f t="shared" si="4"/>
        <v>0</v>
      </c>
      <c r="N208" s="565"/>
      <c r="O208" s="565"/>
      <c r="P208" s="218">
        <f t="shared" si="3"/>
        <v>0</v>
      </c>
    </row>
    <row r="209" spans="1:16" ht="14.25" outlineLevel="1" x14ac:dyDescent="0.45">
      <c r="A209" s="216"/>
      <c r="B209" s="206"/>
      <c r="C209" s="207"/>
      <c r="D209" s="208"/>
      <c r="E209" s="208"/>
      <c r="F209" s="208" t="s">
        <v>428</v>
      </c>
      <c r="G209" s="208"/>
      <c r="H209" s="231"/>
      <c r="I209" s="565"/>
      <c r="J209" s="209"/>
      <c r="K209" s="565"/>
      <c r="L209" s="209"/>
      <c r="M209" s="565">
        <f t="shared" si="4"/>
        <v>0</v>
      </c>
      <c r="N209" s="565"/>
      <c r="O209" s="565"/>
      <c r="P209" s="218">
        <f t="shared" si="3"/>
        <v>0</v>
      </c>
    </row>
    <row r="210" spans="1:16" ht="14.25" outlineLevel="1" x14ac:dyDescent="0.45">
      <c r="A210" s="216"/>
      <c r="B210" s="206"/>
      <c r="C210" s="207"/>
      <c r="D210" s="208"/>
      <c r="E210" s="208"/>
      <c r="F210" s="208" t="s">
        <v>428</v>
      </c>
      <c r="G210" s="208"/>
      <c r="H210" s="231"/>
      <c r="I210" s="565"/>
      <c r="J210" s="209"/>
      <c r="K210" s="565"/>
      <c r="L210" s="209"/>
      <c r="M210" s="565">
        <f t="shared" si="4"/>
        <v>0</v>
      </c>
      <c r="N210" s="565"/>
      <c r="O210" s="565"/>
      <c r="P210" s="218">
        <f t="shared" si="3"/>
        <v>0</v>
      </c>
    </row>
    <row r="211" spans="1:16" ht="14.25" outlineLevel="1" x14ac:dyDescent="0.45">
      <c r="A211" s="216"/>
      <c r="B211" s="206"/>
      <c r="C211" s="207"/>
      <c r="D211" s="208"/>
      <c r="E211" s="208"/>
      <c r="F211" s="208" t="s">
        <v>428</v>
      </c>
      <c r="G211" s="208"/>
      <c r="H211" s="231"/>
      <c r="I211" s="565"/>
      <c r="J211" s="209"/>
      <c r="K211" s="565"/>
      <c r="L211" s="209"/>
      <c r="M211" s="565">
        <f t="shared" si="4"/>
        <v>0</v>
      </c>
      <c r="N211" s="565"/>
      <c r="O211" s="565"/>
      <c r="P211" s="218">
        <f t="shared" si="3"/>
        <v>0</v>
      </c>
    </row>
    <row r="212" spans="1:16" ht="14.25" outlineLevel="1" x14ac:dyDescent="0.45">
      <c r="A212" s="216"/>
      <c r="B212" s="206"/>
      <c r="C212" s="207"/>
      <c r="D212" s="208"/>
      <c r="E212" s="208"/>
      <c r="F212" s="208" t="s">
        <v>428</v>
      </c>
      <c r="G212" s="208"/>
      <c r="H212" s="231"/>
      <c r="I212" s="565"/>
      <c r="J212" s="209"/>
      <c r="K212" s="565"/>
      <c r="L212" s="209"/>
      <c r="M212" s="565">
        <f t="shared" si="4"/>
        <v>0</v>
      </c>
      <c r="N212" s="565"/>
      <c r="O212" s="565"/>
      <c r="P212" s="218">
        <f t="shared" si="3"/>
        <v>0</v>
      </c>
    </row>
    <row r="213" spans="1:16" ht="14.25" outlineLevel="1" x14ac:dyDescent="0.45">
      <c r="A213" s="216"/>
      <c r="B213" s="206"/>
      <c r="C213" s="207"/>
      <c r="D213" s="208"/>
      <c r="E213" s="208"/>
      <c r="F213" s="208" t="s">
        <v>428</v>
      </c>
      <c r="G213" s="208"/>
      <c r="H213" s="231"/>
      <c r="I213" s="565"/>
      <c r="J213" s="209"/>
      <c r="K213" s="565"/>
      <c r="L213" s="209"/>
      <c r="M213" s="565">
        <f t="shared" si="4"/>
        <v>0</v>
      </c>
      <c r="N213" s="565"/>
      <c r="O213" s="565"/>
      <c r="P213" s="218">
        <f t="shared" si="3"/>
        <v>0</v>
      </c>
    </row>
    <row r="214" spans="1:16" ht="14.25" outlineLevel="1" x14ac:dyDescent="0.45">
      <c r="A214" s="216"/>
      <c r="B214" s="206"/>
      <c r="C214" s="207"/>
      <c r="D214" s="208"/>
      <c r="E214" s="208"/>
      <c r="F214" s="208" t="s">
        <v>428</v>
      </c>
      <c r="G214" s="208"/>
      <c r="H214" s="231"/>
      <c r="I214" s="565"/>
      <c r="J214" s="209"/>
      <c r="K214" s="565"/>
      <c r="L214" s="209"/>
      <c r="M214" s="565">
        <f t="shared" si="4"/>
        <v>0</v>
      </c>
      <c r="N214" s="565"/>
      <c r="O214" s="565"/>
      <c r="P214" s="218">
        <f t="shared" si="3"/>
        <v>0</v>
      </c>
    </row>
    <row r="215" spans="1:16" ht="14.25" outlineLevel="1" x14ac:dyDescent="0.45">
      <c r="A215" s="216"/>
      <c r="B215" s="206"/>
      <c r="C215" s="207"/>
      <c r="D215" s="208"/>
      <c r="E215" s="208"/>
      <c r="F215" s="208" t="s">
        <v>428</v>
      </c>
      <c r="G215" s="208"/>
      <c r="H215" s="231"/>
      <c r="I215" s="565"/>
      <c r="J215" s="209"/>
      <c r="K215" s="565"/>
      <c r="L215" s="209"/>
      <c r="M215" s="565">
        <f t="shared" si="4"/>
        <v>0</v>
      </c>
      <c r="N215" s="565"/>
      <c r="O215" s="565"/>
      <c r="P215" s="218">
        <f t="shared" si="3"/>
        <v>0</v>
      </c>
    </row>
    <row r="216" spans="1:16" ht="14.25" outlineLevel="1" x14ac:dyDescent="0.45">
      <c r="A216" s="216"/>
      <c r="B216" s="206"/>
      <c r="C216" s="207"/>
      <c r="D216" s="208"/>
      <c r="E216" s="208"/>
      <c r="F216" s="208" t="s">
        <v>428</v>
      </c>
      <c r="G216" s="208"/>
      <c r="H216" s="231"/>
      <c r="I216" s="565"/>
      <c r="J216" s="209"/>
      <c r="K216" s="565"/>
      <c r="L216" s="209"/>
      <c r="M216" s="565">
        <f t="shared" si="4"/>
        <v>0</v>
      </c>
      <c r="N216" s="565"/>
      <c r="O216" s="565"/>
      <c r="P216" s="218">
        <f t="shared" si="3"/>
        <v>0</v>
      </c>
    </row>
    <row r="217" spans="1:16" ht="14.25" outlineLevel="1" x14ac:dyDescent="0.45">
      <c r="A217" s="216"/>
      <c r="B217" s="206"/>
      <c r="C217" s="207"/>
      <c r="D217" s="208"/>
      <c r="E217" s="208"/>
      <c r="F217" s="208" t="s">
        <v>428</v>
      </c>
      <c r="G217" s="208"/>
      <c r="H217" s="231"/>
      <c r="I217" s="565"/>
      <c r="J217" s="209"/>
      <c r="K217" s="565"/>
      <c r="L217" s="209"/>
      <c r="M217" s="565">
        <f t="shared" si="4"/>
        <v>0</v>
      </c>
      <c r="N217" s="565"/>
      <c r="O217" s="565"/>
      <c r="P217" s="218">
        <f t="shared" si="3"/>
        <v>0</v>
      </c>
    </row>
    <row r="218" spans="1:16" ht="14.25" outlineLevel="1" x14ac:dyDescent="0.45">
      <c r="A218" s="216"/>
      <c r="B218" s="206"/>
      <c r="C218" s="207"/>
      <c r="D218" s="208"/>
      <c r="E218" s="208"/>
      <c r="F218" s="208" t="s">
        <v>428</v>
      </c>
      <c r="G218" s="208"/>
      <c r="H218" s="231"/>
      <c r="I218" s="565"/>
      <c r="J218" s="209"/>
      <c r="K218" s="565"/>
      <c r="L218" s="209"/>
      <c r="M218" s="565">
        <f t="shared" si="4"/>
        <v>0</v>
      </c>
      <c r="N218" s="565"/>
      <c r="O218" s="565"/>
      <c r="P218" s="218">
        <f t="shared" si="3"/>
        <v>0</v>
      </c>
    </row>
    <row r="219" spans="1:16" ht="14.25" outlineLevel="1" x14ac:dyDescent="0.45">
      <c r="A219" s="216"/>
      <c r="B219" s="206"/>
      <c r="C219" s="207"/>
      <c r="D219" s="208"/>
      <c r="E219" s="208"/>
      <c r="F219" s="208" t="s">
        <v>428</v>
      </c>
      <c r="G219" s="208"/>
      <c r="H219" s="231"/>
      <c r="I219" s="565"/>
      <c r="J219" s="209"/>
      <c r="K219" s="565"/>
      <c r="L219" s="209"/>
      <c r="M219" s="565">
        <f t="shared" si="4"/>
        <v>0</v>
      </c>
      <c r="N219" s="565"/>
      <c r="O219" s="565"/>
      <c r="P219" s="218">
        <f t="shared" si="3"/>
        <v>0</v>
      </c>
    </row>
    <row r="220" spans="1:16" ht="14.25" outlineLevel="1" x14ac:dyDescent="0.45">
      <c r="A220" s="216"/>
      <c r="B220" s="206"/>
      <c r="C220" s="207"/>
      <c r="D220" s="208"/>
      <c r="E220" s="208"/>
      <c r="F220" s="208" t="s">
        <v>428</v>
      </c>
      <c r="G220" s="208"/>
      <c r="H220" s="231"/>
      <c r="I220" s="565"/>
      <c r="J220" s="209"/>
      <c r="K220" s="565"/>
      <c r="L220" s="209"/>
      <c r="M220" s="565">
        <f t="shared" si="4"/>
        <v>0</v>
      </c>
      <c r="N220" s="565"/>
      <c r="O220" s="565"/>
      <c r="P220" s="218">
        <f t="shared" si="3"/>
        <v>0</v>
      </c>
    </row>
    <row r="221" spans="1:16" ht="14.25" outlineLevel="1" x14ac:dyDescent="0.45">
      <c r="A221" s="216"/>
      <c r="B221" s="206"/>
      <c r="C221" s="207"/>
      <c r="D221" s="208"/>
      <c r="E221" s="208"/>
      <c r="F221" s="208" t="s">
        <v>428</v>
      </c>
      <c r="G221" s="208"/>
      <c r="H221" s="231"/>
      <c r="I221" s="565"/>
      <c r="J221" s="209"/>
      <c r="K221" s="565"/>
      <c r="L221" s="209"/>
      <c r="M221" s="565">
        <f t="shared" si="4"/>
        <v>0</v>
      </c>
      <c r="N221" s="565"/>
      <c r="O221" s="565"/>
      <c r="P221" s="218">
        <f t="shared" si="3"/>
        <v>0</v>
      </c>
    </row>
    <row r="222" spans="1:16" ht="14.25" outlineLevel="1" x14ac:dyDescent="0.45">
      <c r="A222" s="216"/>
      <c r="B222" s="206"/>
      <c r="C222" s="207"/>
      <c r="D222" s="208"/>
      <c r="E222" s="208"/>
      <c r="F222" s="208" t="s">
        <v>428</v>
      </c>
      <c r="G222" s="208"/>
      <c r="H222" s="231"/>
      <c r="I222" s="565"/>
      <c r="J222" s="209"/>
      <c r="K222" s="565"/>
      <c r="L222" s="209"/>
      <c r="M222" s="565">
        <f t="shared" si="4"/>
        <v>0</v>
      </c>
      <c r="N222" s="565"/>
      <c r="O222" s="565"/>
      <c r="P222" s="218">
        <f t="shared" si="3"/>
        <v>0</v>
      </c>
    </row>
    <row r="223" spans="1:16" ht="14.25" outlineLevel="1" x14ac:dyDescent="0.45">
      <c r="A223" s="216"/>
      <c r="B223" s="206"/>
      <c r="C223" s="207"/>
      <c r="D223" s="208"/>
      <c r="E223" s="208"/>
      <c r="F223" s="208" t="s">
        <v>428</v>
      </c>
      <c r="G223" s="208"/>
      <c r="H223" s="231"/>
      <c r="I223" s="565"/>
      <c r="J223" s="209"/>
      <c r="K223" s="565"/>
      <c r="L223" s="209"/>
      <c r="M223" s="565">
        <f t="shared" si="4"/>
        <v>0</v>
      </c>
      <c r="N223" s="565"/>
      <c r="O223" s="565"/>
      <c r="P223" s="218">
        <f t="shared" si="3"/>
        <v>0</v>
      </c>
    </row>
    <row r="224" spans="1:16" ht="14.25" outlineLevel="1" x14ac:dyDescent="0.45">
      <c r="A224" s="216"/>
      <c r="B224" s="206"/>
      <c r="C224" s="207"/>
      <c r="D224" s="208"/>
      <c r="E224" s="208"/>
      <c r="F224" s="208" t="s">
        <v>428</v>
      </c>
      <c r="G224" s="208"/>
      <c r="H224" s="231"/>
      <c r="I224" s="565"/>
      <c r="J224" s="209"/>
      <c r="K224" s="565"/>
      <c r="L224" s="209"/>
      <c r="M224" s="565">
        <f t="shared" si="4"/>
        <v>0</v>
      </c>
      <c r="N224" s="565"/>
      <c r="O224" s="565"/>
      <c r="P224" s="218">
        <f t="shared" si="3"/>
        <v>0</v>
      </c>
    </row>
    <row r="225" spans="1:16" ht="14.25" outlineLevel="1" x14ac:dyDescent="0.45">
      <c r="A225" s="216"/>
      <c r="B225" s="206"/>
      <c r="C225" s="207"/>
      <c r="D225" s="208"/>
      <c r="E225" s="208"/>
      <c r="F225" s="208" t="s">
        <v>428</v>
      </c>
      <c r="G225" s="208"/>
      <c r="H225" s="231"/>
      <c r="I225" s="565"/>
      <c r="J225" s="209"/>
      <c r="K225" s="565"/>
      <c r="L225" s="209"/>
      <c r="M225" s="565">
        <f t="shared" si="4"/>
        <v>0</v>
      </c>
      <c r="N225" s="565"/>
      <c r="O225" s="565"/>
      <c r="P225" s="218">
        <f t="shared" si="3"/>
        <v>0</v>
      </c>
    </row>
    <row r="226" spans="1:16" ht="14.25" outlineLevel="1" x14ac:dyDescent="0.45">
      <c r="A226" s="216"/>
      <c r="B226" s="206"/>
      <c r="C226" s="207"/>
      <c r="D226" s="208"/>
      <c r="E226" s="208"/>
      <c r="F226" s="208" t="s">
        <v>428</v>
      </c>
      <c r="G226" s="208"/>
      <c r="H226" s="231"/>
      <c r="I226" s="565"/>
      <c r="J226" s="209"/>
      <c r="K226" s="565"/>
      <c r="L226" s="209"/>
      <c r="M226" s="565">
        <f t="shared" si="4"/>
        <v>0</v>
      </c>
      <c r="N226" s="565"/>
      <c r="O226" s="565"/>
      <c r="P226" s="218">
        <f t="shared" si="3"/>
        <v>0</v>
      </c>
    </row>
    <row r="227" spans="1:16" ht="14.25" outlineLevel="1" x14ac:dyDescent="0.45">
      <c r="A227" s="216"/>
      <c r="B227" s="206"/>
      <c r="C227" s="207"/>
      <c r="D227" s="208"/>
      <c r="E227" s="208"/>
      <c r="F227" s="208" t="s">
        <v>428</v>
      </c>
      <c r="G227" s="208"/>
      <c r="H227" s="231"/>
      <c r="I227" s="565"/>
      <c r="J227" s="209"/>
      <c r="K227" s="565"/>
      <c r="L227" s="209"/>
      <c r="M227" s="565">
        <f t="shared" si="4"/>
        <v>0</v>
      </c>
      <c r="N227" s="565"/>
      <c r="O227" s="565"/>
      <c r="P227" s="218">
        <f t="shared" si="3"/>
        <v>0</v>
      </c>
    </row>
    <row r="228" spans="1:16" ht="14.25" outlineLevel="1" x14ac:dyDescent="0.45">
      <c r="A228" s="216"/>
      <c r="B228" s="206"/>
      <c r="C228" s="207"/>
      <c r="D228" s="208"/>
      <c r="E228" s="208"/>
      <c r="F228" s="208" t="s">
        <v>428</v>
      </c>
      <c r="G228" s="208"/>
      <c r="H228" s="231"/>
      <c r="I228" s="565"/>
      <c r="J228" s="209"/>
      <c r="K228" s="565"/>
      <c r="L228" s="209"/>
      <c r="M228" s="565">
        <f t="shared" si="4"/>
        <v>0</v>
      </c>
      <c r="N228" s="565"/>
      <c r="O228" s="565"/>
      <c r="P228" s="218">
        <f t="shared" si="3"/>
        <v>0</v>
      </c>
    </row>
    <row r="229" spans="1:16" ht="14.25" outlineLevel="1" x14ac:dyDescent="0.45">
      <c r="A229" s="216"/>
      <c r="B229" s="206"/>
      <c r="C229" s="207"/>
      <c r="D229" s="208"/>
      <c r="E229" s="208"/>
      <c r="F229" s="208" t="s">
        <v>428</v>
      </c>
      <c r="G229" s="208"/>
      <c r="H229" s="231"/>
      <c r="I229" s="565"/>
      <c r="J229" s="209"/>
      <c r="K229" s="565"/>
      <c r="L229" s="209"/>
      <c r="M229" s="565">
        <f t="shared" si="4"/>
        <v>0</v>
      </c>
      <c r="N229" s="565"/>
      <c r="O229" s="565"/>
      <c r="P229" s="218">
        <f t="shared" si="3"/>
        <v>0</v>
      </c>
    </row>
    <row r="230" spans="1:16" ht="14.25" outlineLevel="1" x14ac:dyDescent="0.45">
      <c r="A230" s="216"/>
      <c r="B230" s="206"/>
      <c r="C230" s="207"/>
      <c r="D230" s="208"/>
      <c r="E230" s="208"/>
      <c r="F230" s="208" t="s">
        <v>428</v>
      </c>
      <c r="G230" s="208"/>
      <c r="H230" s="231"/>
      <c r="I230" s="565"/>
      <c r="J230" s="209"/>
      <c r="K230" s="565"/>
      <c r="L230" s="209"/>
      <c r="M230" s="565">
        <f t="shared" si="4"/>
        <v>0</v>
      </c>
      <c r="N230" s="565"/>
      <c r="O230" s="565"/>
      <c r="P230" s="218">
        <f t="shared" si="3"/>
        <v>0</v>
      </c>
    </row>
    <row r="231" spans="1:16" ht="14.25" outlineLevel="1" x14ac:dyDescent="0.45">
      <c r="A231" s="216"/>
      <c r="B231" s="206"/>
      <c r="C231" s="207"/>
      <c r="D231" s="208"/>
      <c r="E231" s="208"/>
      <c r="F231" s="208" t="s">
        <v>428</v>
      </c>
      <c r="G231" s="208"/>
      <c r="H231" s="231"/>
      <c r="I231" s="565"/>
      <c r="J231" s="209"/>
      <c r="K231" s="565"/>
      <c r="L231" s="209"/>
      <c r="M231" s="565">
        <f t="shared" si="4"/>
        <v>0</v>
      </c>
      <c r="N231" s="565"/>
      <c r="O231" s="565"/>
      <c r="P231" s="218">
        <f t="shared" si="3"/>
        <v>0</v>
      </c>
    </row>
    <row r="232" spans="1:16" ht="14.25" outlineLevel="1" x14ac:dyDescent="0.45">
      <c r="A232" s="216"/>
      <c r="B232" s="206"/>
      <c r="C232" s="207"/>
      <c r="D232" s="208"/>
      <c r="E232" s="208"/>
      <c r="F232" s="208" t="s">
        <v>428</v>
      </c>
      <c r="G232" s="208"/>
      <c r="H232" s="231"/>
      <c r="I232" s="565"/>
      <c r="J232" s="209"/>
      <c r="K232" s="565"/>
      <c r="L232" s="209"/>
      <c r="M232" s="565">
        <f t="shared" si="4"/>
        <v>0</v>
      </c>
      <c r="N232" s="565"/>
      <c r="O232" s="565"/>
      <c r="P232" s="218">
        <f t="shared" ref="P232:P295" si="5">SUBTOTAL(9,P230:P231)</f>
        <v>0</v>
      </c>
    </row>
    <row r="233" spans="1:16" ht="14.25" outlineLevel="1" x14ac:dyDescent="0.45">
      <c r="A233" s="216"/>
      <c r="B233" s="206"/>
      <c r="C233" s="207"/>
      <c r="D233" s="208"/>
      <c r="E233" s="208"/>
      <c r="F233" s="208" t="s">
        <v>428</v>
      </c>
      <c r="G233" s="208"/>
      <c r="H233" s="231"/>
      <c r="I233" s="565"/>
      <c r="J233" s="209"/>
      <c r="K233" s="565"/>
      <c r="L233" s="209"/>
      <c r="M233" s="565">
        <f t="shared" si="4"/>
        <v>0</v>
      </c>
      <c r="N233" s="565"/>
      <c r="O233" s="565"/>
      <c r="P233" s="218">
        <f t="shared" si="5"/>
        <v>0</v>
      </c>
    </row>
    <row r="234" spans="1:16" ht="14.25" outlineLevel="1" x14ac:dyDescent="0.45">
      <c r="A234" s="216"/>
      <c r="B234" s="206"/>
      <c r="C234" s="207"/>
      <c r="D234" s="208"/>
      <c r="E234" s="208"/>
      <c r="F234" s="208" t="s">
        <v>428</v>
      </c>
      <c r="G234" s="208"/>
      <c r="H234" s="231"/>
      <c r="I234" s="565"/>
      <c r="J234" s="209"/>
      <c r="K234" s="565"/>
      <c r="L234" s="209"/>
      <c r="M234" s="565">
        <f t="shared" ref="M234:M297" si="6">I234*H234</f>
        <v>0</v>
      </c>
      <c r="N234" s="565"/>
      <c r="O234" s="565"/>
      <c r="P234" s="218">
        <f t="shared" si="5"/>
        <v>0</v>
      </c>
    </row>
    <row r="235" spans="1:16" ht="14.25" outlineLevel="1" x14ac:dyDescent="0.45">
      <c r="A235" s="216"/>
      <c r="B235" s="206"/>
      <c r="C235" s="207"/>
      <c r="D235" s="208"/>
      <c r="E235" s="208"/>
      <c r="F235" s="208" t="s">
        <v>428</v>
      </c>
      <c r="G235" s="208"/>
      <c r="H235" s="231"/>
      <c r="I235" s="565"/>
      <c r="J235" s="209"/>
      <c r="K235" s="565"/>
      <c r="L235" s="209"/>
      <c r="M235" s="565">
        <f t="shared" si="6"/>
        <v>0</v>
      </c>
      <c r="N235" s="565"/>
      <c r="O235" s="565"/>
      <c r="P235" s="218">
        <f t="shared" si="5"/>
        <v>0</v>
      </c>
    </row>
    <row r="236" spans="1:16" ht="14.25" outlineLevel="1" x14ac:dyDescent="0.45">
      <c r="A236" s="216"/>
      <c r="B236" s="206"/>
      <c r="C236" s="207"/>
      <c r="D236" s="208"/>
      <c r="E236" s="208"/>
      <c r="F236" s="208" t="s">
        <v>428</v>
      </c>
      <c r="G236" s="208"/>
      <c r="H236" s="231"/>
      <c r="I236" s="565"/>
      <c r="J236" s="209"/>
      <c r="K236" s="565"/>
      <c r="L236" s="209"/>
      <c r="M236" s="565">
        <f t="shared" si="6"/>
        <v>0</v>
      </c>
      <c r="N236" s="565"/>
      <c r="O236" s="565"/>
      <c r="P236" s="218">
        <f t="shared" si="5"/>
        <v>0</v>
      </c>
    </row>
    <row r="237" spans="1:16" ht="14.25" outlineLevel="1" x14ac:dyDescent="0.45">
      <c r="A237" s="216"/>
      <c r="B237" s="206"/>
      <c r="C237" s="207"/>
      <c r="D237" s="208"/>
      <c r="E237" s="208"/>
      <c r="F237" s="208" t="s">
        <v>428</v>
      </c>
      <c r="G237" s="208"/>
      <c r="H237" s="231"/>
      <c r="I237" s="565"/>
      <c r="J237" s="209"/>
      <c r="K237" s="565"/>
      <c r="L237" s="209"/>
      <c r="M237" s="565">
        <f t="shared" si="6"/>
        <v>0</v>
      </c>
      <c r="N237" s="565"/>
      <c r="O237" s="565"/>
      <c r="P237" s="218">
        <f t="shared" si="5"/>
        <v>0</v>
      </c>
    </row>
    <row r="238" spans="1:16" ht="14.25" outlineLevel="1" x14ac:dyDescent="0.45">
      <c r="A238" s="216"/>
      <c r="B238" s="206"/>
      <c r="C238" s="207"/>
      <c r="D238" s="208"/>
      <c r="E238" s="208"/>
      <c r="F238" s="208" t="s">
        <v>428</v>
      </c>
      <c r="G238" s="208"/>
      <c r="H238" s="231"/>
      <c r="I238" s="565"/>
      <c r="J238" s="209"/>
      <c r="K238" s="565"/>
      <c r="L238" s="209"/>
      <c r="M238" s="565">
        <f t="shared" si="6"/>
        <v>0</v>
      </c>
      <c r="N238" s="565"/>
      <c r="O238" s="565"/>
      <c r="P238" s="218">
        <f t="shared" si="5"/>
        <v>0</v>
      </c>
    </row>
    <row r="239" spans="1:16" ht="14.25" outlineLevel="1" x14ac:dyDescent="0.45">
      <c r="A239" s="216"/>
      <c r="B239" s="206"/>
      <c r="C239" s="207"/>
      <c r="D239" s="208"/>
      <c r="E239" s="208"/>
      <c r="F239" s="208" t="s">
        <v>428</v>
      </c>
      <c r="G239" s="208"/>
      <c r="H239" s="231"/>
      <c r="I239" s="565"/>
      <c r="J239" s="209"/>
      <c r="K239" s="565"/>
      <c r="L239" s="209"/>
      <c r="M239" s="565">
        <f t="shared" si="6"/>
        <v>0</v>
      </c>
      <c r="N239" s="565"/>
      <c r="O239" s="565"/>
      <c r="P239" s="218">
        <f t="shared" si="5"/>
        <v>0</v>
      </c>
    </row>
    <row r="240" spans="1:16" ht="14.25" outlineLevel="1" x14ac:dyDescent="0.45">
      <c r="A240" s="216"/>
      <c r="B240" s="206"/>
      <c r="C240" s="207"/>
      <c r="D240" s="208"/>
      <c r="E240" s="208"/>
      <c r="F240" s="208" t="s">
        <v>428</v>
      </c>
      <c r="G240" s="208"/>
      <c r="H240" s="231"/>
      <c r="I240" s="565"/>
      <c r="J240" s="209"/>
      <c r="K240" s="565"/>
      <c r="L240" s="209"/>
      <c r="M240" s="565">
        <f t="shared" si="6"/>
        <v>0</v>
      </c>
      <c r="N240" s="565"/>
      <c r="O240" s="565"/>
      <c r="P240" s="218">
        <f t="shared" si="5"/>
        <v>0</v>
      </c>
    </row>
    <row r="241" spans="1:16" ht="14.25" outlineLevel="1" x14ac:dyDescent="0.45">
      <c r="A241" s="216"/>
      <c r="B241" s="206"/>
      <c r="C241" s="207"/>
      <c r="D241" s="208"/>
      <c r="E241" s="208"/>
      <c r="F241" s="208" t="s">
        <v>428</v>
      </c>
      <c r="G241" s="208"/>
      <c r="H241" s="231"/>
      <c r="I241" s="565"/>
      <c r="J241" s="209"/>
      <c r="K241" s="565"/>
      <c r="L241" s="209"/>
      <c r="M241" s="565">
        <f t="shared" si="6"/>
        <v>0</v>
      </c>
      <c r="N241" s="565"/>
      <c r="O241" s="565"/>
      <c r="P241" s="218">
        <f t="shared" si="5"/>
        <v>0</v>
      </c>
    </row>
    <row r="242" spans="1:16" ht="14.25" outlineLevel="1" x14ac:dyDescent="0.45">
      <c r="A242" s="216"/>
      <c r="B242" s="206"/>
      <c r="C242" s="207"/>
      <c r="D242" s="208"/>
      <c r="E242" s="208"/>
      <c r="F242" s="208" t="s">
        <v>428</v>
      </c>
      <c r="G242" s="208"/>
      <c r="H242" s="231"/>
      <c r="I242" s="565"/>
      <c r="J242" s="209"/>
      <c r="K242" s="565"/>
      <c r="L242" s="209"/>
      <c r="M242" s="565">
        <f t="shared" si="6"/>
        <v>0</v>
      </c>
      <c r="N242" s="565"/>
      <c r="O242" s="565"/>
      <c r="P242" s="218">
        <f t="shared" si="5"/>
        <v>0</v>
      </c>
    </row>
    <row r="243" spans="1:16" ht="14.25" outlineLevel="1" x14ac:dyDescent="0.45">
      <c r="A243" s="216"/>
      <c r="B243" s="206"/>
      <c r="C243" s="207"/>
      <c r="D243" s="208"/>
      <c r="E243" s="208"/>
      <c r="F243" s="208" t="s">
        <v>428</v>
      </c>
      <c r="G243" s="208"/>
      <c r="H243" s="231"/>
      <c r="I243" s="565"/>
      <c r="J243" s="209"/>
      <c r="K243" s="565"/>
      <c r="L243" s="209"/>
      <c r="M243" s="565">
        <f t="shared" si="6"/>
        <v>0</v>
      </c>
      <c r="N243" s="565"/>
      <c r="O243" s="565"/>
      <c r="P243" s="218">
        <f t="shared" si="5"/>
        <v>0</v>
      </c>
    </row>
    <row r="244" spans="1:16" ht="14.25" outlineLevel="1" x14ac:dyDescent="0.45">
      <c r="A244" s="216"/>
      <c r="B244" s="206"/>
      <c r="C244" s="207"/>
      <c r="D244" s="208"/>
      <c r="E244" s="208"/>
      <c r="F244" s="208" t="s">
        <v>428</v>
      </c>
      <c r="G244" s="208"/>
      <c r="H244" s="231"/>
      <c r="I244" s="565"/>
      <c r="J244" s="209"/>
      <c r="K244" s="565"/>
      <c r="L244" s="209"/>
      <c r="M244" s="565">
        <f t="shared" si="6"/>
        <v>0</v>
      </c>
      <c r="N244" s="565"/>
      <c r="O244" s="565"/>
      <c r="P244" s="218">
        <f t="shared" si="5"/>
        <v>0</v>
      </c>
    </row>
    <row r="245" spans="1:16" ht="14.25" outlineLevel="1" x14ac:dyDescent="0.45">
      <c r="A245" s="216"/>
      <c r="B245" s="206"/>
      <c r="C245" s="207"/>
      <c r="D245" s="208"/>
      <c r="E245" s="208"/>
      <c r="F245" s="208" t="s">
        <v>428</v>
      </c>
      <c r="G245" s="208"/>
      <c r="H245" s="231"/>
      <c r="I245" s="565"/>
      <c r="J245" s="209"/>
      <c r="K245" s="565"/>
      <c r="L245" s="209"/>
      <c r="M245" s="565">
        <f t="shared" si="6"/>
        <v>0</v>
      </c>
      <c r="N245" s="565"/>
      <c r="O245" s="565"/>
      <c r="P245" s="218">
        <f t="shared" si="5"/>
        <v>0</v>
      </c>
    </row>
    <row r="246" spans="1:16" ht="14.25" outlineLevel="1" x14ac:dyDescent="0.45">
      <c r="A246" s="216"/>
      <c r="B246" s="206"/>
      <c r="C246" s="207"/>
      <c r="D246" s="208"/>
      <c r="E246" s="208"/>
      <c r="F246" s="208" t="s">
        <v>428</v>
      </c>
      <c r="G246" s="208"/>
      <c r="H246" s="231"/>
      <c r="I246" s="565"/>
      <c r="J246" s="209"/>
      <c r="K246" s="565"/>
      <c r="L246" s="209"/>
      <c r="M246" s="565">
        <f t="shared" si="6"/>
        <v>0</v>
      </c>
      <c r="N246" s="565"/>
      <c r="O246" s="565"/>
      <c r="P246" s="218">
        <f t="shared" si="5"/>
        <v>0</v>
      </c>
    </row>
    <row r="247" spans="1:16" ht="14.25" outlineLevel="1" x14ac:dyDescent="0.45">
      <c r="A247" s="216"/>
      <c r="B247" s="206"/>
      <c r="C247" s="207"/>
      <c r="D247" s="208"/>
      <c r="E247" s="208"/>
      <c r="F247" s="208" t="s">
        <v>428</v>
      </c>
      <c r="G247" s="208"/>
      <c r="H247" s="231"/>
      <c r="I247" s="565"/>
      <c r="J247" s="209"/>
      <c r="K247" s="565"/>
      <c r="L247" s="209"/>
      <c r="M247" s="565">
        <f t="shared" si="6"/>
        <v>0</v>
      </c>
      <c r="N247" s="565"/>
      <c r="O247" s="565"/>
      <c r="P247" s="218">
        <f t="shared" si="5"/>
        <v>0</v>
      </c>
    </row>
    <row r="248" spans="1:16" ht="14.25" outlineLevel="1" x14ac:dyDescent="0.45">
      <c r="A248" s="216"/>
      <c r="B248" s="206"/>
      <c r="C248" s="207"/>
      <c r="D248" s="208"/>
      <c r="E248" s="208"/>
      <c r="F248" s="208" t="s">
        <v>428</v>
      </c>
      <c r="G248" s="208"/>
      <c r="H248" s="231"/>
      <c r="I248" s="565"/>
      <c r="J248" s="209"/>
      <c r="K248" s="565"/>
      <c r="L248" s="209"/>
      <c r="M248" s="565">
        <f t="shared" si="6"/>
        <v>0</v>
      </c>
      <c r="N248" s="565"/>
      <c r="O248" s="565"/>
      <c r="P248" s="218">
        <f t="shared" si="5"/>
        <v>0</v>
      </c>
    </row>
    <row r="249" spans="1:16" ht="14.25" outlineLevel="1" x14ac:dyDescent="0.45">
      <c r="A249" s="216"/>
      <c r="B249" s="206"/>
      <c r="C249" s="207"/>
      <c r="D249" s="208"/>
      <c r="E249" s="208"/>
      <c r="F249" s="208" t="s">
        <v>428</v>
      </c>
      <c r="G249" s="208"/>
      <c r="H249" s="231"/>
      <c r="I249" s="565"/>
      <c r="J249" s="209"/>
      <c r="K249" s="565"/>
      <c r="L249" s="209"/>
      <c r="M249" s="565">
        <f t="shared" si="6"/>
        <v>0</v>
      </c>
      <c r="N249" s="565"/>
      <c r="O249" s="565"/>
      <c r="P249" s="218">
        <f t="shared" si="5"/>
        <v>0</v>
      </c>
    </row>
    <row r="250" spans="1:16" ht="14.25" outlineLevel="1" x14ac:dyDescent="0.45">
      <c r="A250" s="216"/>
      <c r="B250" s="206"/>
      <c r="C250" s="207"/>
      <c r="D250" s="208"/>
      <c r="E250" s="208"/>
      <c r="F250" s="208" t="s">
        <v>428</v>
      </c>
      <c r="G250" s="208"/>
      <c r="H250" s="231"/>
      <c r="I250" s="565"/>
      <c r="J250" s="209"/>
      <c r="K250" s="565"/>
      <c r="L250" s="209"/>
      <c r="M250" s="565">
        <f t="shared" si="6"/>
        <v>0</v>
      </c>
      <c r="N250" s="565"/>
      <c r="O250" s="565"/>
      <c r="P250" s="218">
        <f t="shared" si="5"/>
        <v>0</v>
      </c>
    </row>
    <row r="251" spans="1:16" ht="14.25" outlineLevel="1" x14ac:dyDescent="0.45">
      <c r="A251" s="216"/>
      <c r="B251" s="206"/>
      <c r="C251" s="207"/>
      <c r="D251" s="208"/>
      <c r="E251" s="208"/>
      <c r="F251" s="208" t="s">
        <v>428</v>
      </c>
      <c r="G251" s="208"/>
      <c r="H251" s="231"/>
      <c r="I251" s="565"/>
      <c r="J251" s="209"/>
      <c r="K251" s="565"/>
      <c r="L251" s="209"/>
      <c r="M251" s="565">
        <f t="shared" si="6"/>
        <v>0</v>
      </c>
      <c r="N251" s="565"/>
      <c r="O251" s="565"/>
      <c r="P251" s="218">
        <f t="shared" si="5"/>
        <v>0</v>
      </c>
    </row>
    <row r="252" spans="1:16" ht="14.25" outlineLevel="1" x14ac:dyDescent="0.45">
      <c r="A252" s="216"/>
      <c r="B252" s="206"/>
      <c r="C252" s="207"/>
      <c r="D252" s="208"/>
      <c r="E252" s="208"/>
      <c r="F252" s="208" t="s">
        <v>428</v>
      </c>
      <c r="G252" s="208"/>
      <c r="H252" s="231"/>
      <c r="I252" s="565"/>
      <c r="J252" s="209"/>
      <c r="K252" s="565"/>
      <c r="L252" s="209"/>
      <c r="M252" s="565">
        <f t="shared" si="6"/>
        <v>0</v>
      </c>
      <c r="N252" s="565"/>
      <c r="O252" s="565"/>
      <c r="P252" s="218">
        <f t="shared" si="5"/>
        <v>0</v>
      </c>
    </row>
    <row r="253" spans="1:16" ht="14.25" outlineLevel="1" x14ac:dyDescent="0.45">
      <c r="A253" s="216"/>
      <c r="B253" s="206"/>
      <c r="C253" s="207"/>
      <c r="D253" s="208"/>
      <c r="E253" s="208"/>
      <c r="F253" s="208" t="s">
        <v>428</v>
      </c>
      <c r="G253" s="208"/>
      <c r="H253" s="231"/>
      <c r="I253" s="565"/>
      <c r="J253" s="209"/>
      <c r="K253" s="565"/>
      <c r="L253" s="209"/>
      <c r="M253" s="565">
        <f t="shared" si="6"/>
        <v>0</v>
      </c>
      <c r="N253" s="565"/>
      <c r="O253" s="565"/>
      <c r="P253" s="218">
        <f t="shared" si="5"/>
        <v>0</v>
      </c>
    </row>
    <row r="254" spans="1:16" ht="14.25" outlineLevel="1" x14ac:dyDescent="0.45">
      <c r="A254" s="216"/>
      <c r="B254" s="206"/>
      <c r="C254" s="207"/>
      <c r="D254" s="208"/>
      <c r="E254" s="208"/>
      <c r="F254" s="208" t="s">
        <v>428</v>
      </c>
      <c r="G254" s="208"/>
      <c r="H254" s="231"/>
      <c r="I254" s="565"/>
      <c r="J254" s="209"/>
      <c r="K254" s="565"/>
      <c r="L254" s="209"/>
      <c r="M254" s="565">
        <f t="shared" si="6"/>
        <v>0</v>
      </c>
      <c r="N254" s="565"/>
      <c r="O254" s="565"/>
      <c r="P254" s="218">
        <f t="shared" si="5"/>
        <v>0</v>
      </c>
    </row>
    <row r="255" spans="1:16" ht="14.25" outlineLevel="1" x14ac:dyDescent="0.45">
      <c r="A255" s="216"/>
      <c r="B255" s="206"/>
      <c r="C255" s="207"/>
      <c r="D255" s="208"/>
      <c r="E255" s="208"/>
      <c r="F255" s="208" t="s">
        <v>428</v>
      </c>
      <c r="G255" s="208"/>
      <c r="H255" s="231"/>
      <c r="I255" s="565"/>
      <c r="J255" s="209"/>
      <c r="K255" s="565"/>
      <c r="L255" s="209"/>
      <c r="M255" s="565">
        <f t="shared" si="6"/>
        <v>0</v>
      </c>
      <c r="N255" s="565"/>
      <c r="O255" s="565"/>
      <c r="P255" s="218">
        <f t="shared" si="5"/>
        <v>0</v>
      </c>
    </row>
    <row r="256" spans="1:16" ht="14.25" outlineLevel="1" x14ac:dyDescent="0.45">
      <c r="A256" s="216"/>
      <c r="B256" s="206"/>
      <c r="C256" s="207"/>
      <c r="D256" s="208"/>
      <c r="E256" s="208"/>
      <c r="F256" s="208" t="s">
        <v>428</v>
      </c>
      <c r="G256" s="208"/>
      <c r="H256" s="231"/>
      <c r="I256" s="565"/>
      <c r="J256" s="209"/>
      <c r="K256" s="565"/>
      <c r="L256" s="209"/>
      <c r="M256" s="565">
        <f t="shared" si="6"/>
        <v>0</v>
      </c>
      <c r="N256" s="565"/>
      <c r="O256" s="565"/>
      <c r="P256" s="218">
        <f t="shared" si="5"/>
        <v>0</v>
      </c>
    </row>
    <row r="257" spans="1:16" ht="14.25" outlineLevel="1" x14ac:dyDescent="0.45">
      <c r="A257" s="216"/>
      <c r="B257" s="206"/>
      <c r="C257" s="207"/>
      <c r="D257" s="208"/>
      <c r="E257" s="208"/>
      <c r="F257" s="208" t="s">
        <v>428</v>
      </c>
      <c r="G257" s="208"/>
      <c r="H257" s="231"/>
      <c r="I257" s="565"/>
      <c r="J257" s="209"/>
      <c r="K257" s="565"/>
      <c r="L257" s="209"/>
      <c r="M257" s="565">
        <f t="shared" si="6"/>
        <v>0</v>
      </c>
      <c r="N257" s="565"/>
      <c r="O257" s="565"/>
      <c r="P257" s="218">
        <f t="shared" si="5"/>
        <v>0</v>
      </c>
    </row>
    <row r="258" spans="1:16" ht="14.25" outlineLevel="1" x14ac:dyDescent="0.45">
      <c r="A258" s="216"/>
      <c r="B258" s="206"/>
      <c r="C258" s="207"/>
      <c r="D258" s="208"/>
      <c r="E258" s="208"/>
      <c r="F258" s="208" t="s">
        <v>428</v>
      </c>
      <c r="G258" s="208"/>
      <c r="H258" s="231"/>
      <c r="I258" s="565"/>
      <c r="J258" s="209"/>
      <c r="K258" s="565"/>
      <c r="L258" s="209"/>
      <c r="M258" s="565">
        <f t="shared" si="6"/>
        <v>0</v>
      </c>
      <c r="N258" s="565"/>
      <c r="O258" s="565"/>
      <c r="P258" s="218">
        <f t="shared" si="5"/>
        <v>0</v>
      </c>
    </row>
    <row r="259" spans="1:16" ht="14.25" outlineLevel="1" x14ac:dyDescent="0.45">
      <c r="A259" s="216"/>
      <c r="B259" s="206"/>
      <c r="C259" s="207"/>
      <c r="D259" s="208"/>
      <c r="E259" s="208"/>
      <c r="F259" s="208" t="s">
        <v>428</v>
      </c>
      <c r="G259" s="208"/>
      <c r="H259" s="231"/>
      <c r="I259" s="565"/>
      <c r="J259" s="209"/>
      <c r="K259" s="565"/>
      <c r="L259" s="209"/>
      <c r="M259" s="565">
        <f t="shared" si="6"/>
        <v>0</v>
      </c>
      <c r="N259" s="565"/>
      <c r="O259" s="565"/>
      <c r="P259" s="218">
        <f t="shared" si="5"/>
        <v>0</v>
      </c>
    </row>
    <row r="260" spans="1:16" ht="14.25" outlineLevel="1" x14ac:dyDescent="0.45">
      <c r="A260" s="216"/>
      <c r="B260" s="206"/>
      <c r="C260" s="207"/>
      <c r="D260" s="208"/>
      <c r="E260" s="208"/>
      <c r="F260" s="208" t="s">
        <v>428</v>
      </c>
      <c r="G260" s="208"/>
      <c r="H260" s="231"/>
      <c r="I260" s="565"/>
      <c r="J260" s="209"/>
      <c r="K260" s="565"/>
      <c r="L260" s="209"/>
      <c r="M260" s="565">
        <f t="shared" si="6"/>
        <v>0</v>
      </c>
      <c r="N260" s="565"/>
      <c r="O260" s="565"/>
      <c r="P260" s="218">
        <f t="shared" si="5"/>
        <v>0</v>
      </c>
    </row>
    <row r="261" spans="1:16" ht="14.25" outlineLevel="1" x14ac:dyDescent="0.45">
      <c r="A261" s="216"/>
      <c r="B261" s="206"/>
      <c r="C261" s="207"/>
      <c r="D261" s="208"/>
      <c r="E261" s="208"/>
      <c r="F261" s="208" t="s">
        <v>428</v>
      </c>
      <c r="G261" s="208"/>
      <c r="H261" s="231"/>
      <c r="I261" s="565"/>
      <c r="J261" s="209"/>
      <c r="K261" s="565"/>
      <c r="L261" s="209"/>
      <c r="M261" s="565">
        <f t="shared" si="6"/>
        <v>0</v>
      </c>
      <c r="N261" s="565"/>
      <c r="O261" s="565"/>
      <c r="P261" s="218">
        <f t="shared" si="5"/>
        <v>0</v>
      </c>
    </row>
    <row r="262" spans="1:16" ht="14.25" outlineLevel="1" x14ac:dyDescent="0.45">
      <c r="A262" s="216"/>
      <c r="B262" s="206"/>
      <c r="C262" s="207"/>
      <c r="D262" s="208"/>
      <c r="E262" s="208"/>
      <c r="F262" s="208" t="s">
        <v>428</v>
      </c>
      <c r="G262" s="208"/>
      <c r="H262" s="231"/>
      <c r="I262" s="565"/>
      <c r="J262" s="209"/>
      <c r="K262" s="565"/>
      <c r="L262" s="209"/>
      <c r="M262" s="565">
        <f t="shared" si="6"/>
        <v>0</v>
      </c>
      <c r="N262" s="565"/>
      <c r="O262" s="565"/>
      <c r="P262" s="218">
        <f t="shared" si="5"/>
        <v>0</v>
      </c>
    </row>
    <row r="263" spans="1:16" ht="14.25" outlineLevel="1" x14ac:dyDescent="0.45">
      <c r="A263" s="216"/>
      <c r="B263" s="206"/>
      <c r="C263" s="207"/>
      <c r="D263" s="208"/>
      <c r="E263" s="208"/>
      <c r="F263" s="208" t="s">
        <v>428</v>
      </c>
      <c r="G263" s="208"/>
      <c r="H263" s="231"/>
      <c r="I263" s="565"/>
      <c r="J263" s="209"/>
      <c r="K263" s="565"/>
      <c r="L263" s="209"/>
      <c r="M263" s="565">
        <f t="shared" si="6"/>
        <v>0</v>
      </c>
      <c r="N263" s="565"/>
      <c r="O263" s="565"/>
      <c r="P263" s="218">
        <f t="shared" si="5"/>
        <v>0</v>
      </c>
    </row>
    <row r="264" spans="1:16" ht="14.25" outlineLevel="1" x14ac:dyDescent="0.45">
      <c r="A264" s="216"/>
      <c r="B264" s="206"/>
      <c r="C264" s="207"/>
      <c r="D264" s="208"/>
      <c r="E264" s="208"/>
      <c r="F264" s="208" t="s">
        <v>428</v>
      </c>
      <c r="G264" s="208"/>
      <c r="H264" s="231"/>
      <c r="I264" s="565"/>
      <c r="J264" s="209"/>
      <c r="K264" s="565"/>
      <c r="L264" s="209"/>
      <c r="M264" s="565">
        <f t="shared" si="6"/>
        <v>0</v>
      </c>
      <c r="N264" s="565"/>
      <c r="O264" s="565"/>
      <c r="P264" s="218">
        <f t="shared" si="5"/>
        <v>0</v>
      </c>
    </row>
    <row r="265" spans="1:16" ht="14.25" outlineLevel="1" x14ac:dyDescent="0.45">
      <c r="A265" s="216"/>
      <c r="B265" s="206"/>
      <c r="C265" s="207"/>
      <c r="D265" s="208"/>
      <c r="E265" s="208"/>
      <c r="F265" s="208" t="s">
        <v>428</v>
      </c>
      <c r="G265" s="208"/>
      <c r="H265" s="231"/>
      <c r="I265" s="565"/>
      <c r="J265" s="209"/>
      <c r="K265" s="565"/>
      <c r="L265" s="209"/>
      <c r="M265" s="565">
        <f t="shared" si="6"/>
        <v>0</v>
      </c>
      <c r="N265" s="565"/>
      <c r="O265" s="565"/>
      <c r="P265" s="218">
        <f t="shared" si="5"/>
        <v>0</v>
      </c>
    </row>
    <row r="266" spans="1:16" ht="14.25" outlineLevel="1" x14ac:dyDescent="0.45">
      <c r="A266" s="216"/>
      <c r="B266" s="206"/>
      <c r="C266" s="207"/>
      <c r="D266" s="208"/>
      <c r="E266" s="208"/>
      <c r="F266" s="208" t="s">
        <v>428</v>
      </c>
      <c r="G266" s="208"/>
      <c r="H266" s="231"/>
      <c r="I266" s="565"/>
      <c r="J266" s="209"/>
      <c r="K266" s="565"/>
      <c r="L266" s="209"/>
      <c r="M266" s="565">
        <f t="shared" si="6"/>
        <v>0</v>
      </c>
      <c r="N266" s="565"/>
      <c r="O266" s="565"/>
      <c r="P266" s="218">
        <f t="shared" si="5"/>
        <v>0</v>
      </c>
    </row>
    <row r="267" spans="1:16" ht="14.25" outlineLevel="1" x14ac:dyDescent="0.45">
      <c r="A267" s="216"/>
      <c r="B267" s="206"/>
      <c r="C267" s="207"/>
      <c r="D267" s="208"/>
      <c r="E267" s="208"/>
      <c r="F267" s="208" t="s">
        <v>428</v>
      </c>
      <c r="G267" s="208"/>
      <c r="H267" s="231"/>
      <c r="I267" s="565"/>
      <c r="J267" s="209"/>
      <c r="K267" s="565"/>
      <c r="L267" s="209"/>
      <c r="M267" s="565">
        <f t="shared" si="6"/>
        <v>0</v>
      </c>
      <c r="N267" s="565"/>
      <c r="O267" s="565"/>
      <c r="P267" s="218">
        <f t="shared" si="5"/>
        <v>0</v>
      </c>
    </row>
    <row r="268" spans="1:16" ht="14.25" outlineLevel="1" x14ac:dyDescent="0.45">
      <c r="A268" s="216"/>
      <c r="B268" s="206"/>
      <c r="C268" s="207"/>
      <c r="D268" s="208"/>
      <c r="E268" s="208"/>
      <c r="F268" s="208" t="s">
        <v>428</v>
      </c>
      <c r="G268" s="208"/>
      <c r="H268" s="231"/>
      <c r="I268" s="565"/>
      <c r="J268" s="209"/>
      <c r="K268" s="565"/>
      <c r="L268" s="209"/>
      <c r="M268" s="565">
        <f t="shared" si="6"/>
        <v>0</v>
      </c>
      <c r="N268" s="565"/>
      <c r="O268" s="565"/>
      <c r="P268" s="218">
        <f t="shared" si="5"/>
        <v>0</v>
      </c>
    </row>
    <row r="269" spans="1:16" ht="14.25" outlineLevel="1" x14ac:dyDescent="0.45">
      <c r="A269" s="216"/>
      <c r="B269" s="206"/>
      <c r="C269" s="207"/>
      <c r="D269" s="208"/>
      <c r="E269" s="208"/>
      <c r="F269" s="208" t="s">
        <v>428</v>
      </c>
      <c r="G269" s="208"/>
      <c r="H269" s="231"/>
      <c r="I269" s="565"/>
      <c r="J269" s="209"/>
      <c r="K269" s="565"/>
      <c r="L269" s="209"/>
      <c r="M269" s="565">
        <f t="shared" si="6"/>
        <v>0</v>
      </c>
      <c r="N269" s="565"/>
      <c r="O269" s="565"/>
      <c r="P269" s="218">
        <f t="shared" si="5"/>
        <v>0</v>
      </c>
    </row>
    <row r="270" spans="1:16" ht="14.25" outlineLevel="1" x14ac:dyDescent="0.45">
      <c r="A270" s="216"/>
      <c r="B270" s="206"/>
      <c r="C270" s="207"/>
      <c r="D270" s="208"/>
      <c r="E270" s="208"/>
      <c r="F270" s="208" t="s">
        <v>428</v>
      </c>
      <c r="G270" s="208"/>
      <c r="H270" s="231"/>
      <c r="I270" s="565"/>
      <c r="J270" s="209"/>
      <c r="K270" s="565"/>
      <c r="L270" s="209"/>
      <c r="M270" s="565">
        <f t="shared" si="6"/>
        <v>0</v>
      </c>
      <c r="N270" s="565"/>
      <c r="O270" s="565"/>
      <c r="P270" s="218">
        <f t="shared" si="5"/>
        <v>0</v>
      </c>
    </row>
    <row r="271" spans="1:16" ht="14.25" outlineLevel="1" x14ac:dyDescent="0.45">
      <c r="A271" s="216"/>
      <c r="B271" s="206"/>
      <c r="C271" s="207"/>
      <c r="D271" s="208"/>
      <c r="E271" s="208"/>
      <c r="F271" s="208" t="s">
        <v>428</v>
      </c>
      <c r="G271" s="208"/>
      <c r="H271" s="231"/>
      <c r="I271" s="565"/>
      <c r="J271" s="209"/>
      <c r="K271" s="565"/>
      <c r="L271" s="209"/>
      <c r="M271" s="565">
        <f t="shared" si="6"/>
        <v>0</v>
      </c>
      <c r="N271" s="565"/>
      <c r="O271" s="565"/>
      <c r="P271" s="218">
        <f t="shared" si="5"/>
        <v>0</v>
      </c>
    </row>
    <row r="272" spans="1:16" ht="14.25" outlineLevel="1" x14ac:dyDescent="0.45">
      <c r="A272" s="216"/>
      <c r="B272" s="206"/>
      <c r="C272" s="207"/>
      <c r="D272" s="208"/>
      <c r="E272" s="208"/>
      <c r="F272" s="208" t="s">
        <v>428</v>
      </c>
      <c r="G272" s="208"/>
      <c r="H272" s="231"/>
      <c r="I272" s="565"/>
      <c r="J272" s="209"/>
      <c r="K272" s="565"/>
      <c r="L272" s="209"/>
      <c r="M272" s="565">
        <f t="shared" si="6"/>
        <v>0</v>
      </c>
      <c r="N272" s="565"/>
      <c r="O272" s="565"/>
      <c r="P272" s="218">
        <f t="shared" si="5"/>
        <v>0</v>
      </c>
    </row>
    <row r="273" spans="1:16" ht="14.25" outlineLevel="1" x14ac:dyDescent="0.45">
      <c r="A273" s="216"/>
      <c r="B273" s="206"/>
      <c r="C273" s="207"/>
      <c r="D273" s="208"/>
      <c r="E273" s="208"/>
      <c r="F273" s="208" t="s">
        <v>428</v>
      </c>
      <c r="G273" s="208"/>
      <c r="H273" s="231"/>
      <c r="I273" s="565"/>
      <c r="J273" s="209"/>
      <c r="K273" s="565"/>
      <c r="L273" s="209"/>
      <c r="M273" s="565">
        <f t="shared" si="6"/>
        <v>0</v>
      </c>
      <c r="N273" s="565"/>
      <c r="O273" s="565"/>
      <c r="P273" s="218">
        <f t="shared" si="5"/>
        <v>0</v>
      </c>
    </row>
    <row r="274" spans="1:16" ht="14.25" outlineLevel="1" x14ac:dyDescent="0.45">
      <c r="A274" s="216"/>
      <c r="B274" s="206"/>
      <c r="C274" s="207"/>
      <c r="D274" s="208"/>
      <c r="E274" s="208"/>
      <c r="F274" s="208" t="s">
        <v>428</v>
      </c>
      <c r="G274" s="208"/>
      <c r="H274" s="231"/>
      <c r="I274" s="565"/>
      <c r="J274" s="209"/>
      <c r="K274" s="565"/>
      <c r="L274" s="209"/>
      <c r="M274" s="565">
        <f t="shared" si="6"/>
        <v>0</v>
      </c>
      <c r="N274" s="565"/>
      <c r="O274" s="565"/>
      <c r="P274" s="218">
        <f t="shared" si="5"/>
        <v>0</v>
      </c>
    </row>
    <row r="275" spans="1:16" ht="14.25" outlineLevel="1" x14ac:dyDescent="0.45">
      <c r="A275" s="216"/>
      <c r="B275" s="206"/>
      <c r="C275" s="207"/>
      <c r="D275" s="208"/>
      <c r="E275" s="208"/>
      <c r="F275" s="208" t="s">
        <v>428</v>
      </c>
      <c r="G275" s="208"/>
      <c r="H275" s="231"/>
      <c r="I275" s="565"/>
      <c r="J275" s="209"/>
      <c r="K275" s="565"/>
      <c r="L275" s="209"/>
      <c r="M275" s="565">
        <f t="shared" si="6"/>
        <v>0</v>
      </c>
      <c r="N275" s="565"/>
      <c r="O275" s="565"/>
      <c r="P275" s="218">
        <f t="shared" si="5"/>
        <v>0</v>
      </c>
    </row>
    <row r="276" spans="1:16" ht="14.25" outlineLevel="1" x14ac:dyDescent="0.45">
      <c r="A276" s="216"/>
      <c r="B276" s="206"/>
      <c r="C276" s="207"/>
      <c r="D276" s="208"/>
      <c r="E276" s="208"/>
      <c r="F276" s="208" t="s">
        <v>428</v>
      </c>
      <c r="G276" s="208"/>
      <c r="H276" s="231"/>
      <c r="I276" s="565"/>
      <c r="J276" s="209"/>
      <c r="K276" s="565"/>
      <c r="L276" s="209"/>
      <c r="M276" s="565">
        <f t="shared" si="6"/>
        <v>0</v>
      </c>
      <c r="N276" s="565"/>
      <c r="O276" s="565"/>
      <c r="P276" s="218">
        <f t="shared" si="5"/>
        <v>0</v>
      </c>
    </row>
    <row r="277" spans="1:16" ht="14.25" outlineLevel="1" x14ac:dyDescent="0.45">
      <c r="A277" s="216"/>
      <c r="B277" s="206"/>
      <c r="C277" s="207"/>
      <c r="D277" s="208"/>
      <c r="E277" s="208"/>
      <c r="F277" s="208" t="s">
        <v>428</v>
      </c>
      <c r="G277" s="208"/>
      <c r="H277" s="231"/>
      <c r="I277" s="565"/>
      <c r="J277" s="209"/>
      <c r="K277" s="565"/>
      <c r="L277" s="209"/>
      <c r="M277" s="565">
        <f t="shared" si="6"/>
        <v>0</v>
      </c>
      <c r="N277" s="565"/>
      <c r="O277" s="565"/>
      <c r="P277" s="218">
        <f t="shared" si="5"/>
        <v>0</v>
      </c>
    </row>
    <row r="278" spans="1:16" ht="14.25" outlineLevel="1" x14ac:dyDescent="0.45">
      <c r="A278" s="216"/>
      <c r="B278" s="206"/>
      <c r="C278" s="207"/>
      <c r="D278" s="208"/>
      <c r="E278" s="208"/>
      <c r="F278" s="208" t="s">
        <v>428</v>
      </c>
      <c r="G278" s="208"/>
      <c r="H278" s="231"/>
      <c r="I278" s="565"/>
      <c r="J278" s="209"/>
      <c r="K278" s="565"/>
      <c r="L278" s="209"/>
      <c r="M278" s="565">
        <f t="shared" si="6"/>
        <v>0</v>
      </c>
      <c r="N278" s="565"/>
      <c r="O278" s="565"/>
      <c r="P278" s="218">
        <f t="shared" si="5"/>
        <v>0</v>
      </c>
    </row>
    <row r="279" spans="1:16" ht="14.25" outlineLevel="1" x14ac:dyDescent="0.45">
      <c r="A279" s="216"/>
      <c r="B279" s="206"/>
      <c r="C279" s="207"/>
      <c r="D279" s="208"/>
      <c r="E279" s="208"/>
      <c r="F279" s="208" t="s">
        <v>428</v>
      </c>
      <c r="G279" s="208"/>
      <c r="H279" s="231"/>
      <c r="I279" s="565"/>
      <c r="J279" s="209"/>
      <c r="K279" s="565"/>
      <c r="L279" s="209"/>
      <c r="M279" s="565">
        <f t="shared" si="6"/>
        <v>0</v>
      </c>
      <c r="N279" s="565"/>
      <c r="O279" s="565"/>
      <c r="P279" s="218">
        <f t="shared" si="5"/>
        <v>0</v>
      </c>
    </row>
    <row r="280" spans="1:16" ht="14.25" outlineLevel="1" x14ac:dyDescent="0.45">
      <c r="A280" s="216"/>
      <c r="B280" s="206"/>
      <c r="C280" s="207"/>
      <c r="D280" s="208"/>
      <c r="E280" s="208"/>
      <c r="F280" s="208" t="s">
        <v>428</v>
      </c>
      <c r="G280" s="208"/>
      <c r="H280" s="231"/>
      <c r="I280" s="565"/>
      <c r="J280" s="209"/>
      <c r="K280" s="565"/>
      <c r="L280" s="209"/>
      <c r="M280" s="565">
        <f t="shared" si="6"/>
        <v>0</v>
      </c>
      <c r="N280" s="565"/>
      <c r="O280" s="565"/>
      <c r="P280" s="218">
        <f t="shared" si="5"/>
        <v>0</v>
      </c>
    </row>
    <row r="281" spans="1:16" ht="14.25" outlineLevel="1" x14ac:dyDescent="0.45">
      <c r="A281" s="216"/>
      <c r="B281" s="206"/>
      <c r="C281" s="207"/>
      <c r="D281" s="208"/>
      <c r="E281" s="208"/>
      <c r="F281" s="208" t="s">
        <v>428</v>
      </c>
      <c r="G281" s="208"/>
      <c r="H281" s="231"/>
      <c r="I281" s="565"/>
      <c r="J281" s="209"/>
      <c r="K281" s="565"/>
      <c r="L281" s="209"/>
      <c r="M281" s="565">
        <f t="shared" si="6"/>
        <v>0</v>
      </c>
      <c r="N281" s="565"/>
      <c r="O281" s="565"/>
      <c r="P281" s="218">
        <f t="shared" si="5"/>
        <v>0</v>
      </c>
    </row>
    <row r="282" spans="1:16" ht="14.25" outlineLevel="1" x14ac:dyDescent="0.45">
      <c r="A282" s="216"/>
      <c r="B282" s="206"/>
      <c r="C282" s="207"/>
      <c r="D282" s="208"/>
      <c r="E282" s="208"/>
      <c r="F282" s="208" t="s">
        <v>428</v>
      </c>
      <c r="G282" s="208"/>
      <c r="H282" s="231"/>
      <c r="I282" s="565"/>
      <c r="J282" s="209"/>
      <c r="K282" s="565"/>
      <c r="L282" s="209"/>
      <c r="M282" s="565">
        <f t="shared" si="6"/>
        <v>0</v>
      </c>
      <c r="N282" s="565"/>
      <c r="O282" s="565"/>
      <c r="P282" s="218">
        <f t="shared" si="5"/>
        <v>0</v>
      </c>
    </row>
    <row r="283" spans="1:16" ht="14.25" outlineLevel="1" x14ac:dyDescent="0.45">
      <c r="A283" s="216"/>
      <c r="B283" s="206"/>
      <c r="C283" s="207"/>
      <c r="D283" s="208"/>
      <c r="E283" s="208"/>
      <c r="F283" s="208" t="s">
        <v>428</v>
      </c>
      <c r="G283" s="208"/>
      <c r="H283" s="231"/>
      <c r="I283" s="565"/>
      <c r="J283" s="209"/>
      <c r="K283" s="565"/>
      <c r="L283" s="209"/>
      <c r="M283" s="565">
        <f t="shared" si="6"/>
        <v>0</v>
      </c>
      <c r="N283" s="565"/>
      <c r="O283" s="565"/>
      <c r="P283" s="218">
        <f t="shared" si="5"/>
        <v>0</v>
      </c>
    </row>
    <row r="284" spans="1:16" ht="14.25" outlineLevel="1" x14ac:dyDescent="0.45">
      <c r="A284" s="216"/>
      <c r="B284" s="206"/>
      <c r="C284" s="207"/>
      <c r="D284" s="208"/>
      <c r="E284" s="208"/>
      <c r="F284" s="208" t="s">
        <v>428</v>
      </c>
      <c r="G284" s="208"/>
      <c r="H284" s="231"/>
      <c r="I284" s="565"/>
      <c r="J284" s="209"/>
      <c r="K284" s="565"/>
      <c r="L284" s="209"/>
      <c r="M284" s="565">
        <f t="shared" si="6"/>
        <v>0</v>
      </c>
      <c r="N284" s="565"/>
      <c r="O284" s="565"/>
      <c r="P284" s="218">
        <f t="shared" si="5"/>
        <v>0</v>
      </c>
    </row>
    <row r="285" spans="1:16" ht="14.25" outlineLevel="1" x14ac:dyDescent="0.45">
      <c r="A285" s="216"/>
      <c r="B285" s="206"/>
      <c r="C285" s="207"/>
      <c r="D285" s="208"/>
      <c r="E285" s="208"/>
      <c r="F285" s="208" t="s">
        <v>428</v>
      </c>
      <c r="G285" s="208"/>
      <c r="H285" s="231"/>
      <c r="I285" s="565"/>
      <c r="J285" s="209"/>
      <c r="K285" s="565"/>
      <c r="L285" s="209"/>
      <c r="M285" s="565">
        <f t="shared" si="6"/>
        <v>0</v>
      </c>
      <c r="N285" s="565"/>
      <c r="O285" s="565"/>
      <c r="P285" s="218">
        <f t="shared" si="5"/>
        <v>0</v>
      </c>
    </row>
    <row r="286" spans="1:16" ht="14.25" outlineLevel="1" x14ac:dyDescent="0.45">
      <c r="A286" s="216"/>
      <c r="B286" s="206"/>
      <c r="C286" s="207"/>
      <c r="D286" s="208"/>
      <c r="E286" s="208"/>
      <c r="F286" s="208" t="s">
        <v>428</v>
      </c>
      <c r="G286" s="208"/>
      <c r="H286" s="231"/>
      <c r="I286" s="565"/>
      <c r="J286" s="209"/>
      <c r="K286" s="565"/>
      <c r="L286" s="209"/>
      <c r="M286" s="565">
        <f t="shared" si="6"/>
        <v>0</v>
      </c>
      <c r="N286" s="565"/>
      <c r="O286" s="565"/>
      <c r="P286" s="218">
        <f t="shared" si="5"/>
        <v>0</v>
      </c>
    </row>
    <row r="287" spans="1:16" ht="14.25" outlineLevel="1" x14ac:dyDescent="0.45">
      <c r="A287" s="216"/>
      <c r="B287" s="206"/>
      <c r="C287" s="207"/>
      <c r="D287" s="208"/>
      <c r="E287" s="208"/>
      <c r="F287" s="208" t="s">
        <v>428</v>
      </c>
      <c r="G287" s="208"/>
      <c r="H287" s="231"/>
      <c r="I287" s="565"/>
      <c r="J287" s="209"/>
      <c r="K287" s="565"/>
      <c r="L287" s="209"/>
      <c r="M287" s="565">
        <f t="shared" si="6"/>
        <v>0</v>
      </c>
      <c r="N287" s="565"/>
      <c r="O287" s="565"/>
      <c r="P287" s="218">
        <f t="shared" si="5"/>
        <v>0</v>
      </c>
    </row>
    <row r="288" spans="1:16" ht="14.25" outlineLevel="1" x14ac:dyDescent="0.45">
      <c r="A288" s="216"/>
      <c r="B288" s="206"/>
      <c r="C288" s="207"/>
      <c r="D288" s="208"/>
      <c r="E288" s="208"/>
      <c r="F288" s="208" t="s">
        <v>428</v>
      </c>
      <c r="G288" s="208"/>
      <c r="H288" s="231"/>
      <c r="I288" s="565"/>
      <c r="J288" s="209"/>
      <c r="K288" s="565"/>
      <c r="L288" s="209"/>
      <c r="M288" s="565">
        <f t="shared" si="6"/>
        <v>0</v>
      </c>
      <c r="N288" s="565"/>
      <c r="O288" s="565"/>
      <c r="P288" s="218">
        <f t="shared" si="5"/>
        <v>0</v>
      </c>
    </row>
    <row r="289" spans="1:16" ht="14.25" outlineLevel="1" x14ac:dyDescent="0.45">
      <c r="A289" s="216"/>
      <c r="B289" s="206"/>
      <c r="C289" s="207"/>
      <c r="D289" s="208"/>
      <c r="E289" s="208"/>
      <c r="F289" s="208" t="s">
        <v>428</v>
      </c>
      <c r="G289" s="208"/>
      <c r="H289" s="231"/>
      <c r="I289" s="565"/>
      <c r="J289" s="209"/>
      <c r="K289" s="565"/>
      <c r="L289" s="209"/>
      <c r="M289" s="565">
        <f t="shared" si="6"/>
        <v>0</v>
      </c>
      <c r="N289" s="565"/>
      <c r="O289" s="565"/>
      <c r="P289" s="218">
        <f t="shared" si="5"/>
        <v>0</v>
      </c>
    </row>
    <row r="290" spans="1:16" ht="14.25" outlineLevel="1" x14ac:dyDescent="0.45">
      <c r="A290" s="216"/>
      <c r="B290" s="206"/>
      <c r="C290" s="207"/>
      <c r="D290" s="208"/>
      <c r="E290" s="208"/>
      <c r="F290" s="208" t="s">
        <v>428</v>
      </c>
      <c r="G290" s="208"/>
      <c r="H290" s="231"/>
      <c r="I290" s="565"/>
      <c r="J290" s="209"/>
      <c r="K290" s="565"/>
      <c r="L290" s="209"/>
      <c r="M290" s="565">
        <f t="shared" si="6"/>
        <v>0</v>
      </c>
      <c r="N290" s="565"/>
      <c r="O290" s="565"/>
      <c r="P290" s="218">
        <f t="shared" si="5"/>
        <v>0</v>
      </c>
    </row>
    <row r="291" spans="1:16" ht="14.25" outlineLevel="1" x14ac:dyDescent="0.45">
      <c r="A291" s="216"/>
      <c r="B291" s="206"/>
      <c r="C291" s="207"/>
      <c r="D291" s="208"/>
      <c r="E291" s="208"/>
      <c r="F291" s="208" t="s">
        <v>428</v>
      </c>
      <c r="G291" s="208"/>
      <c r="H291" s="231"/>
      <c r="I291" s="565"/>
      <c r="J291" s="209"/>
      <c r="K291" s="565"/>
      <c r="L291" s="209"/>
      <c r="M291" s="565">
        <f t="shared" si="6"/>
        <v>0</v>
      </c>
      <c r="N291" s="565"/>
      <c r="O291" s="565"/>
      <c r="P291" s="218">
        <f t="shared" si="5"/>
        <v>0</v>
      </c>
    </row>
    <row r="292" spans="1:16" ht="14.25" outlineLevel="1" x14ac:dyDescent="0.45">
      <c r="A292" s="216"/>
      <c r="B292" s="206"/>
      <c r="C292" s="207"/>
      <c r="D292" s="208"/>
      <c r="E292" s="208"/>
      <c r="F292" s="208" t="s">
        <v>428</v>
      </c>
      <c r="G292" s="208"/>
      <c r="H292" s="231"/>
      <c r="I292" s="565"/>
      <c r="J292" s="209"/>
      <c r="K292" s="565"/>
      <c r="L292" s="209"/>
      <c r="M292" s="565">
        <f t="shared" si="6"/>
        <v>0</v>
      </c>
      <c r="N292" s="565"/>
      <c r="O292" s="565"/>
      <c r="P292" s="218">
        <f t="shared" si="5"/>
        <v>0</v>
      </c>
    </row>
    <row r="293" spans="1:16" ht="14.25" outlineLevel="1" x14ac:dyDescent="0.45">
      <c r="A293" s="216"/>
      <c r="B293" s="206"/>
      <c r="C293" s="207"/>
      <c r="D293" s="208"/>
      <c r="E293" s="208"/>
      <c r="F293" s="208" t="s">
        <v>428</v>
      </c>
      <c r="G293" s="208"/>
      <c r="H293" s="231"/>
      <c r="I293" s="565"/>
      <c r="J293" s="209"/>
      <c r="K293" s="565"/>
      <c r="L293" s="209"/>
      <c r="M293" s="565">
        <f t="shared" si="6"/>
        <v>0</v>
      </c>
      <c r="N293" s="565"/>
      <c r="O293" s="565"/>
      <c r="P293" s="218">
        <f t="shared" si="5"/>
        <v>0</v>
      </c>
    </row>
    <row r="294" spans="1:16" ht="14.25" outlineLevel="1" x14ac:dyDescent="0.45">
      <c r="A294" s="216"/>
      <c r="B294" s="206"/>
      <c r="C294" s="207"/>
      <c r="D294" s="208"/>
      <c r="E294" s="208"/>
      <c r="F294" s="208" t="s">
        <v>428</v>
      </c>
      <c r="G294" s="208"/>
      <c r="H294" s="231"/>
      <c r="I294" s="565"/>
      <c r="J294" s="209"/>
      <c r="K294" s="565"/>
      <c r="L294" s="209"/>
      <c r="M294" s="565">
        <f t="shared" si="6"/>
        <v>0</v>
      </c>
      <c r="N294" s="565"/>
      <c r="O294" s="565"/>
      <c r="P294" s="218">
        <f t="shared" si="5"/>
        <v>0</v>
      </c>
    </row>
    <row r="295" spans="1:16" ht="14.25" outlineLevel="1" x14ac:dyDescent="0.45">
      <c r="A295" s="216"/>
      <c r="B295" s="206"/>
      <c r="C295" s="207"/>
      <c r="D295" s="208"/>
      <c r="E295" s="208"/>
      <c r="F295" s="208" t="s">
        <v>428</v>
      </c>
      <c r="G295" s="208"/>
      <c r="H295" s="231"/>
      <c r="I295" s="565"/>
      <c r="J295" s="209"/>
      <c r="K295" s="565"/>
      <c r="L295" s="209"/>
      <c r="M295" s="565">
        <f t="shared" si="6"/>
        <v>0</v>
      </c>
      <c r="N295" s="565"/>
      <c r="O295" s="565"/>
      <c r="P295" s="218">
        <f t="shared" si="5"/>
        <v>0</v>
      </c>
    </row>
    <row r="296" spans="1:16" ht="14.25" outlineLevel="1" x14ac:dyDescent="0.45">
      <c r="A296" s="216"/>
      <c r="B296" s="206"/>
      <c r="C296" s="207"/>
      <c r="D296" s="208"/>
      <c r="E296" s="208"/>
      <c r="F296" s="208" t="s">
        <v>428</v>
      </c>
      <c r="G296" s="208"/>
      <c r="H296" s="231"/>
      <c r="I296" s="565"/>
      <c r="J296" s="209"/>
      <c r="K296" s="565"/>
      <c r="L296" s="209"/>
      <c r="M296" s="565">
        <f t="shared" si="6"/>
        <v>0</v>
      </c>
      <c r="N296" s="565"/>
      <c r="O296" s="565"/>
      <c r="P296" s="218">
        <f t="shared" ref="P296:P359" si="7">SUBTOTAL(9,P294:P295)</f>
        <v>0</v>
      </c>
    </row>
    <row r="297" spans="1:16" ht="14.25" outlineLevel="1" x14ac:dyDescent="0.45">
      <c r="A297" s="216"/>
      <c r="B297" s="206"/>
      <c r="C297" s="207"/>
      <c r="D297" s="208"/>
      <c r="E297" s="208"/>
      <c r="F297" s="208" t="s">
        <v>428</v>
      </c>
      <c r="G297" s="208"/>
      <c r="H297" s="231"/>
      <c r="I297" s="565"/>
      <c r="J297" s="209"/>
      <c r="K297" s="565"/>
      <c r="L297" s="209"/>
      <c r="M297" s="565">
        <f t="shared" si="6"/>
        <v>0</v>
      </c>
      <c r="N297" s="565"/>
      <c r="O297" s="565"/>
      <c r="P297" s="218">
        <f t="shared" si="7"/>
        <v>0</v>
      </c>
    </row>
    <row r="298" spans="1:16" ht="14.25" outlineLevel="1" x14ac:dyDescent="0.45">
      <c r="A298" s="216"/>
      <c r="B298" s="206"/>
      <c r="C298" s="207"/>
      <c r="D298" s="208"/>
      <c r="E298" s="208"/>
      <c r="F298" s="208" t="s">
        <v>428</v>
      </c>
      <c r="G298" s="208"/>
      <c r="H298" s="231"/>
      <c r="I298" s="565"/>
      <c r="J298" s="209"/>
      <c r="K298" s="565"/>
      <c r="L298" s="209"/>
      <c r="M298" s="565">
        <f t="shared" ref="M298:M361" si="8">I298*H298</f>
        <v>0</v>
      </c>
      <c r="N298" s="565"/>
      <c r="O298" s="565"/>
      <c r="P298" s="218">
        <f t="shared" si="7"/>
        <v>0</v>
      </c>
    </row>
    <row r="299" spans="1:16" ht="14.25" outlineLevel="1" x14ac:dyDescent="0.45">
      <c r="A299" s="216"/>
      <c r="B299" s="206"/>
      <c r="C299" s="207"/>
      <c r="D299" s="208"/>
      <c r="E299" s="208"/>
      <c r="F299" s="208" t="s">
        <v>428</v>
      </c>
      <c r="G299" s="208"/>
      <c r="H299" s="231"/>
      <c r="I299" s="565"/>
      <c r="J299" s="209"/>
      <c r="K299" s="565"/>
      <c r="L299" s="209"/>
      <c r="M299" s="565">
        <f t="shared" si="8"/>
        <v>0</v>
      </c>
      <c r="N299" s="565"/>
      <c r="O299" s="565"/>
      <c r="P299" s="218">
        <f t="shared" si="7"/>
        <v>0</v>
      </c>
    </row>
    <row r="300" spans="1:16" ht="14.25" outlineLevel="1" x14ac:dyDescent="0.45">
      <c r="A300" s="216"/>
      <c r="B300" s="206"/>
      <c r="C300" s="207"/>
      <c r="D300" s="208"/>
      <c r="E300" s="208"/>
      <c r="F300" s="208" t="s">
        <v>428</v>
      </c>
      <c r="G300" s="208"/>
      <c r="H300" s="231"/>
      <c r="I300" s="565"/>
      <c r="J300" s="209"/>
      <c r="K300" s="565"/>
      <c r="L300" s="209"/>
      <c r="M300" s="565">
        <f t="shared" si="8"/>
        <v>0</v>
      </c>
      <c r="N300" s="565"/>
      <c r="O300" s="565"/>
      <c r="P300" s="218">
        <f t="shared" si="7"/>
        <v>0</v>
      </c>
    </row>
    <row r="301" spans="1:16" ht="14.25" outlineLevel="1" x14ac:dyDescent="0.45">
      <c r="A301" s="216"/>
      <c r="B301" s="206"/>
      <c r="C301" s="207"/>
      <c r="D301" s="208"/>
      <c r="E301" s="208"/>
      <c r="F301" s="208" t="s">
        <v>428</v>
      </c>
      <c r="G301" s="208"/>
      <c r="H301" s="231"/>
      <c r="I301" s="565"/>
      <c r="J301" s="209"/>
      <c r="K301" s="565"/>
      <c r="L301" s="209"/>
      <c r="M301" s="565">
        <f t="shared" si="8"/>
        <v>0</v>
      </c>
      <c r="N301" s="565"/>
      <c r="O301" s="565"/>
      <c r="P301" s="218">
        <f t="shared" si="7"/>
        <v>0</v>
      </c>
    </row>
    <row r="302" spans="1:16" ht="14.25" outlineLevel="1" x14ac:dyDescent="0.45">
      <c r="A302" s="216"/>
      <c r="B302" s="206"/>
      <c r="C302" s="207"/>
      <c r="D302" s="208"/>
      <c r="E302" s="208"/>
      <c r="F302" s="208" t="s">
        <v>428</v>
      </c>
      <c r="G302" s="208"/>
      <c r="H302" s="231"/>
      <c r="I302" s="565"/>
      <c r="J302" s="209"/>
      <c r="K302" s="565"/>
      <c r="L302" s="209"/>
      <c r="M302" s="565">
        <f t="shared" si="8"/>
        <v>0</v>
      </c>
      <c r="N302" s="565"/>
      <c r="O302" s="565"/>
      <c r="P302" s="218">
        <f t="shared" si="7"/>
        <v>0</v>
      </c>
    </row>
    <row r="303" spans="1:16" ht="14.25" outlineLevel="1" x14ac:dyDescent="0.45">
      <c r="A303" s="216"/>
      <c r="B303" s="206"/>
      <c r="C303" s="207"/>
      <c r="D303" s="208"/>
      <c r="E303" s="208"/>
      <c r="F303" s="208" t="s">
        <v>428</v>
      </c>
      <c r="G303" s="208"/>
      <c r="H303" s="231"/>
      <c r="I303" s="565"/>
      <c r="J303" s="209"/>
      <c r="K303" s="565"/>
      <c r="L303" s="209"/>
      <c r="M303" s="565">
        <f t="shared" si="8"/>
        <v>0</v>
      </c>
      <c r="N303" s="565"/>
      <c r="O303" s="565"/>
      <c r="P303" s="218">
        <f t="shared" si="7"/>
        <v>0</v>
      </c>
    </row>
    <row r="304" spans="1:16" ht="14.25" outlineLevel="1" x14ac:dyDescent="0.45">
      <c r="A304" s="216"/>
      <c r="B304" s="206"/>
      <c r="C304" s="207"/>
      <c r="D304" s="208"/>
      <c r="E304" s="208"/>
      <c r="F304" s="208" t="s">
        <v>428</v>
      </c>
      <c r="G304" s="208"/>
      <c r="H304" s="231"/>
      <c r="I304" s="565"/>
      <c r="J304" s="209"/>
      <c r="K304" s="565"/>
      <c r="L304" s="209"/>
      <c r="M304" s="565">
        <f t="shared" si="8"/>
        <v>0</v>
      </c>
      <c r="N304" s="565"/>
      <c r="O304" s="565"/>
      <c r="P304" s="218">
        <f t="shared" si="7"/>
        <v>0</v>
      </c>
    </row>
    <row r="305" spans="1:16" ht="14.25" outlineLevel="1" x14ac:dyDescent="0.45">
      <c r="A305" s="216"/>
      <c r="B305" s="206"/>
      <c r="C305" s="207"/>
      <c r="D305" s="208"/>
      <c r="E305" s="208"/>
      <c r="F305" s="208" t="s">
        <v>428</v>
      </c>
      <c r="G305" s="208"/>
      <c r="H305" s="231"/>
      <c r="I305" s="565"/>
      <c r="J305" s="209"/>
      <c r="K305" s="565"/>
      <c r="L305" s="209"/>
      <c r="M305" s="565">
        <f t="shared" si="8"/>
        <v>0</v>
      </c>
      <c r="N305" s="565"/>
      <c r="O305" s="565"/>
      <c r="P305" s="218">
        <f t="shared" si="7"/>
        <v>0</v>
      </c>
    </row>
    <row r="306" spans="1:16" ht="14.25" outlineLevel="1" x14ac:dyDescent="0.45">
      <c r="A306" s="216"/>
      <c r="B306" s="206"/>
      <c r="C306" s="207"/>
      <c r="D306" s="208"/>
      <c r="E306" s="208"/>
      <c r="F306" s="208" t="s">
        <v>428</v>
      </c>
      <c r="G306" s="208"/>
      <c r="H306" s="231"/>
      <c r="I306" s="565"/>
      <c r="J306" s="209"/>
      <c r="K306" s="565"/>
      <c r="L306" s="209"/>
      <c r="M306" s="565">
        <f t="shared" si="8"/>
        <v>0</v>
      </c>
      <c r="N306" s="565"/>
      <c r="O306" s="565"/>
      <c r="P306" s="218">
        <f t="shared" si="7"/>
        <v>0</v>
      </c>
    </row>
    <row r="307" spans="1:16" ht="14.25" outlineLevel="1" x14ac:dyDescent="0.45">
      <c r="A307" s="216"/>
      <c r="B307" s="206"/>
      <c r="C307" s="207"/>
      <c r="D307" s="208"/>
      <c r="E307" s="208"/>
      <c r="F307" s="208" t="s">
        <v>428</v>
      </c>
      <c r="G307" s="208"/>
      <c r="H307" s="231"/>
      <c r="I307" s="565"/>
      <c r="J307" s="209"/>
      <c r="K307" s="565"/>
      <c r="L307" s="209"/>
      <c r="M307" s="565">
        <f t="shared" si="8"/>
        <v>0</v>
      </c>
      <c r="N307" s="565"/>
      <c r="O307" s="565"/>
      <c r="P307" s="218">
        <f t="shared" si="7"/>
        <v>0</v>
      </c>
    </row>
    <row r="308" spans="1:16" ht="14.25" outlineLevel="1" x14ac:dyDescent="0.45">
      <c r="A308" s="216"/>
      <c r="B308" s="206"/>
      <c r="C308" s="207"/>
      <c r="D308" s="208"/>
      <c r="E308" s="208"/>
      <c r="F308" s="208" t="s">
        <v>428</v>
      </c>
      <c r="G308" s="208"/>
      <c r="H308" s="231"/>
      <c r="I308" s="565"/>
      <c r="J308" s="209"/>
      <c r="K308" s="565"/>
      <c r="L308" s="209"/>
      <c r="M308" s="565">
        <f t="shared" si="8"/>
        <v>0</v>
      </c>
      <c r="N308" s="565"/>
      <c r="O308" s="565"/>
      <c r="P308" s="218">
        <f t="shared" si="7"/>
        <v>0</v>
      </c>
    </row>
    <row r="309" spans="1:16" ht="14.25" outlineLevel="1" x14ac:dyDescent="0.45">
      <c r="A309" s="216"/>
      <c r="B309" s="206"/>
      <c r="C309" s="207"/>
      <c r="D309" s="208"/>
      <c r="E309" s="208"/>
      <c r="F309" s="208" t="s">
        <v>428</v>
      </c>
      <c r="G309" s="208"/>
      <c r="H309" s="231"/>
      <c r="I309" s="565"/>
      <c r="J309" s="209"/>
      <c r="K309" s="565"/>
      <c r="L309" s="209"/>
      <c r="M309" s="565">
        <f t="shared" si="8"/>
        <v>0</v>
      </c>
      <c r="N309" s="565"/>
      <c r="O309" s="565"/>
      <c r="P309" s="218">
        <f t="shared" si="7"/>
        <v>0</v>
      </c>
    </row>
    <row r="310" spans="1:16" ht="14.25" outlineLevel="1" x14ac:dyDescent="0.45">
      <c r="A310" s="216"/>
      <c r="B310" s="206"/>
      <c r="C310" s="207"/>
      <c r="D310" s="208"/>
      <c r="E310" s="208"/>
      <c r="F310" s="208" t="s">
        <v>428</v>
      </c>
      <c r="G310" s="208"/>
      <c r="H310" s="231"/>
      <c r="I310" s="565"/>
      <c r="J310" s="209"/>
      <c r="K310" s="565"/>
      <c r="L310" s="209"/>
      <c r="M310" s="565">
        <f t="shared" si="8"/>
        <v>0</v>
      </c>
      <c r="N310" s="565"/>
      <c r="O310" s="565"/>
      <c r="P310" s="218">
        <f t="shared" si="7"/>
        <v>0</v>
      </c>
    </row>
    <row r="311" spans="1:16" ht="14.25" outlineLevel="1" x14ac:dyDescent="0.45">
      <c r="A311" s="216"/>
      <c r="B311" s="206"/>
      <c r="C311" s="207"/>
      <c r="D311" s="208"/>
      <c r="E311" s="208"/>
      <c r="F311" s="208" t="s">
        <v>428</v>
      </c>
      <c r="G311" s="208"/>
      <c r="H311" s="231"/>
      <c r="I311" s="565"/>
      <c r="J311" s="209"/>
      <c r="K311" s="565"/>
      <c r="L311" s="209"/>
      <c r="M311" s="565">
        <f t="shared" si="8"/>
        <v>0</v>
      </c>
      <c r="N311" s="565"/>
      <c r="O311" s="565"/>
      <c r="P311" s="218">
        <f t="shared" si="7"/>
        <v>0</v>
      </c>
    </row>
    <row r="312" spans="1:16" ht="14.25" outlineLevel="1" x14ac:dyDescent="0.45">
      <c r="A312" s="216"/>
      <c r="B312" s="206"/>
      <c r="C312" s="207"/>
      <c r="D312" s="208"/>
      <c r="E312" s="208"/>
      <c r="F312" s="208" t="s">
        <v>428</v>
      </c>
      <c r="G312" s="208"/>
      <c r="H312" s="231"/>
      <c r="I312" s="565"/>
      <c r="J312" s="209"/>
      <c r="K312" s="565"/>
      <c r="L312" s="209"/>
      <c r="M312" s="565">
        <f t="shared" si="8"/>
        <v>0</v>
      </c>
      <c r="N312" s="565"/>
      <c r="O312" s="565"/>
      <c r="P312" s="218">
        <f t="shared" si="7"/>
        <v>0</v>
      </c>
    </row>
    <row r="313" spans="1:16" ht="14.25" outlineLevel="1" x14ac:dyDescent="0.45">
      <c r="A313" s="216"/>
      <c r="B313" s="206"/>
      <c r="C313" s="207"/>
      <c r="D313" s="208"/>
      <c r="E313" s="208"/>
      <c r="F313" s="208" t="s">
        <v>428</v>
      </c>
      <c r="G313" s="208"/>
      <c r="H313" s="231"/>
      <c r="I313" s="565"/>
      <c r="J313" s="209"/>
      <c r="K313" s="565"/>
      <c r="L313" s="209"/>
      <c r="M313" s="565">
        <f t="shared" si="8"/>
        <v>0</v>
      </c>
      <c r="N313" s="565"/>
      <c r="O313" s="565"/>
      <c r="P313" s="218">
        <f t="shared" si="7"/>
        <v>0</v>
      </c>
    </row>
    <row r="314" spans="1:16" ht="14.25" outlineLevel="1" x14ac:dyDescent="0.45">
      <c r="A314" s="216"/>
      <c r="B314" s="206"/>
      <c r="C314" s="207"/>
      <c r="D314" s="208"/>
      <c r="E314" s="208"/>
      <c r="F314" s="208" t="s">
        <v>428</v>
      </c>
      <c r="G314" s="208"/>
      <c r="H314" s="231"/>
      <c r="I314" s="565"/>
      <c r="J314" s="209"/>
      <c r="K314" s="565"/>
      <c r="L314" s="209"/>
      <c r="M314" s="565">
        <f t="shared" si="8"/>
        <v>0</v>
      </c>
      <c r="N314" s="565"/>
      <c r="O314" s="565"/>
      <c r="P314" s="218">
        <f t="shared" si="7"/>
        <v>0</v>
      </c>
    </row>
    <row r="315" spans="1:16" ht="14.25" outlineLevel="1" x14ac:dyDescent="0.45">
      <c r="A315" s="216"/>
      <c r="B315" s="206"/>
      <c r="C315" s="207"/>
      <c r="D315" s="208"/>
      <c r="E315" s="208"/>
      <c r="F315" s="208" t="s">
        <v>428</v>
      </c>
      <c r="G315" s="208"/>
      <c r="H315" s="231"/>
      <c r="I315" s="565"/>
      <c r="J315" s="209"/>
      <c r="K315" s="565"/>
      <c r="L315" s="209"/>
      <c r="M315" s="565">
        <f t="shared" si="8"/>
        <v>0</v>
      </c>
      <c r="N315" s="565"/>
      <c r="O315" s="565"/>
      <c r="P315" s="218">
        <f t="shared" si="7"/>
        <v>0</v>
      </c>
    </row>
    <row r="316" spans="1:16" ht="14.25" outlineLevel="1" x14ac:dyDescent="0.45">
      <c r="A316" s="216"/>
      <c r="B316" s="206"/>
      <c r="C316" s="207"/>
      <c r="D316" s="208"/>
      <c r="E316" s="208"/>
      <c r="F316" s="208" t="s">
        <v>428</v>
      </c>
      <c r="G316" s="208"/>
      <c r="H316" s="231"/>
      <c r="I316" s="565"/>
      <c r="J316" s="209"/>
      <c r="K316" s="565"/>
      <c r="L316" s="209"/>
      <c r="M316" s="565">
        <f t="shared" si="8"/>
        <v>0</v>
      </c>
      <c r="N316" s="565"/>
      <c r="O316" s="565"/>
      <c r="P316" s="218">
        <f t="shared" si="7"/>
        <v>0</v>
      </c>
    </row>
    <row r="317" spans="1:16" ht="14.25" outlineLevel="1" x14ac:dyDescent="0.45">
      <c r="A317" s="216"/>
      <c r="B317" s="206"/>
      <c r="C317" s="207"/>
      <c r="D317" s="208"/>
      <c r="E317" s="208"/>
      <c r="F317" s="208" t="s">
        <v>428</v>
      </c>
      <c r="G317" s="208"/>
      <c r="H317" s="231"/>
      <c r="I317" s="565"/>
      <c r="J317" s="209"/>
      <c r="K317" s="565"/>
      <c r="L317" s="209"/>
      <c r="M317" s="565">
        <f t="shared" si="8"/>
        <v>0</v>
      </c>
      <c r="N317" s="565"/>
      <c r="O317" s="565"/>
      <c r="P317" s="218">
        <f t="shared" si="7"/>
        <v>0</v>
      </c>
    </row>
    <row r="318" spans="1:16" ht="14.25" outlineLevel="1" x14ac:dyDescent="0.45">
      <c r="A318" s="216"/>
      <c r="B318" s="206"/>
      <c r="C318" s="207"/>
      <c r="D318" s="208"/>
      <c r="E318" s="208"/>
      <c r="F318" s="208" t="s">
        <v>428</v>
      </c>
      <c r="G318" s="208"/>
      <c r="H318" s="231"/>
      <c r="I318" s="565"/>
      <c r="J318" s="209"/>
      <c r="K318" s="565"/>
      <c r="L318" s="209"/>
      <c r="M318" s="565">
        <f t="shared" si="8"/>
        <v>0</v>
      </c>
      <c r="N318" s="565"/>
      <c r="O318" s="565"/>
      <c r="P318" s="218">
        <f t="shared" si="7"/>
        <v>0</v>
      </c>
    </row>
    <row r="319" spans="1:16" ht="14.25" outlineLevel="1" x14ac:dyDescent="0.45">
      <c r="A319" s="216"/>
      <c r="B319" s="206"/>
      <c r="C319" s="207"/>
      <c r="D319" s="208"/>
      <c r="E319" s="208"/>
      <c r="F319" s="208" t="s">
        <v>428</v>
      </c>
      <c r="G319" s="208"/>
      <c r="H319" s="231"/>
      <c r="I319" s="565"/>
      <c r="J319" s="209"/>
      <c r="K319" s="565"/>
      <c r="L319" s="209"/>
      <c r="M319" s="565">
        <f t="shared" si="8"/>
        <v>0</v>
      </c>
      <c r="N319" s="565"/>
      <c r="O319" s="565"/>
      <c r="P319" s="218">
        <f t="shared" si="7"/>
        <v>0</v>
      </c>
    </row>
    <row r="320" spans="1:16" ht="14.25" outlineLevel="1" x14ac:dyDescent="0.45">
      <c r="A320" s="216"/>
      <c r="B320" s="206"/>
      <c r="C320" s="207"/>
      <c r="D320" s="208"/>
      <c r="E320" s="208"/>
      <c r="F320" s="208" t="s">
        <v>428</v>
      </c>
      <c r="G320" s="208"/>
      <c r="H320" s="231"/>
      <c r="I320" s="565"/>
      <c r="J320" s="209"/>
      <c r="K320" s="565"/>
      <c r="L320" s="209"/>
      <c r="M320" s="565">
        <f t="shared" si="8"/>
        <v>0</v>
      </c>
      <c r="N320" s="565"/>
      <c r="O320" s="565"/>
      <c r="P320" s="218">
        <f t="shared" si="7"/>
        <v>0</v>
      </c>
    </row>
    <row r="321" spans="1:16" ht="14.25" outlineLevel="1" x14ac:dyDescent="0.45">
      <c r="A321" s="216"/>
      <c r="B321" s="206"/>
      <c r="C321" s="207"/>
      <c r="D321" s="208"/>
      <c r="E321" s="208"/>
      <c r="F321" s="208" t="s">
        <v>428</v>
      </c>
      <c r="G321" s="208"/>
      <c r="H321" s="231"/>
      <c r="I321" s="565"/>
      <c r="J321" s="209"/>
      <c r="K321" s="565"/>
      <c r="L321" s="209"/>
      <c r="M321" s="565">
        <f t="shared" si="8"/>
        <v>0</v>
      </c>
      <c r="N321" s="565"/>
      <c r="O321" s="565"/>
      <c r="P321" s="218">
        <f t="shared" si="7"/>
        <v>0</v>
      </c>
    </row>
    <row r="322" spans="1:16" ht="14.25" outlineLevel="1" x14ac:dyDescent="0.45">
      <c r="A322" s="216"/>
      <c r="B322" s="206"/>
      <c r="C322" s="207"/>
      <c r="D322" s="208"/>
      <c r="E322" s="208"/>
      <c r="F322" s="208" t="s">
        <v>428</v>
      </c>
      <c r="G322" s="208"/>
      <c r="H322" s="231"/>
      <c r="I322" s="565"/>
      <c r="J322" s="209"/>
      <c r="K322" s="565"/>
      <c r="L322" s="209"/>
      <c r="M322" s="565">
        <f t="shared" si="8"/>
        <v>0</v>
      </c>
      <c r="N322" s="565"/>
      <c r="O322" s="565"/>
      <c r="P322" s="218">
        <f t="shared" si="7"/>
        <v>0</v>
      </c>
    </row>
    <row r="323" spans="1:16" ht="14.25" outlineLevel="1" x14ac:dyDescent="0.45">
      <c r="A323" s="216"/>
      <c r="B323" s="206"/>
      <c r="C323" s="207"/>
      <c r="D323" s="208"/>
      <c r="E323" s="208"/>
      <c r="F323" s="208" t="s">
        <v>428</v>
      </c>
      <c r="G323" s="208"/>
      <c r="H323" s="231"/>
      <c r="I323" s="565"/>
      <c r="J323" s="209"/>
      <c r="K323" s="565"/>
      <c r="L323" s="209"/>
      <c r="M323" s="565">
        <f t="shared" si="8"/>
        <v>0</v>
      </c>
      <c r="N323" s="565"/>
      <c r="O323" s="565"/>
      <c r="P323" s="218">
        <f t="shared" si="7"/>
        <v>0</v>
      </c>
    </row>
    <row r="324" spans="1:16" ht="14.25" outlineLevel="1" x14ac:dyDescent="0.45">
      <c r="A324" s="216"/>
      <c r="B324" s="206"/>
      <c r="C324" s="207"/>
      <c r="D324" s="208"/>
      <c r="E324" s="208"/>
      <c r="F324" s="208" t="s">
        <v>428</v>
      </c>
      <c r="G324" s="208"/>
      <c r="H324" s="231"/>
      <c r="I324" s="565"/>
      <c r="J324" s="209"/>
      <c r="K324" s="565"/>
      <c r="L324" s="209"/>
      <c r="M324" s="565">
        <f t="shared" si="8"/>
        <v>0</v>
      </c>
      <c r="N324" s="565"/>
      <c r="O324" s="565"/>
      <c r="P324" s="218">
        <f t="shared" si="7"/>
        <v>0</v>
      </c>
    </row>
    <row r="325" spans="1:16" ht="14.25" outlineLevel="1" x14ac:dyDescent="0.45">
      <c r="A325" s="216"/>
      <c r="B325" s="206"/>
      <c r="C325" s="207"/>
      <c r="D325" s="208"/>
      <c r="E325" s="208"/>
      <c r="F325" s="208" t="s">
        <v>428</v>
      </c>
      <c r="G325" s="208"/>
      <c r="H325" s="231"/>
      <c r="I325" s="565"/>
      <c r="J325" s="209"/>
      <c r="K325" s="565"/>
      <c r="L325" s="209"/>
      <c r="M325" s="565">
        <f t="shared" si="8"/>
        <v>0</v>
      </c>
      <c r="N325" s="565"/>
      <c r="O325" s="565"/>
      <c r="P325" s="218">
        <f t="shared" si="7"/>
        <v>0</v>
      </c>
    </row>
    <row r="326" spans="1:16" ht="14.25" outlineLevel="1" x14ac:dyDescent="0.45">
      <c r="A326" s="216"/>
      <c r="B326" s="206"/>
      <c r="C326" s="207"/>
      <c r="D326" s="208"/>
      <c r="E326" s="208"/>
      <c r="F326" s="208" t="s">
        <v>428</v>
      </c>
      <c r="G326" s="208"/>
      <c r="H326" s="231"/>
      <c r="I326" s="565"/>
      <c r="J326" s="209"/>
      <c r="K326" s="565"/>
      <c r="L326" s="209"/>
      <c r="M326" s="565">
        <f t="shared" si="8"/>
        <v>0</v>
      </c>
      <c r="N326" s="565"/>
      <c r="O326" s="565"/>
      <c r="P326" s="218">
        <f t="shared" si="7"/>
        <v>0</v>
      </c>
    </row>
    <row r="327" spans="1:16" ht="14.25" outlineLevel="1" x14ac:dyDescent="0.45">
      <c r="A327" s="216"/>
      <c r="B327" s="206"/>
      <c r="C327" s="207"/>
      <c r="D327" s="208"/>
      <c r="E327" s="208"/>
      <c r="F327" s="208" t="s">
        <v>428</v>
      </c>
      <c r="G327" s="208"/>
      <c r="H327" s="231"/>
      <c r="I327" s="565"/>
      <c r="J327" s="209"/>
      <c r="K327" s="565"/>
      <c r="L327" s="209"/>
      <c r="M327" s="565">
        <f t="shared" si="8"/>
        <v>0</v>
      </c>
      <c r="N327" s="565"/>
      <c r="O327" s="565"/>
      <c r="P327" s="218">
        <f t="shared" si="7"/>
        <v>0</v>
      </c>
    </row>
    <row r="328" spans="1:16" ht="14.25" outlineLevel="1" x14ac:dyDescent="0.45">
      <c r="A328" s="216"/>
      <c r="B328" s="206"/>
      <c r="C328" s="207"/>
      <c r="D328" s="208"/>
      <c r="E328" s="208"/>
      <c r="F328" s="208" t="s">
        <v>428</v>
      </c>
      <c r="G328" s="208"/>
      <c r="H328" s="231"/>
      <c r="I328" s="565"/>
      <c r="J328" s="209"/>
      <c r="K328" s="565"/>
      <c r="L328" s="209"/>
      <c r="M328" s="565">
        <f t="shared" si="8"/>
        <v>0</v>
      </c>
      <c r="N328" s="565"/>
      <c r="O328" s="565"/>
      <c r="P328" s="218">
        <f t="shared" si="7"/>
        <v>0</v>
      </c>
    </row>
    <row r="329" spans="1:16" ht="14.25" outlineLevel="1" x14ac:dyDescent="0.45">
      <c r="A329" s="216"/>
      <c r="B329" s="206"/>
      <c r="C329" s="207"/>
      <c r="D329" s="208"/>
      <c r="E329" s="208"/>
      <c r="F329" s="208" t="s">
        <v>428</v>
      </c>
      <c r="G329" s="208"/>
      <c r="H329" s="231"/>
      <c r="I329" s="565"/>
      <c r="J329" s="209"/>
      <c r="K329" s="565"/>
      <c r="L329" s="209"/>
      <c r="M329" s="565">
        <f t="shared" si="8"/>
        <v>0</v>
      </c>
      <c r="N329" s="565"/>
      <c r="O329" s="565"/>
      <c r="P329" s="218">
        <f t="shared" si="7"/>
        <v>0</v>
      </c>
    </row>
    <row r="330" spans="1:16" ht="14.25" outlineLevel="1" x14ac:dyDescent="0.45">
      <c r="A330" s="216"/>
      <c r="B330" s="206"/>
      <c r="C330" s="207"/>
      <c r="D330" s="208"/>
      <c r="E330" s="208"/>
      <c r="F330" s="208" t="s">
        <v>428</v>
      </c>
      <c r="G330" s="208"/>
      <c r="H330" s="231"/>
      <c r="I330" s="565"/>
      <c r="J330" s="209"/>
      <c r="K330" s="565"/>
      <c r="L330" s="209"/>
      <c r="M330" s="565">
        <f t="shared" si="8"/>
        <v>0</v>
      </c>
      <c r="N330" s="565"/>
      <c r="O330" s="565"/>
      <c r="P330" s="218">
        <f t="shared" si="7"/>
        <v>0</v>
      </c>
    </row>
    <row r="331" spans="1:16" ht="14.25" outlineLevel="1" x14ac:dyDescent="0.45">
      <c r="A331" s="216"/>
      <c r="B331" s="206"/>
      <c r="C331" s="207"/>
      <c r="D331" s="208"/>
      <c r="E331" s="208"/>
      <c r="F331" s="208" t="s">
        <v>428</v>
      </c>
      <c r="G331" s="208"/>
      <c r="H331" s="231"/>
      <c r="I331" s="565"/>
      <c r="J331" s="209"/>
      <c r="K331" s="565"/>
      <c r="L331" s="209"/>
      <c r="M331" s="565">
        <f t="shared" si="8"/>
        <v>0</v>
      </c>
      <c r="N331" s="565"/>
      <c r="O331" s="565"/>
      <c r="P331" s="218">
        <f t="shared" si="7"/>
        <v>0</v>
      </c>
    </row>
    <row r="332" spans="1:16" ht="14.25" outlineLevel="1" x14ac:dyDescent="0.45">
      <c r="A332" s="216"/>
      <c r="B332" s="206"/>
      <c r="C332" s="207"/>
      <c r="D332" s="208"/>
      <c r="E332" s="208"/>
      <c r="F332" s="208" t="s">
        <v>428</v>
      </c>
      <c r="G332" s="208"/>
      <c r="H332" s="231"/>
      <c r="I332" s="565"/>
      <c r="J332" s="209"/>
      <c r="K332" s="565"/>
      <c r="L332" s="209"/>
      <c r="M332" s="565">
        <f t="shared" si="8"/>
        <v>0</v>
      </c>
      <c r="N332" s="565"/>
      <c r="O332" s="565"/>
      <c r="P332" s="218">
        <f t="shared" si="7"/>
        <v>0</v>
      </c>
    </row>
    <row r="333" spans="1:16" ht="14.25" outlineLevel="1" x14ac:dyDescent="0.45">
      <c r="A333" s="216"/>
      <c r="B333" s="206"/>
      <c r="C333" s="207"/>
      <c r="D333" s="208"/>
      <c r="E333" s="208"/>
      <c r="F333" s="208" t="s">
        <v>428</v>
      </c>
      <c r="G333" s="208"/>
      <c r="H333" s="231"/>
      <c r="I333" s="565"/>
      <c r="J333" s="209"/>
      <c r="K333" s="565"/>
      <c r="L333" s="209"/>
      <c r="M333" s="565">
        <f t="shared" si="8"/>
        <v>0</v>
      </c>
      <c r="N333" s="565"/>
      <c r="O333" s="565"/>
      <c r="P333" s="218">
        <f t="shared" si="7"/>
        <v>0</v>
      </c>
    </row>
    <row r="334" spans="1:16" ht="14.25" outlineLevel="1" x14ac:dyDescent="0.45">
      <c r="A334" s="216"/>
      <c r="B334" s="206"/>
      <c r="C334" s="207"/>
      <c r="D334" s="208"/>
      <c r="E334" s="208"/>
      <c r="F334" s="208" t="s">
        <v>428</v>
      </c>
      <c r="G334" s="208"/>
      <c r="H334" s="231"/>
      <c r="I334" s="565"/>
      <c r="J334" s="209"/>
      <c r="K334" s="565"/>
      <c r="L334" s="209"/>
      <c r="M334" s="565">
        <f t="shared" si="8"/>
        <v>0</v>
      </c>
      <c r="N334" s="565"/>
      <c r="O334" s="565"/>
      <c r="P334" s="218">
        <f t="shared" si="7"/>
        <v>0</v>
      </c>
    </row>
    <row r="335" spans="1:16" ht="14.25" outlineLevel="1" x14ac:dyDescent="0.45">
      <c r="A335" s="216"/>
      <c r="B335" s="206"/>
      <c r="C335" s="207"/>
      <c r="D335" s="208"/>
      <c r="E335" s="208"/>
      <c r="F335" s="208" t="s">
        <v>428</v>
      </c>
      <c r="G335" s="208"/>
      <c r="H335" s="231"/>
      <c r="I335" s="565"/>
      <c r="J335" s="209"/>
      <c r="K335" s="565"/>
      <c r="L335" s="209"/>
      <c r="M335" s="565">
        <f t="shared" si="8"/>
        <v>0</v>
      </c>
      <c r="N335" s="565"/>
      <c r="O335" s="565"/>
      <c r="P335" s="218">
        <f t="shared" si="7"/>
        <v>0</v>
      </c>
    </row>
    <row r="336" spans="1:16" ht="14.25" outlineLevel="1" x14ac:dyDescent="0.45">
      <c r="A336" s="216"/>
      <c r="B336" s="206"/>
      <c r="C336" s="207"/>
      <c r="D336" s="208"/>
      <c r="E336" s="208"/>
      <c r="F336" s="208" t="s">
        <v>428</v>
      </c>
      <c r="G336" s="208"/>
      <c r="H336" s="231"/>
      <c r="I336" s="565"/>
      <c r="J336" s="209"/>
      <c r="K336" s="565"/>
      <c r="L336" s="209"/>
      <c r="M336" s="565">
        <f t="shared" si="8"/>
        <v>0</v>
      </c>
      <c r="N336" s="565"/>
      <c r="O336" s="565"/>
      <c r="P336" s="218">
        <f t="shared" si="7"/>
        <v>0</v>
      </c>
    </row>
    <row r="337" spans="1:16" ht="14.25" outlineLevel="1" x14ac:dyDescent="0.45">
      <c r="A337" s="216"/>
      <c r="B337" s="206"/>
      <c r="C337" s="207"/>
      <c r="D337" s="208"/>
      <c r="E337" s="208"/>
      <c r="F337" s="208" t="s">
        <v>428</v>
      </c>
      <c r="G337" s="208"/>
      <c r="H337" s="231"/>
      <c r="I337" s="565"/>
      <c r="J337" s="209"/>
      <c r="K337" s="565"/>
      <c r="L337" s="209"/>
      <c r="M337" s="565">
        <f t="shared" si="8"/>
        <v>0</v>
      </c>
      <c r="N337" s="565"/>
      <c r="O337" s="565"/>
      <c r="P337" s="218">
        <f t="shared" si="7"/>
        <v>0</v>
      </c>
    </row>
    <row r="338" spans="1:16" ht="14.25" outlineLevel="1" x14ac:dyDescent="0.45">
      <c r="A338" s="216"/>
      <c r="B338" s="206"/>
      <c r="C338" s="207"/>
      <c r="D338" s="208"/>
      <c r="E338" s="208"/>
      <c r="F338" s="208" t="s">
        <v>428</v>
      </c>
      <c r="G338" s="208"/>
      <c r="H338" s="231"/>
      <c r="I338" s="565"/>
      <c r="J338" s="209"/>
      <c r="K338" s="565"/>
      <c r="L338" s="209"/>
      <c r="M338" s="565">
        <f t="shared" si="8"/>
        <v>0</v>
      </c>
      <c r="N338" s="565"/>
      <c r="O338" s="565"/>
      <c r="P338" s="218">
        <f t="shared" si="7"/>
        <v>0</v>
      </c>
    </row>
    <row r="339" spans="1:16" ht="14.25" outlineLevel="1" x14ac:dyDescent="0.45">
      <c r="A339" s="216"/>
      <c r="B339" s="206"/>
      <c r="C339" s="207"/>
      <c r="D339" s="208"/>
      <c r="E339" s="208"/>
      <c r="F339" s="208" t="s">
        <v>428</v>
      </c>
      <c r="G339" s="208"/>
      <c r="H339" s="231"/>
      <c r="I339" s="565"/>
      <c r="J339" s="209"/>
      <c r="K339" s="565"/>
      <c r="L339" s="209"/>
      <c r="M339" s="565">
        <f t="shared" si="8"/>
        <v>0</v>
      </c>
      <c r="N339" s="565"/>
      <c r="O339" s="565"/>
      <c r="P339" s="218">
        <f t="shared" si="7"/>
        <v>0</v>
      </c>
    </row>
    <row r="340" spans="1:16" ht="14.25" outlineLevel="1" x14ac:dyDescent="0.45">
      <c r="A340" s="216"/>
      <c r="B340" s="206"/>
      <c r="C340" s="207"/>
      <c r="D340" s="208"/>
      <c r="E340" s="208"/>
      <c r="F340" s="208" t="s">
        <v>428</v>
      </c>
      <c r="G340" s="208"/>
      <c r="H340" s="231"/>
      <c r="I340" s="565"/>
      <c r="J340" s="209"/>
      <c r="K340" s="565"/>
      <c r="L340" s="209"/>
      <c r="M340" s="565">
        <f t="shared" si="8"/>
        <v>0</v>
      </c>
      <c r="N340" s="565"/>
      <c r="O340" s="565"/>
      <c r="P340" s="218">
        <f t="shared" si="7"/>
        <v>0</v>
      </c>
    </row>
    <row r="341" spans="1:16" ht="14.25" outlineLevel="1" x14ac:dyDescent="0.45">
      <c r="A341" s="216"/>
      <c r="B341" s="206"/>
      <c r="C341" s="207"/>
      <c r="D341" s="208"/>
      <c r="E341" s="208"/>
      <c r="F341" s="208" t="s">
        <v>428</v>
      </c>
      <c r="G341" s="208"/>
      <c r="H341" s="231"/>
      <c r="I341" s="565"/>
      <c r="J341" s="209"/>
      <c r="K341" s="565"/>
      <c r="L341" s="209"/>
      <c r="M341" s="565">
        <f t="shared" si="8"/>
        <v>0</v>
      </c>
      <c r="N341" s="565"/>
      <c r="O341" s="565"/>
      <c r="P341" s="218">
        <f t="shared" si="7"/>
        <v>0</v>
      </c>
    </row>
    <row r="342" spans="1:16" ht="14.25" outlineLevel="1" x14ac:dyDescent="0.45">
      <c r="A342" s="216"/>
      <c r="B342" s="206"/>
      <c r="C342" s="207"/>
      <c r="D342" s="208"/>
      <c r="E342" s="208"/>
      <c r="F342" s="208" t="s">
        <v>428</v>
      </c>
      <c r="G342" s="208"/>
      <c r="H342" s="231"/>
      <c r="I342" s="565"/>
      <c r="J342" s="209"/>
      <c r="K342" s="565"/>
      <c r="L342" s="209"/>
      <c r="M342" s="565">
        <f t="shared" si="8"/>
        <v>0</v>
      </c>
      <c r="N342" s="565"/>
      <c r="O342" s="565"/>
      <c r="P342" s="218">
        <f t="shared" si="7"/>
        <v>0</v>
      </c>
    </row>
    <row r="343" spans="1:16" ht="14.25" outlineLevel="1" x14ac:dyDescent="0.45">
      <c r="A343" s="216"/>
      <c r="B343" s="206"/>
      <c r="C343" s="207"/>
      <c r="D343" s="208"/>
      <c r="E343" s="208"/>
      <c r="F343" s="208" t="s">
        <v>428</v>
      </c>
      <c r="G343" s="208"/>
      <c r="H343" s="231"/>
      <c r="I343" s="565"/>
      <c r="J343" s="209"/>
      <c r="K343" s="565"/>
      <c r="L343" s="209"/>
      <c r="M343" s="565">
        <f t="shared" si="8"/>
        <v>0</v>
      </c>
      <c r="N343" s="565"/>
      <c r="O343" s="565"/>
      <c r="P343" s="218">
        <f t="shared" si="7"/>
        <v>0</v>
      </c>
    </row>
    <row r="344" spans="1:16" ht="14.25" outlineLevel="1" x14ac:dyDescent="0.45">
      <c r="A344" s="216"/>
      <c r="B344" s="206"/>
      <c r="C344" s="207"/>
      <c r="D344" s="208"/>
      <c r="E344" s="208"/>
      <c r="F344" s="208" t="s">
        <v>428</v>
      </c>
      <c r="G344" s="208"/>
      <c r="H344" s="231"/>
      <c r="I344" s="565"/>
      <c r="J344" s="209"/>
      <c r="K344" s="565"/>
      <c r="L344" s="209"/>
      <c r="M344" s="565">
        <f t="shared" si="8"/>
        <v>0</v>
      </c>
      <c r="N344" s="565"/>
      <c r="O344" s="565"/>
      <c r="P344" s="218">
        <f t="shared" si="7"/>
        <v>0</v>
      </c>
    </row>
    <row r="345" spans="1:16" ht="14.25" outlineLevel="1" x14ac:dyDescent="0.45">
      <c r="A345" s="216"/>
      <c r="B345" s="206"/>
      <c r="C345" s="207"/>
      <c r="D345" s="208"/>
      <c r="E345" s="208"/>
      <c r="F345" s="208" t="s">
        <v>428</v>
      </c>
      <c r="G345" s="208"/>
      <c r="H345" s="231"/>
      <c r="I345" s="565"/>
      <c r="J345" s="209"/>
      <c r="K345" s="565"/>
      <c r="L345" s="209"/>
      <c r="M345" s="565">
        <f t="shared" si="8"/>
        <v>0</v>
      </c>
      <c r="N345" s="565"/>
      <c r="O345" s="565"/>
      <c r="P345" s="218">
        <f t="shared" si="7"/>
        <v>0</v>
      </c>
    </row>
    <row r="346" spans="1:16" ht="14.25" outlineLevel="1" x14ac:dyDescent="0.45">
      <c r="A346" s="216"/>
      <c r="B346" s="206"/>
      <c r="C346" s="207"/>
      <c r="D346" s="208"/>
      <c r="E346" s="208"/>
      <c r="F346" s="208" t="s">
        <v>428</v>
      </c>
      <c r="G346" s="208"/>
      <c r="H346" s="231"/>
      <c r="I346" s="565"/>
      <c r="J346" s="209"/>
      <c r="K346" s="565"/>
      <c r="L346" s="209"/>
      <c r="M346" s="565">
        <f t="shared" si="8"/>
        <v>0</v>
      </c>
      <c r="N346" s="565"/>
      <c r="O346" s="565"/>
      <c r="P346" s="218">
        <f t="shared" si="7"/>
        <v>0</v>
      </c>
    </row>
    <row r="347" spans="1:16" ht="14.25" outlineLevel="1" x14ac:dyDescent="0.45">
      <c r="A347" s="216"/>
      <c r="B347" s="206"/>
      <c r="C347" s="207"/>
      <c r="D347" s="208"/>
      <c r="E347" s="208"/>
      <c r="F347" s="208" t="s">
        <v>428</v>
      </c>
      <c r="G347" s="208"/>
      <c r="H347" s="231"/>
      <c r="I347" s="565"/>
      <c r="J347" s="209"/>
      <c r="K347" s="565"/>
      <c r="L347" s="209"/>
      <c r="M347" s="565">
        <f t="shared" si="8"/>
        <v>0</v>
      </c>
      <c r="N347" s="565"/>
      <c r="O347" s="565"/>
      <c r="P347" s="218">
        <f t="shared" si="7"/>
        <v>0</v>
      </c>
    </row>
    <row r="348" spans="1:16" ht="14.25" outlineLevel="1" x14ac:dyDescent="0.45">
      <c r="A348" s="216"/>
      <c r="B348" s="206"/>
      <c r="C348" s="207"/>
      <c r="D348" s="208"/>
      <c r="E348" s="208"/>
      <c r="F348" s="208" t="s">
        <v>428</v>
      </c>
      <c r="G348" s="208"/>
      <c r="H348" s="231"/>
      <c r="I348" s="565"/>
      <c r="J348" s="209"/>
      <c r="K348" s="565"/>
      <c r="L348" s="209"/>
      <c r="M348" s="565">
        <f t="shared" si="8"/>
        <v>0</v>
      </c>
      <c r="N348" s="565"/>
      <c r="O348" s="565"/>
      <c r="P348" s="218">
        <f t="shared" si="7"/>
        <v>0</v>
      </c>
    </row>
    <row r="349" spans="1:16" ht="14.25" outlineLevel="1" x14ac:dyDescent="0.45">
      <c r="A349" s="216"/>
      <c r="B349" s="206"/>
      <c r="C349" s="207"/>
      <c r="D349" s="208"/>
      <c r="E349" s="208"/>
      <c r="F349" s="208" t="s">
        <v>428</v>
      </c>
      <c r="G349" s="208"/>
      <c r="H349" s="231"/>
      <c r="I349" s="565"/>
      <c r="J349" s="209"/>
      <c r="K349" s="565"/>
      <c r="L349" s="209"/>
      <c r="M349" s="565">
        <f t="shared" si="8"/>
        <v>0</v>
      </c>
      <c r="N349" s="565"/>
      <c r="O349" s="565"/>
      <c r="P349" s="218">
        <f t="shared" si="7"/>
        <v>0</v>
      </c>
    </row>
    <row r="350" spans="1:16" ht="14.25" outlineLevel="1" x14ac:dyDescent="0.45">
      <c r="A350" s="216"/>
      <c r="B350" s="206"/>
      <c r="C350" s="207"/>
      <c r="D350" s="208"/>
      <c r="E350" s="208"/>
      <c r="F350" s="208" t="s">
        <v>428</v>
      </c>
      <c r="G350" s="208"/>
      <c r="H350" s="231"/>
      <c r="I350" s="565"/>
      <c r="J350" s="209"/>
      <c r="K350" s="565"/>
      <c r="L350" s="209"/>
      <c r="M350" s="565">
        <f t="shared" si="8"/>
        <v>0</v>
      </c>
      <c r="N350" s="565"/>
      <c r="O350" s="565"/>
      <c r="P350" s="218">
        <f t="shared" si="7"/>
        <v>0</v>
      </c>
    </row>
    <row r="351" spans="1:16" ht="14.25" outlineLevel="1" x14ac:dyDescent="0.45">
      <c r="A351" s="216"/>
      <c r="B351" s="206"/>
      <c r="C351" s="207"/>
      <c r="D351" s="208"/>
      <c r="E351" s="208"/>
      <c r="F351" s="208" t="s">
        <v>428</v>
      </c>
      <c r="G351" s="208"/>
      <c r="H351" s="231"/>
      <c r="I351" s="565"/>
      <c r="J351" s="209"/>
      <c r="K351" s="565"/>
      <c r="L351" s="209"/>
      <c r="M351" s="565">
        <f t="shared" si="8"/>
        <v>0</v>
      </c>
      <c r="N351" s="565"/>
      <c r="O351" s="565"/>
      <c r="P351" s="218">
        <f t="shared" si="7"/>
        <v>0</v>
      </c>
    </row>
    <row r="352" spans="1:16" ht="14.25" outlineLevel="1" x14ac:dyDescent="0.45">
      <c r="A352" s="216"/>
      <c r="B352" s="206"/>
      <c r="C352" s="207"/>
      <c r="D352" s="208"/>
      <c r="E352" s="208"/>
      <c r="F352" s="208" t="s">
        <v>428</v>
      </c>
      <c r="G352" s="208"/>
      <c r="H352" s="231"/>
      <c r="I352" s="565"/>
      <c r="J352" s="209"/>
      <c r="K352" s="565"/>
      <c r="L352" s="209"/>
      <c r="M352" s="565">
        <f t="shared" si="8"/>
        <v>0</v>
      </c>
      <c r="N352" s="565"/>
      <c r="O352" s="565"/>
      <c r="P352" s="218">
        <f t="shared" si="7"/>
        <v>0</v>
      </c>
    </row>
    <row r="353" spans="1:16" ht="14.25" outlineLevel="1" x14ac:dyDescent="0.45">
      <c r="A353" s="216"/>
      <c r="B353" s="206"/>
      <c r="C353" s="207"/>
      <c r="D353" s="208"/>
      <c r="E353" s="208"/>
      <c r="F353" s="208" t="s">
        <v>428</v>
      </c>
      <c r="G353" s="208"/>
      <c r="H353" s="231"/>
      <c r="I353" s="565"/>
      <c r="J353" s="209"/>
      <c r="K353" s="565"/>
      <c r="L353" s="209"/>
      <c r="M353" s="565">
        <f t="shared" si="8"/>
        <v>0</v>
      </c>
      <c r="N353" s="565"/>
      <c r="O353" s="565"/>
      <c r="P353" s="218">
        <f t="shared" si="7"/>
        <v>0</v>
      </c>
    </row>
    <row r="354" spans="1:16" ht="14.25" outlineLevel="1" x14ac:dyDescent="0.45">
      <c r="A354" s="216"/>
      <c r="B354" s="206"/>
      <c r="C354" s="207"/>
      <c r="D354" s="208"/>
      <c r="E354" s="208"/>
      <c r="F354" s="208" t="s">
        <v>428</v>
      </c>
      <c r="G354" s="208"/>
      <c r="H354" s="231"/>
      <c r="I354" s="565"/>
      <c r="J354" s="209"/>
      <c r="K354" s="565"/>
      <c r="L354" s="209"/>
      <c r="M354" s="565">
        <f t="shared" si="8"/>
        <v>0</v>
      </c>
      <c r="N354" s="565"/>
      <c r="O354" s="565"/>
      <c r="P354" s="218">
        <f t="shared" si="7"/>
        <v>0</v>
      </c>
    </row>
    <row r="355" spans="1:16" ht="14.25" outlineLevel="1" x14ac:dyDescent="0.45">
      <c r="A355" s="216"/>
      <c r="B355" s="206"/>
      <c r="C355" s="207"/>
      <c r="D355" s="208"/>
      <c r="E355" s="208"/>
      <c r="F355" s="208" t="s">
        <v>428</v>
      </c>
      <c r="G355" s="208"/>
      <c r="H355" s="231"/>
      <c r="I355" s="565"/>
      <c r="J355" s="209"/>
      <c r="K355" s="565"/>
      <c r="L355" s="209"/>
      <c r="M355" s="565">
        <f t="shared" si="8"/>
        <v>0</v>
      </c>
      <c r="N355" s="565"/>
      <c r="O355" s="565"/>
      <c r="P355" s="218">
        <f t="shared" si="7"/>
        <v>0</v>
      </c>
    </row>
    <row r="356" spans="1:16" ht="14.25" outlineLevel="1" x14ac:dyDescent="0.45">
      <c r="A356" s="216"/>
      <c r="B356" s="206"/>
      <c r="C356" s="207"/>
      <c r="D356" s="208"/>
      <c r="E356" s="208"/>
      <c r="F356" s="208" t="s">
        <v>428</v>
      </c>
      <c r="G356" s="208"/>
      <c r="H356" s="231"/>
      <c r="I356" s="565"/>
      <c r="J356" s="209"/>
      <c r="K356" s="565"/>
      <c r="L356" s="209"/>
      <c r="M356" s="565">
        <f t="shared" si="8"/>
        <v>0</v>
      </c>
      <c r="N356" s="565"/>
      <c r="O356" s="565"/>
      <c r="P356" s="218">
        <f t="shared" si="7"/>
        <v>0</v>
      </c>
    </row>
    <row r="357" spans="1:16" ht="14.25" outlineLevel="1" x14ac:dyDescent="0.45">
      <c r="A357" s="216"/>
      <c r="B357" s="206"/>
      <c r="C357" s="207"/>
      <c r="D357" s="208"/>
      <c r="E357" s="208"/>
      <c r="F357" s="208" t="s">
        <v>428</v>
      </c>
      <c r="G357" s="208"/>
      <c r="H357" s="231"/>
      <c r="I357" s="565"/>
      <c r="J357" s="209"/>
      <c r="K357" s="565"/>
      <c r="L357" s="209"/>
      <c r="M357" s="565">
        <f t="shared" si="8"/>
        <v>0</v>
      </c>
      <c r="N357" s="565"/>
      <c r="O357" s="565"/>
      <c r="P357" s="218">
        <f t="shared" si="7"/>
        <v>0</v>
      </c>
    </row>
    <row r="358" spans="1:16" ht="14.25" outlineLevel="1" x14ac:dyDescent="0.45">
      <c r="A358" s="216"/>
      <c r="B358" s="206"/>
      <c r="C358" s="207"/>
      <c r="D358" s="208"/>
      <c r="E358" s="208"/>
      <c r="F358" s="208" t="s">
        <v>428</v>
      </c>
      <c r="G358" s="208"/>
      <c r="H358" s="231"/>
      <c r="I358" s="565"/>
      <c r="J358" s="209"/>
      <c r="K358" s="565"/>
      <c r="L358" s="209"/>
      <c r="M358" s="565">
        <f t="shared" si="8"/>
        <v>0</v>
      </c>
      <c r="N358" s="565"/>
      <c r="O358" s="565"/>
      <c r="P358" s="218">
        <f t="shared" si="7"/>
        <v>0</v>
      </c>
    </row>
    <row r="359" spans="1:16" ht="14.25" outlineLevel="1" x14ac:dyDescent="0.45">
      <c r="A359" s="216"/>
      <c r="B359" s="206"/>
      <c r="C359" s="207"/>
      <c r="D359" s="208"/>
      <c r="E359" s="208"/>
      <c r="F359" s="208" t="s">
        <v>428</v>
      </c>
      <c r="G359" s="208"/>
      <c r="H359" s="231"/>
      <c r="I359" s="565"/>
      <c r="J359" s="209"/>
      <c r="K359" s="565"/>
      <c r="L359" s="209"/>
      <c r="M359" s="565">
        <f t="shared" si="8"/>
        <v>0</v>
      </c>
      <c r="N359" s="565"/>
      <c r="O359" s="565"/>
      <c r="P359" s="218">
        <f t="shared" si="7"/>
        <v>0</v>
      </c>
    </row>
    <row r="360" spans="1:16" ht="14.25" outlineLevel="1" x14ac:dyDescent="0.45">
      <c r="A360" s="216"/>
      <c r="B360" s="206"/>
      <c r="C360" s="207"/>
      <c r="D360" s="208"/>
      <c r="E360" s="208"/>
      <c r="F360" s="208" t="s">
        <v>428</v>
      </c>
      <c r="G360" s="208"/>
      <c r="H360" s="231"/>
      <c r="I360" s="565"/>
      <c r="J360" s="209"/>
      <c r="K360" s="565"/>
      <c r="L360" s="209"/>
      <c r="M360" s="565">
        <f t="shared" si="8"/>
        <v>0</v>
      </c>
      <c r="N360" s="565"/>
      <c r="O360" s="565"/>
      <c r="P360" s="218">
        <f t="shared" ref="P360:P423" si="9">SUBTOTAL(9,P358:P359)</f>
        <v>0</v>
      </c>
    </row>
    <row r="361" spans="1:16" ht="14.25" outlineLevel="1" x14ac:dyDescent="0.45">
      <c r="A361" s="216"/>
      <c r="B361" s="206"/>
      <c r="C361" s="207"/>
      <c r="D361" s="208"/>
      <c r="E361" s="208"/>
      <c r="F361" s="208" t="s">
        <v>428</v>
      </c>
      <c r="G361" s="208"/>
      <c r="H361" s="231"/>
      <c r="I361" s="565"/>
      <c r="J361" s="209"/>
      <c r="K361" s="565"/>
      <c r="L361" s="209"/>
      <c r="M361" s="565">
        <f t="shared" si="8"/>
        <v>0</v>
      </c>
      <c r="N361" s="565"/>
      <c r="O361" s="565"/>
      <c r="P361" s="218">
        <f t="shared" si="9"/>
        <v>0</v>
      </c>
    </row>
    <row r="362" spans="1:16" ht="14.25" outlineLevel="1" x14ac:dyDescent="0.45">
      <c r="A362" s="216"/>
      <c r="B362" s="206"/>
      <c r="C362" s="207"/>
      <c r="D362" s="208"/>
      <c r="E362" s="208"/>
      <c r="F362" s="208" t="s">
        <v>428</v>
      </c>
      <c r="G362" s="208"/>
      <c r="H362" s="231"/>
      <c r="I362" s="565"/>
      <c r="J362" s="209"/>
      <c r="K362" s="565"/>
      <c r="L362" s="209"/>
      <c r="M362" s="565">
        <f t="shared" ref="M362:M425" si="10">I362*H362</f>
        <v>0</v>
      </c>
      <c r="N362" s="565"/>
      <c r="O362" s="565"/>
      <c r="P362" s="218">
        <f t="shared" si="9"/>
        <v>0</v>
      </c>
    </row>
    <row r="363" spans="1:16" ht="14.25" outlineLevel="1" x14ac:dyDescent="0.45">
      <c r="A363" s="216"/>
      <c r="B363" s="206"/>
      <c r="C363" s="207"/>
      <c r="D363" s="208"/>
      <c r="E363" s="208"/>
      <c r="F363" s="208" t="s">
        <v>428</v>
      </c>
      <c r="G363" s="208"/>
      <c r="H363" s="231"/>
      <c r="I363" s="565"/>
      <c r="J363" s="209"/>
      <c r="K363" s="565"/>
      <c r="L363" s="209"/>
      <c r="M363" s="565">
        <f t="shared" si="10"/>
        <v>0</v>
      </c>
      <c r="N363" s="565"/>
      <c r="O363" s="565"/>
      <c r="P363" s="218">
        <f t="shared" si="9"/>
        <v>0</v>
      </c>
    </row>
    <row r="364" spans="1:16" ht="14.25" outlineLevel="1" x14ac:dyDescent="0.45">
      <c r="A364" s="216"/>
      <c r="B364" s="206"/>
      <c r="C364" s="207"/>
      <c r="D364" s="208"/>
      <c r="E364" s="208"/>
      <c r="F364" s="208" t="s">
        <v>428</v>
      </c>
      <c r="G364" s="208"/>
      <c r="H364" s="231"/>
      <c r="I364" s="565"/>
      <c r="J364" s="209"/>
      <c r="K364" s="565"/>
      <c r="L364" s="209"/>
      <c r="M364" s="565">
        <f t="shared" si="10"/>
        <v>0</v>
      </c>
      <c r="N364" s="565"/>
      <c r="O364" s="565"/>
      <c r="P364" s="218">
        <f t="shared" si="9"/>
        <v>0</v>
      </c>
    </row>
    <row r="365" spans="1:16" ht="14.25" outlineLevel="1" x14ac:dyDescent="0.45">
      <c r="A365" s="216"/>
      <c r="B365" s="206"/>
      <c r="C365" s="207"/>
      <c r="D365" s="208"/>
      <c r="E365" s="208"/>
      <c r="F365" s="208" t="s">
        <v>428</v>
      </c>
      <c r="G365" s="208"/>
      <c r="H365" s="231"/>
      <c r="I365" s="565"/>
      <c r="J365" s="209"/>
      <c r="K365" s="565"/>
      <c r="L365" s="209"/>
      <c r="M365" s="565">
        <f t="shared" si="10"/>
        <v>0</v>
      </c>
      <c r="N365" s="565"/>
      <c r="O365" s="565"/>
      <c r="P365" s="218">
        <f t="shared" si="9"/>
        <v>0</v>
      </c>
    </row>
    <row r="366" spans="1:16" ht="14.25" outlineLevel="1" x14ac:dyDescent="0.45">
      <c r="A366" s="216"/>
      <c r="B366" s="206"/>
      <c r="C366" s="207"/>
      <c r="D366" s="208"/>
      <c r="E366" s="208"/>
      <c r="F366" s="208" t="s">
        <v>428</v>
      </c>
      <c r="G366" s="208"/>
      <c r="H366" s="231"/>
      <c r="I366" s="565"/>
      <c r="J366" s="209"/>
      <c r="K366" s="565"/>
      <c r="L366" s="209"/>
      <c r="M366" s="565">
        <f t="shared" si="10"/>
        <v>0</v>
      </c>
      <c r="N366" s="565"/>
      <c r="O366" s="565"/>
      <c r="P366" s="218">
        <f t="shared" si="9"/>
        <v>0</v>
      </c>
    </row>
    <row r="367" spans="1:16" ht="14.25" outlineLevel="1" x14ac:dyDescent="0.45">
      <c r="A367" s="216"/>
      <c r="B367" s="206"/>
      <c r="C367" s="207"/>
      <c r="D367" s="208"/>
      <c r="E367" s="208"/>
      <c r="F367" s="208" t="s">
        <v>428</v>
      </c>
      <c r="G367" s="208"/>
      <c r="H367" s="231"/>
      <c r="I367" s="565"/>
      <c r="J367" s="209"/>
      <c r="K367" s="565"/>
      <c r="L367" s="209"/>
      <c r="M367" s="565">
        <f t="shared" si="10"/>
        <v>0</v>
      </c>
      <c r="N367" s="565"/>
      <c r="O367" s="565"/>
      <c r="P367" s="218">
        <f t="shared" si="9"/>
        <v>0</v>
      </c>
    </row>
    <row r="368" spans="1:16" ht="14.25" outlineLevel="1" x14ac:dyDescent="0.45">
      <c r="A368" s="216"/>
      <c r="B368" s="206"/>
      <c r="C368" s="207"/>
      <c r="D368" s="208"/>
      <c r="E368" s="208"/>
      <c r="F368" s="208" t="s">
        <v>428</v>
      </c>
      <c r="G368" s="208"/>
      <c r="H368" s="231"/>
      <c r="I368" s="565"/>
      <c r="J368" s="209"/>
      <c r="K368" s="565"/>
      <c r="L368" s="209"/>
      <c r="M368" s="565">
        <f t="shared" si="10"/>
        <v>0</v>
      </c>
      <c r="N368" s="565"/>
      <c r="O368" s="565"/>
      <c r="P368" s="218">
        <f t="shared" si="9"/>
        <v>0</v>
      </c>
    </row>
    <row r="369" spans="1:16" ht="14.25" outlineLevel="1" x14ac:dyDescent="0.45">
      <c r="A369" s="216"/>
      <c r="B369" s="206"/>
      <c r="C369" s="207"/>
      <c r="D369" s="208"/>
      <c r="E369" s="208"/>
      <c r="F369" s="208" t="s">
        <v>428</v>
      </c>
      <c r="G369" s="208"/>
      <c r="H369" s="231"/>
      <c r="I369" s="565"/>
      <c r="J369" s="209"/>
      <c r="K369" s="565"/>
      <c r="L369" s="209"/>
      <c r="M369" s="565">
        <f t="shared" si="10"/>
        <v>0</v>
      </c>
      <c r="N369" s="565"/>
      <c r="O369" s="565"/>
      <c r="P369" s="218">
        <f t="shared" si="9"/>
        <v>0</v>
      </c>
    </row>
    <row r="370" spans="1:16" ht="14.25" outlineLevel="1" x14ac:dyDescent="0.45">
      <c r="A370" s="216"/>
      <c r="B370" s="206"/>
      <c r="C370" s="207"/>
      <c r="D370" s="208"/>
      <c r="E370" s="208"/>
      <c r="F370" s="208" t="s">
        <v>428</v>
      </c>
      <c r="G370" s="208"/>
      <c r="H370" s="231"/>
      <c r="I370" s="565"/>
      <c r="J370" s="209"/>
      <c r="K370" s="565"/>
      <c r="L370" s="209"/>
      <c r="M370" s="565">
        <f t="shared" si="10"/>
        <v>0</v>
      </c>
      <c r="N370" s="565"/>
      <c r="O370" s="565"/>
      <c r="P370" s="218">
        <f t="shared" si="9"/>
        <v>0</v>
      </c>
    </row>
    <row r="371" spans="1:16" ht="14.25" outlineLevel="1" x14ac:dyDescent="0.45">
      <c r="A371" s="216"/>
      <c r="B371" s="206"/>
      <c r="C371" s="207"/>
      <c r="D371" s="208"/>
      <c r="E371" s="208"/>
      <c r="F371" s="208" t="s">
        <v>428</v>
      </c>
      <c r="G371" s="208"/>
      <c r="H371" s="231"/>
      <c r="I371" s="565"/>
      <c r="J371" s="209"/>
      <c r="K371" s="565"/>
      <c r="L371" s="209"/>
      <c r="M371" s="565">
        <f t="shared" si="10"/>
        <v>0</v>
      </c>
      <c r="N371" s="565"/>
      <c r="O371" s="565"/>
      <c r="P371" s="218">
        <f t="shared" si="9"/>
        <v>0</v>
      </c>
    </row>
    <row r="372" spans="1:16" ht="14.25" outlineLevel="1" x14ac:dyDescent="0.45">
      <c r="A372" s="216"/>
      <c r="B372" s="206"/>
      <c r="C372" s="207"/>
      <c r="D372" s="208"/>
      <c r="E372" s="208"/>
      <c r="F372" s="208" t="s">
        <v>428</v>
      </c>
      <c r="G372" s="208"/>
      <c r="H372" s="231"/>
      <c r="I372" s="565"/>
      <c r="J372" s="209"/>
      <c r="K372" s="565"/>
      <c r="L372" s="209"/>
      <c r="M372" s="565">
        <f t="shared" si="10"/>
        <v>0</v>
      </c>
      <c r="N372" s="565"/>
      <c r="O372" s="565"/>
      <c r="P372" s="218">
        <f t="shared" si="9"/>
        <v>0</v>
      </c>
    </row>
    <row r="373" spans="1:16" ht="14.25" outlineLevel="1" x14ac:dyDescent="0.45">
      <c r="A373" s="216"/>
      <c r="B373" s="206"/>
      <c r="C373" s="207"/>
      <c r="D373" s="208"/>
      <c r="E373" s="208"/>
      <c r="F373" s="208" t="s">
        <v>428</v>
      </c>
      <c r="G373" s="208"/>
      <c r="H373" s="231"/>
      <c r="I373" s="565"/>
      <c r="J373" s="209"/>
      <c r="K373" s="565"/>
      <c r="L373" s="209"/>
      <c r="M373" s="565">
        <f t="shared" si="10"/>
        <v>0</v>
      </c>
      <c r="N373" s="565"/>
      <c r="O373" s="565"/>
      <c r="P373" s="218">
        <f t="shared" si="9"/>
        <v>0</v>
      </c>
    </row>
    <row r="374" spans="1:16" ht="14.25" outlineLevel="1" x14ac:dyDescent="0.45">
      <c r="A374" s="216"/>
      <c r="B374" s="206"/>
      <c r="C374" s="207"/>
      <c r="D374" s="208"/>
      <c r="E374" s="208"/>
      <c r="F374" s="208" t="s">
        <v>428</v>
      </c>
      <c r="G374" s="208"/>
      <c r="H374" s="231"/>
      <c r="I374" s="565"/>
      <c r="J374" s="209"/>
      <c r="K374" s="565"/>
      <c r="L374" s="209"/>
      <c r="M374" s="565">
        <f t="shared" si="10"/>
        <v>0</v>
      </c>
      <c r="N374" s="565"/>
      <c r="O374" s="565"/>
      <c r="P374" s="218">
        <f t="shared" si="9"/>
        <v>0</v>
      </c>
    </row>
    <row r="375" spans="1:16" ht="14.25" outlineLevel="1" x14ac:dyDescent="0.45">
      <c r="A375" s="216"/>
      <c r="B375" s="206"/>
      <c r="C375" s="207"/>
      <c r="D375" s="208"/>
      <c r="E375" s="208"/>
      <c r="F375" s="208" t="s">
        <v>428</v>
      </c>
      <c r="G375" s="208"/>
      <c r="H375" s="231"/>
      <c r="I375" s="565"/>
      <c r="J375" s="209"/>
      <c r="K375" s="565"/>
      <c r="L375" s="209"/>
      <c r="M375" s="565">
        <f t="shared" si="10"/>
        <v>0</v>
      </c>
      <c r="N375" s="565"/>
      <c r="O375" s="565"/>
      <c r="P375" s="218">
        <f t="shared" si="9"/>
        <v>0</v>
      </c>
    </row>
    <row r="376" spans="1:16" ht="14.25" outlineLevel="1" x14ac:dyDescent="0.45">
      <c r="A376" s="216"/>
      <c r="B376" s="206"/>
      <c r="C376" s="207"/>
      <c r="D376" s="208"/>
      <c r="E376" s="208"/>
      <c r="F376" s="208" t="s">
        <v>428</v>
      </c>
      <c r="G376" s="208"/>
      <c r="H376" s="231"/>
      <c r="I376" s="565"/>
      <c r="J376" s="209"/>
      <c r="K376" s="565"/>
      <c r="L376" s="209"/>
      <c r="M376" s="565">
        <f t="shared" si="10"/>
        <v>0</v>
      </c>
      <c r="N376" s="565"/>
      <c r="O376" s="565"/>
      <c r="P376" s="218">
        <f t="shared" si="9"/>
        <v>0</v>
      </c>
    </row>
    <row r="377" spans="1:16" ht="14.25" outlineLevel="1" x14ac:dyDescent="0.45">
      <c r="A377" s="216"/>
      <c r="B377" s="206"/>
      <c r="C377" s="207"/>
      <c r="D377" s="208"/>
      <c r="E377" s="208"/>
      <c r="F377" s="208" t="s">
        <v>428</v>
      </c>
      <c r="G377" s="208"/>
      <c r="H377" s="231"/>
      <c r="I377" s="565"/>
      <c r="J377" s="209"/>
      <c r="K377" s="565"/>
      <c r="L377" s="209"/>
      <c r="M377" s="565">
        <f t="shared" si="10"/>
        <v>0</v>
      </c>
      <c r="N377" s="565"/>
      <c r="O377" s="565"/>
      <c r="P377" s="218">
        <f t="shared" si="9"/>
        <v>0</v>
      </c>
    </row>
    <row r="378" spans="1:16" ht="14.25" outlineLevel="1" x14ac:dyDescent="0.45">
      <c r="A378" s="216"/>
      <c r="B378" s="206"/>
      <c r="C378" s="207"/>
      <c r="D378" s="208"/>
      <c r="E378" s="208"/>
      <c r="F378" s="208" t="s">
        <v>428</v>
      </c>
      <c r="G378" s="208"/>
      <c r="H378" s="231"/>
      <c r="I378" s="565"/>
      <c r="J378" s="209"/>
      <c r="K378" s="565"/>
      <c r="L378" s="209"/>
      <c r="M378" s="565">
        <f t="shared" si="10"/>
        <v>0</v>
      </c>
      <c r="N378" s="565"/>
      <c r="O378" s="565"/>
      <c r="P378" s="218">
        <f t="shared" si="9"/>
        <v>0</v>
      </c>
    </row>
    <row r="379" spans="1:16" ht="14.25" outlineLevel="1" x14ac:dyDescent="0.45">
      <c r="A379" s="216"/>
      <c r="B379" s="206"/>
      <c r="C379" s="207"/>
      <c r="D379" s="208"/>
      <c r="E379" s="208"/>
      <c r="F379" s="208" t="s">
        <v>428</v>
      </c>
      <c r="G379" s="208"/>
      <c r="H379" s="231"/>
      <c r="I379" s="565"/>
      <c r="J379" s="209"/>
      <c r="K379" s="565"/>
      <c r="L379" s="209"/>
      <c r="M379" s="565">
        <f t="shared" si="10"/>
        <v>0</v>
      </c>
      <c r="N379" s="565"/>
      <c r="O379" s="565"/>
      <c r="P379" s="218">
        <f t="shared" si="9"/>
        <v>0</v>
      </c>
    </row>
    <row r="380" spans="1:16" ht="14.25" outlineLevel="1" x14ac:dyDescent="0.45">
      <c r="A380" s="216"/>
      <c r="B380" s="206"/>
      <c r="C380" s="207"/>
      <c r="D380" s="208"/>
      <c r="E380" s="208"/>
      <c r="F380" s="208" t="s">
        <v>428</v>
      </c>
      <c r="G380" s="208"/>
      <c r="H380" s="231"/>
      <c r="I380" s="565"/>
      <c r="J380" s="209"/>
      <c r="K380" s="565"/>
      <c r="L380" s="209"/>
      <c r="M380" s="565">
        <f t="shared" si="10"/>
        <v>0</v>
      </c>
      <c r="N380" s="565"/>
      <c r="O380" s="565"/>
      <c r="P380" s="218">
        <f t="shared" si="9"/>
        <v>0</v>
      </c>
    </row>
    <row r="381" spans="1:16" ht="14.25" outlineLevel="1" x14ac:dyDescent="0.45">
      <c r="A381" s="216"/>
      <c r="B381" s="206"/>
      <c r="C381" s="207"/>
      <c r="D381" s="208"/>
      <c r="E381" s="208"/>
      <c r="F381" s="208" t="s">
        <v>428</v>
      </c>
      <c r="G381" s="208"/>
      <c r="H381" s="231"/>
      <c r="I381" s="565"/>
      <c r="J381" s="209"/>
      <c r="K381" s="565"/>
      <c r="L381" s="209"/>
      <c r="M381" s="565">
        <f t="shared" si="10"/>
        <v>0</v>
      </c>
      <c r="N381" s="565"/>
      <c r="O381" s="565"/>
      <c r="P381" s="218">
        <f t="shared" si="9"/>
        <v>0</v>
      </c>
    </row>
    <row r="382" spans="1:16" ht="14.25" outlineLevel="1" x14ac:dyDescent="0.45">
      <c r="A382" s="216"/>
      <c r="B382" s="206"/>
      <c r="C382" s="207"/>
      <c r="D382" s="208"/>
      <c r="E382" s="208"/>
      <c r="F382" s="208" t="s">
        <v>428</v>
      </c>
      <c r="G382" s="208"/>
      <c r="H382" s="231"/>
      <c r="I382" s="565"/>
      <c r="J382" s="209"/>
      <c r="K382" s="565"/>
      <c r="L382" s="209"/>
      <c r="M382" s="565">
        <f t="shared" si="10"/>
        <v>0</v>
      </c>
      <c r="N382" s="565"/>
      <c r="O382" s="565"/>
      <c r="P382" s="218">
        <f t="shared" si="9"/>
        <v>0</v>
      </c>
    </row>
    <row r="383" spans="1:16" ht="14.25" outlineLevel="1" x14ac:dyDescent="0.45">
      <c r="A383" s="216"/>
      <c r="B383" s="206"/>
      <c r="C383" s="207"/>
      <c r="D383" s="208"/>
      <c r="E383" s="208"/>
      <c r="F383" s="208" t="s">
        <v>428</v>
      </c>
      <c r="G383" s="208"/>
      <c r="H383" s="231"/>
      <c r="I383" s="565"/>
      <c r="J383" s="209"/>
      <c r="K383" s="565"/>
      <c r="L383" s="209"/>
      <c r="M383" s="565">
        <f t="shared" si="10"/>
        <v>0</v>
      </c>
      <c r="N383" s="565"/>
      <c r="O383" s="565"/>
      <c r="P383" s="218">
        <f t="shared" si="9"/>
        <v>0</v>
      </c>
    </row>
    <row r="384" spans="1:16" ht="14.25" outlineLevel="1" x14ac:dyDescent="0.45">
      <c r="A384" s="216"/>
      <c r="B384" s="206"/>
      <c r="C384" s="207"/>
      <c r="D384" s="208"/>
      <c r="E384" s="208"/>
      <c r="F384" s="208" t="s">
        <v>428</v>
      </c>
      <c r="G384" s="208"/>
      <c r="H384" s="231"/>
      <c r="I384" s="565"/>
      <c r="J384" s="209"/>
      <c r="K384" s="565"/>
      <c r="L384" s="209"/>
      <c r="M384" s="565">
        <f t="shared" si="10"/>
        <v>0</v>
      </c>
      <c r="N384" s="565"/>
      <c r="O384" s="565"/>
      <c r="P384" s="218">
        <f t="shared" si="9"/>
        <v>0</v>
      </c>
    </row>
    <row r="385" spans="1:16" ht="14.25" outlineLevel="1" x14ac:dyDescent="0.45">
      <c r="A385" s="216"/>
      <c r="B385" s="206"/>
      <c r="C385" s="207"/>
      <c r="D385" s="208"/>
      <c r="E385" s="208"/>
      <c r="F385" s="208" t="s">
        <v>428</v>
      </c>
      <c r="G385" s="208"/>
      <c r="H385" s="231"/>
      <c r="I385" s="565"/>
      <c r="J385" s="209"/>
      <c r="K385" s="565"/>
      <c r="L385" s="209"/>
      <c r="M385" s="565">
        <f t="shared" si="10"/>
        <v>0</v>
      </c>
      <c r="N385" s="565"/>
      <c r="O385" s="565"/>
      <c r="P385" s="218">
        <f t="shared" si="9"/>
        <v>0</v>
      </c>
    </row>
    <row r="386" spans="1:16" ht="14.25" outlineLevel="1" x14ac:dyDescent="0.45">
      <c r="A386" s="216"/>
      <c r="B386" s="206"/>
      <c r="C386" s="207"/>
      <c r="D386" s="208"/>
      <c r="E386" s="208"/>
      <c r="F386" s="208" t="s">
        <v>428</v>
      </c>
      <c r="G386" s="208"/>
      <c r="H386" s="231"/>
      <c r="I386" s="565"/>
      <c r="J386" s="209"/>
      <c r="K386" s="565"/>
      <c r="L386" s="209"/>
      <c r="M386" s="565">
        <f t="shared" si="10"/>
        <v>0</v>
      </c>
      <c r="N386" s="565"/>
      <c r="O386" s="565"/>
      <c r="P386" s="218">
        <f t="shared" si="9"/>
        <v>0</v>
      </c>
    </row>
    <row r="387" spans="1:16" ht="14.25" outlineLevel="1" x14ac:dyDescent="0.45">
      <c r="A387" s="216"/>
      <c r="B387" s="206"/>
      <c r="C387" s="207"/>
      <c r="D387" s="208"/>
      <c r="E387" s="208"/>
      <c r="F387" s="208" t="s">
        <v>428</v>
      </c>
      <c r="G387" s="208"/>
      <c r="H387" s="231"/>
      <c r="I387" s="565"/>
      <c r="J387" s="209"/>
      <c r="K387" s="565"/>
      <c r="L387" s="209"/>
      <c r="M387" s="565">
        <f t="shared" si="10"/>
        <v>0</v>
      </c>
      <c r="N387" s="565"/>
      <c r="O387" s="565"/>
      <c r="P387" s="218">
        <f t="shared" si="9"/>
        <v>0</v>
      </c>
    </row>
    <row r="388" spans="1:16" ht="14.25" outlineLevel="1" x14ac:dyDescent="0.45">
      <c r="A388" s="216"/>
      <c r="B388" s="206"/>
      <c r="C388" s="207"/>
      <c r="D388" s="208"/>
      <c r="E388" s="208"/>
      <c r="F388" s="208" t="s">
        <v>428</v>
      </c>
      <c r="G388" s="208"/>
      <c r="H388" s="231"/>
      <c r="I388" s="565"/>
      <c r="J388" s="209"/>
      <c r="K388" s="565"/>
      <c r="L388" s="209"/>
      <c r="M388" s="565">
        <f t="shared" si="10"/>
        <v>0</v>
      </c>
      <c r="N388" s="565"/>
      <c r="O388" s="565"/>
      <c r="P388" s="218">
        <f t="shared" si="9"/>
        <v>0</v>
      </c>
    </row>
    <row r="389" spans="1:16" ht="14.25" outlineLevel="1" x14ac:dyDescent="0.45">
      <c r="A389" s="216"/>
      <c r="B389" s="206"/>
      <c r="C389" s="207"/>
      <c r="D389" s="208"/>
      <c r="E389" s="208"/>
      <c r="F389" s="208" t="s">
        <v>428</v>
      </c>
      <c r="G389" s="208"/>
      <c r="H389" s="231"/>
      <c r="I389" s="565"/>
      <c r="J389" s="209"/>
      <c r="K389" s="565"/>
      <c r="L389" s="209"/>
      <c r="M389" s="565">
        <f t="shared" si="10"/>
        <v>0</v>
      </c>
      <c r="N389" s="565"/>
      <c r="O389" s="565"/>
      <c r="P389" s="218">
        <f t="shared" si="9"/>
        <v>0</v>
      </c>
    </row>
    <row r="390" spans="1:16" ht="14.25" outlineLevel="1" x14ac:dyDescent="0.45">
      <c r="A390" s="216"/>
      <c r="B390" s="206"/>
      <c r="C390" s="207"/>
      <c r="D390" s="208"/>
      <c r="E390" s="208"/>
      <c r="F390" s="208" t="s">
        <v>428</v>
      </c>
      <c r="G390" s="208"/>
      <c r="H390" s="231"/>
      <c r="I390" s="565"/>
      <c r="J390" s="209"/>
      <c r="K390" s="565"/>
      <c r="L390" s="209"/>
      <c r="M390" s="565">
        <f t="shared" si="10"/>
        <v>0</v>
      </c>
      <c r="N390" s="565"/>
      <c r="O390" s="565"/>
      <c r="P390" s="218">
        <f t="shared" si="9"/>
        <v>0</v>
      </c>
    </row>
    <row r="391" spans="1:16" ht="14.25" outlineLevel="1" x14ac:dyDescent="0.45">
      <c r="A391" s="216"/>
      <c r="B391" s="206"/>
      <c r="C391" s="207"/>
      <c r="D391" s="208"/>
      <c r="E391" s="208"/>
      <c r="F391" s="208" t="s">
        <v>428</v>
      </c>
      <c r="G391" s="208"/>
      <c r="H391" s="231"/>
      <c r="I391" s="565"/>
      <c r="J391" s="209"/>
      <c r="K391" s="565"/>
      <c r="L391" s="209"/>
      <c r="M391" s="565">
        <f t="shared" si="10"/>
        <v>0</v>
      </c>
      <c r="N391" s="565"/>
      <c r="O391" s="565"/>
      <c r="P391" s="218">
        <f t="shared" si="9"/>
        <v>0</v>
      </c>
    </row>
    <row r="392" spans="1:16" ht="14.25" outlineLevel="1" x14ac:dyDescent="0.45">
      <c r="A392" s="216"/>
      <c r="B392" s="206"/>
      <c r="C392" s="207"/>
      <c r="D392" s="208"/>
      <c r="E392" s="208"/>
      <c r="F392" s="208" t="s">
        <v>428</v>
      </c>
      <c r="G392" s="208"/>
      <c r="H392" s="231"/>
      <c r="I392" s="565"/>
      <c r="J392" s="209"/>
      <c r="K392" s="565"/>
      <c r="L392" s="209"/>
      <c r="M392" s="565">
        <f t="shared" si="10"/>
        <v>0</v>
      </c>
      <c r="N392" s="565"/>
      <c r="O392" s="565"/>
      <c r="P392" s="218">
        <f t="shared" si="9"/>
        <v>0</v>
      </c>
    </row>
    <row r="393" spans="1:16" ht="14.25" outlineLevel="1" x14ac:dyDescent="0.45">
      <c r="A393" s="216"/>
      <c r="B393" s="206"/>
      <c r="C393" s="207"/>
      <c r="D393" s="208"/>
      <c r="E393" s="208"/>
      <c r="F393" s="208" t="s">
        <v>428</v>
      </c>
      <c r="G393" s="208"/>
      <c r="H393" s="231"/>
      <c r="I393" s="565"/>
      <c r="J393" s="209"/>
      <c r="K393" s="565"/>
      <c r="L393" s="209"/>
      <c r="M393" s="565">
        <f t="shared" si="10"/>
        <v>0</v>
      </c>
      <c r="N393" s="565"/>
      <c r="O393" s="565"/>
      <c r="P393" s="218">
        <f t="shared" si="9"/>
        <v>0</v>
      </c>
    </row>
    <row r="394" spans="1:16" ht="14.25" outlineLevel="1" x14ac:dyDescent="0.45">
      <c r="A394" s="216"/>
      <c r="B394" s="206"/>
      <c r="C394" s="207"/>
      <c r="D394" s="208"/>
      <c r="E394" s="208"/>
      <c r="F394" s="208" t="s">
        <v>428</v>
      </c>
      <c r="G394" s="208"/>
      <c r="H394" s="231"/>
      <c r="I394" s="565"/>
      <c r="J394" s="209"/>
      <c r="K394" s="565"/>
      <c r="L394" s="209"/>
      <c r="M394" s="565">
        <f t="shared" si="10"/>
        <v>0</v>
      </c>
      <c r="N394" s="565"/>
      <c r="O394" s="565"/>
      <c r="P394" s="218">
        <f t="shared" si="9"/>
        <v>0</v>
      </c>
    </row>
    <row r="395" spans="1:16" ht="14.25" outlineLevel="1" x14ac:dyDescent="0.45">
      <c r="A395" s="216"/>
      <c r="B395" s="206"/>
      <c r="C395" s="207"/>
      <c r="D395" s="208"/>
      <c r="E395" s="208"/>
      <c r="F395" s="208" t="s">
        <v>428</v>
      </c>
      <c r="G395" s="208"/>
      <c r="H395" s="231"/>
      <c r="I395" s="565"/>
      <c r="J395" s="209"/>
      <c r="K395" s="565"/>
      <c r="L395" s="209"/>
      <c r="M395" s="565">
        <f t="shared" si="10"/>
        <v>0</v>
      </c>
      <c r="N395" s="565"/>
      <c r="O395" s="565"/>
      <c r="P395" s="218">
        <f t="shared" si="9"/>
        <v>0</v>
      </c>
    </row>
    <row r="396" spans="1:16" ht="14.25" outlineLevel="1" x14ac:dyDescent="0.45">
      <c r="A396" s="216"/>
      <c r="B396" s="206"/>
      <c r="C396" s="207"/>
      <c r="D396" s="208"/>
      <c r="E396" s="208"/>
      <c r="F396" s="208" t="s">
        <v>428</v>
      </c>
      <c r="G396" s="208"/>
      <c r="H396" s="231"/>
      <c r="I396" s="565"/>
      <c r="J396" s="209"/>
      <c r="K396" s="565"/>
      <c r="L396" s="209"/>
      <c r="M396" s="565">
        <f t="shared" si="10"/>
        <v>0</v>
      </c>
      <c r="N396" s="565"/>
      <c r="O396" s="565"/>
      <c r="P396" s="218">
        <f t="shared" si="9"/>
        <v>0</v>
      </c>
    </row>
    <row r="397" spans="1:16" ht="14.25" outlineLevel="1" x14ac:dyDescent="0.45">
      <c r="A397" s="216"/>
      <c r="B397" s="206"/>
      <c r="C397" s="207"/>
      <c r="D397" s="208"/>
      <c r="E397" s="208"/>
      <c r="F397" s="208" t="s">
        <v>428</v>
      </c>
      <c r="G397" s="208"/>
      <c r="H397" s="231"/>
      <c r="I397" s="565"/>
      <c r="J397" s="209"/>
      <c r="K397" s="565"/>
      <c r="L397" s="209"/>
      <c r="M397" s="565">
        <f t="shared" si="10"/>
        <v>0</v>
      </c>
      <c r="N397" s="565"/>
      <c r="O397" s="565"/>
      <c r="P397" s="218">
        <f t="shared" si="9"/>
        <v>0</v>
      </c>
    </row>
    <row r="398" spans="1:16" ht="14.25" outlineLevel="1" x14ac:dyDescent="0.45">
      <c r="A398" s="216"/>
      <c r="B398" s="206"/>
      <c r="C398" s="207"/>
      <c r="D398" s="208"/>
      <c r="E398" s="208"/>
      <c r="F398" s="208" t="s">
        <v>428</v>
      </c>
      <c r="G398" s="208"/>
      <c r="H398" s="231"/>
      <c r="I398" s="565"/>
      <c r="J398" s="209"/>
      <c r="K398" s="565"/>
      <c r="L398" s="209"/>
      <c r="M398" s="565">
        <f t="shared" si="10"/>
        <v>0</v>
      </c>
      <c r="N398" s="565"/>
      <c r="O398" s="565"/>
      <c r="P398" s="218">
        <f t="shared" si="9"/>
        <v>0</v>
      </c>
    </row>
    <row r="399" spans="1:16" ht="14.25" outlineLevel="1" x14ac:dyDescent="0.45">
      <c r="A399" s="216"/>
      <c r="B399" s="206"/>
      <c r="C399" s="207"/>
      <c r="D399" s="208"/>
      <c r="E399" s="208"/>
      <c r="F399" s="208" t="s">
        <v>428</v>
      </c>
      <c r="G399" s="208"/>
      <c r="H399" s="231"/>
      <c r="I399" s="565"/>
      <c r="J399" s="209"/>
      <c r="K399" s="565"/>
      <c r="L399" s="209"/>
      <c r="M399" s="565">
        <f t="shared" si="10"/>
        <v>0</v>
      </c>
      <c r="N399" s="565"/>
      <c r="O399" s="565"/>
      <c r="P399" s="218">
        <f t="shared" si="9"/>
        <v>0</v>
      </c>
    </row>
    <row r="400" spans="1:16" ht="14.25" outlineLevel="1" x14ac:dyDescent="0.45">
      <c r="A400" s="216"/>
      <c r="B400" s="206"/>
      <c r="C400" s="207"/>
      <c r="D400" s="208"/>
      <c r="E400" s="208"/>
      <c r="F400" s="208" t="s">
        <v>428</v>
      </c>
      <c r="G400" s="208"/>
      <c r="H400" s="231"/>
      <c r="I400" s="565"/>
      <c r="J400" s="209"/>
      <c r="K400" s="565"/>
      <c r="L400" s="209"/>
      <c r="M400" s="565">
        <f t="shared" si="10"/>
        <v>0</v>
      </c>
      <c r="N400" s="565"/>
      <c r="O400" s="565"/>
      <c r="P400" s="218">
        <f t="shared" si="9"/>
        <v>0</v>
      </c>
    </row>
    <row r="401" spans="1:16" ht="14.25" outlineLevel="1" x14ac:dyDescent="0.45">
      <c r="A401" s="216"/>
      <c r="B401" s="206"/>
      <c r="C401" s="207"/>
      <c r="D401" s="208"/>
      <c r="E401" s="208"/>
      <c r="F401" s="208" t="s">
        <v>428</v>
      </c>
      <c r="G401" s="208"/>
      <c r="H401" s="231"/>
      <c r="I401" s="565"/>
      <c r="J401" s="209"/>
      <c r="K401" s="565"/>
      <c r="L401" s="209"/>
      <c r="M401" s="565">
        <f t="shared" si="10"/>
        <v>0</v>
      </c>
      <c r="N401" s="565"/>
      <c r="O401" s="565"/>
      <c r="P401" s="218">
        <f t="shared" si="9"/>
        <v>0</v>
      </c>
    </row>
    <row r="402" spans="1:16" ht="14.25" outlineLevel="1" x14ac:dyDescent="0.45">
      <c r="A402" s="216"/>
      <c r="B402" s="206"/>
      <c r="C402" s="207"/>
      <c r="D402" s="208"/>
      <c r="E402" s="208"/>
      <c r="F402" s="208" t="s">
        <v>428</v>
      </c>
      <c r="G402" s="208"/>
      <c r="H402" s="231"/>
      <c r="I402" s="565"/>
      <c r="J402" s="209"/>
      <c r="K402" s="565"/>
      <c r="L402" s="209"/>
      <c r="M402" s="565">
        <f t="shared" si="10"/>
        <v>0</v>
      </c>
      <c r="N402" s="565"/>
      <c r="O402" s="565"/>
      <c r="P402" s="218">
        <f t="shared" si="9"/>
        <v>0</v>
      </c>
    </row>
    <row r="403" spans="1:16" ht="14.25" outlineLevel="1" x14ac:dyDescent="0.45">
      <c r="A403" s="216"/>
      <c r="B403" s="206"/>
      <c r="C403" s="207"/>
      <c r="D403" s="208"/>
      <c r="E403" s="208"/>
      <c r="F403" s="208" t="s">
        <v>428</v>
      </c>
      <c r="G403" s="208"/>
      <c r="H403" s="231"/>
      <c r="I403" s="565"/>
      <c r="J403" s="209"/>
      <c r="K403" s="565"/>
      <c r="L403" s="209"/>
      <c r="M403" s="565">
        <f t="shared" si="10"/>
        <v>0</v>
      </c>
      <c r="N403" s="565"/>
      <c r="O403" s="565"/>
      <c r="P403" s="218">
        <f t="shared" si="9"/>
        <v>0</v>
      </c>
    </row>
    <row r="404" spans="1:16" ht="14.25" outlineLevel="1" x14ac:dyDescent="0.45">
      <c r="A404" s="216"/>
      <c r="B404" s="206"/>
      <c r="C404" s="207"/>
      <c r="D404" s="208"/>
      <c r="E404" s="208"/>
      <c r="F404" s="208" t="s">
        <v>428</v>
      </c>
      <c r="G404" s="208"/>
      <c r="H404" s="231"/>
      <c r="I404" s="565"/>
      <c r="J404" s="209"/>
      <c r="K404" s="565"/>
      <c r="L404" s="209"/>
      <c r="M404" s="565">
        <f t="shared" si="10"/>
        <v>0</v>
      </c>
      <c r="N404" s="565"/>
      <c r="O404" s="565"/>
      <c r="P404" s="218">
        <f t="shared" si="9"/>
        <v>0</v>
      </c>
    </row>
    <row r="405" spans="1:16" ht="14.25" outlineLevel="1" x14ac:dyDescent="0.45">
      <c r="A405" s="216"/>
      <c r="B405" s="206"/>
      <c r="C405" s="207"/>
      <c r="D405" s="208"/>
      <c r="E405" s="208"/>
      <c r="F405" s="208" t="s">
        <v>428</v>
      </c>
      <c r="G405" s="208"/>
      <c r="H405" s="231"/>
      <c r="I405" s="565"/>
      <c r="J405" s="209"/>
      <c r="K405" s="565"/>
      <c r="L405" s="209"/>
      <c r="M405" s="565">
        <f t="shared" si="10"/>
        <v>0</v>
      </c>
      <c r="N405" s="565"/>
      <c r="O405" s="565"/>
      <c r="P405" s="218">
        <f t="shared" si="9"/>
        <v>0</v>
      </c>
    </row>
    <row r="406" spans="1:16" ht="14.25" outlineLevel="1" x14ac:dyDescent="0.45">
      <c r="A406" s="216"/>
      <c r="B406" s="206"/>
      <c r="C406" s="207"/>
      <c r="D406" s="208"/>
      <c r="E406" s="208"/>
      <c r="F406" s="208" t="s">
        <v>428</v>
      </c>
      <c r="G406" s="208"/>
      <c r="H406" s="231"/>
      <c r="I406" s="565"/>
      <c r="J406" s="209"/>
      <c r="K406" s="565"/>
      <c r="L406" s="209"/>
      <c r="M406" s="565">
        <f t="shared" si="10"/>
        <v>0</v>
      </c>
      <c r="N406" s="565"/>
      <c r="O406" s="565"/>
      <c r="P406" s="218">
        <f t="shared" si="9"/>
        <v>0</v>
      </c>
    </row>
    <row r="407" spans="1:16" ht="14.25" outlineLevel="1" x14ac:dyDescent="0.45">
      <c r="A407" s="216"/>
      <c r="B407" s="206"/>
      <c r="C407" s="207"/>
      <c r="D407" s="208"/>
      <c r="E407" s="208"/>
      <c r="F407" s="208" t="s">
        <v>428</v>
      </c>
      <c r="G407" s="208"/>
      <c r="H407" s="231"/>
      <c r="I407" s="565"/>
      <c r="J407" s="209"/>
      <c r="K407" s="565"/>
      <c r="L407" s="209"/>
      <c r="M407" s="565">
        <f t="shared" si="10"/>
        <v>0</v>
      </c>
      <c r="N407" s="565"/>
      <c r="O407" s="565"/>
      <c r="P407" s="218">
        <f t="shared" si="9"/>
        <v>0</v>
      </c>
    </row>
    <row r="408" spans="1:16" ht="14.25" outlineLevel="1" x14ac:dyDescent="0.45">
      <c r="A408" s="216"/>
      <c r="B408" s="206"/>
      <c r="C408" s="207"/>
      <c r="D408" s="208"/>
      <c r="E408" s="208"/>
      <c r="F408" s="208" t="s">
        <v>428</v>
      </c>
      <c r="G408" s="208"/>
      <c r="H408" s="231"/>
      <c r="I408" s="565"/>
      <c r="J408" s="209"/>
      <c r="K408" s="565"/>
      <c r="L408" s="209"/>
      <c r="M408" s="565">
        <f t="shared" si="10"/>
        <v>0</v>
      </c>
      <c r="N408" s="565"/>
      <c r="O408" s="565"/>
      <c r="P408" s="218">
        <f t="shared" si="9"/>
        <v>0</v>
      </c>
    </row>
    <row r="409" spans="1:16" ht="14.25" outlineLevel="1" x14ac:dyDescent="0.45">
      <c r="A409" s="216"/>
      <c r="B409" s="206"/>
      <c r="C409" s="207"/>
      <c r="D409" s="208"/>
      <c r="E409" s="208"/>
      <c r="F409" s="208" t="s">
        <v>428</v>
      </c>
      <c r="G409" s="208"/>
      <c r="H409" s="231"/>
      <c r="I409" s="565"/>
      <c r="J409" s="209"/>
      <c r="K409" s="565"/>
      <c r="L409" s="209"/>
      <c r="M409" s="565">
        <f t="shared" si="10"/>
        <v>0</v>
      </c>
      <c r="N409" s="565"/>
      <c r="O409" s="565"/>
      <c r="P409" s="218">
        <f t="shared" si="9"/>
        <v>0</v>
      </c>
    </row>
    <row r="410" spans="1:16" ht="14.25" outlineLevel="1" x14ac:dyDescent="0.45">
      <c r="A410" s="216"/>
      <c r="B410" s="206"/>
      <c r="C410" s="207"/>
      <c r="D410" s="208"/>
      <c r="E410" s="208"/>
      <c r="F410" s="208" t="s">
        <v>428</v>
      </c>
      <c r="G410" s="208"/>
      <c r="H410" s="231"/>
      <c r="I410" s="565"/>
      <c r="J410" s="209"/>
      <c r="K410" s="565"/>
      <c r="L410" s="209"/>
      <c r="M410" s="565">
        <f t="shared" si="10"/>
        <v>0</v>
      </c>
      <c r="N410" s="565"/>
      <c r="O410" s="565"/>
      <c r="P410" s="218">
        <f t="shared" si="9"/>
        <v>0</v>
      </c>
    </row>
    <row r="411" spans="1:16" ht="14.25" outlineLevel="1" x14ac:dyDescent="0.45">
      <c r="A411" s="216"/>
      <c r="B411" s="206"/>
      <c r="C411" s="207"/>
      <c r="D411" s="208"/>
      <c r="E411" s="208"/>
      <c r="F411" s="208" t="s">
        <v>428</v>
      </c>
      <c r="G411" s="208"/>
      <c r="H411" s="231"/>
      <c r="I411" s="565"/>
      <c r="J411" s="209"/>
      <c r="K411" s="565"/>
      <c r="L411" s="209"/>
      <c r="M411" s="565">
        <f t="shared" si="10"/>
        <v>0</v>
      </c>
      <c r="N411" s="565"/>
      <c r="O411" s="565"/>
      <c r="P411" s="218">
        <f t="shared" si="9"/>
        <v>0</v>
      </c>
    </row>
    <row r="412" spans="1:16" ht="14.25" outlineLevel="1" x14ac:dyDescent="0.45">
      <c r="A412" s="216"/>
      <c r="B412" s="206"/>
      <c r="C412" s="207"/>
      <c r="D412" s="208"/>
      <c r="E412" s="208"/>
      <c r="F412" s="208" t="s">
        <v>428</v>
      </c>
      <c r="G412" s="208"/>
      <c r="H412" s="231"/>
      <c r="I412" s="565"/>
      <c r="J412" s="209"/>
      <c r="K412" s="565"/>
      <c r="L412" s="209"/>
      <c r="M412" s="565">
        <f t="shared" si="10"/>
        <v>0</v>
      </c>
      <c r="N412" s="565"/>
      <c r="O412" s="565"/>
      <c r="P412" s="218">
        <f t="shared" si="9"/>
        <v>0</v>
      </c>
    </row>
    <row r="413" spans="1:16" ht="14.25" outlineLevel="1" x14ac:dyDescent="0.45">
      <c r="A413" s="216"/>
      <c r="B413" s="206"/>
      <c r="C413" s="207"/>
      <c r="D413" s="208"/>
      <c r="E413" s="208"/>
      <c r="F413" s="208" t="s">
        <v>428</v>
      </c>
      <c r="G413" s="208"/>
      <c r="H413" s="231"/>
      <c r="I413" s="565"/>
      <c r="J413" s="209"/>
      <c r="K413" s="565"/>
      <c r="L413" s="209"/>
      <c r="M413" s="565">
        <f t="shared" si="10"/>
        <v>0</v>
      </c>
      <c r="N413" s="565"/>
      <c r="O413" s="565"/>
      <c r="P413" s="218">
        <f t="shared" si="9"/>
        <v>0</v>
      </c>
    </row>
    <row r="414" spans="1:16" ht="14.25" outlineLevel="1" x14ac:dyDescent="0.45">
      <c r="A414" s="216"/>
      <c r="B414" s="206"/>
      <c r="C414" s="207"/>
      <c r="D414" s="208"/>
      <c r="E414" s="208"/>
      <c r="F414" s="208" t="s">
        <v>428</v>
      </c>
      <c r="G414" s="208"/>
      <c r="H414" s="231"/>
      <c r="I414" s="565"/>
      <c r="J414" s="209"/>
      <c r="K414" s="565"/>
      <c r="L414" s="209"/>
      <c r="M414" s="565">
        <f t="shared" si="10"/>
        <v>0</v>
      </c>
      <c r="N414" s="565"/>
      <c r="O414" s="565"/>
      <c r="P414" s="218">
        <f t="shared" si="9"/>
        <v>0</v>
      </c>
    </row>
    <row r="415" spans="1:16" ht="14.25" outlineLevel="1" x14ac:dyDescent="0.45">
      <c r="A415" s="216"/>
      <c r="B415" s="206"/>
      <c r="C415" s="207"/>
      <c r="D415" s="208"/>
      <c r="E415" s="208"/>
      <c r="F415" s="208" t="s">
        <v>428</v>
      </c>
      <c r="G415" s="208"/>
      <c r="H415" s="231"/>
      <c r="I415" s="565"/>
      <c r="J415" s="209"/>
      <c r="K415" s="565"/>
      <c r="L415" s="209"/>
      <c r="M415" s="565">
        <f t="shared" si="10"/>
        <v>0</v>
      </c>
      <c r="N415" s="565"/>
      <c r="O415" s="565"/>
      <c r="P415" s="218">
        <f t="shared" si="9"/>
        <v>0</v>
      </c>
    </row>
    <row r="416" spans="1:16" ht="14.25" outlineLevel="1" x14ac:dyDescent="0.45">
      <c r="A416" s="216"/>
      <c r="B416" s="206"/>
      <c r="C416" s="207"/>
      <c r="D416" s="208"/>
      <c r="E416" s="208"/>
      <c r="F416" s="208" t="s">
        <v>428</v>
      </c>
      <c r="G416" s="208"/>
      <c r="H416" s="231"/>
      <c r="I416" s="565"/>
      <c r="J416" s="209"/>
      <c r="K416" s="565"/>
      <c r="L416" s="209"/>
      <c r="M416" s="565">
        <f t="shared" si="10"/>
        <v>0</v>
      </c>
      <c r="N416" s="565"/>
      <c r="O416" s="565"/>
      <c r="P416" s="218">
        <f t="shared" si="9"/>
        <v>0</v>
      </c>
    </row>
    <row r="417" spans="1:16" ht="14.25" outlineLevel="1" x14ac:dyDescent="0.45">
      <c r="A417" s="216"/>
      <c r="B417" s="206"/>
      <c r="C417" s="207"/>
      <c r="D417" s="208"/>
      <c r="E417" s="208"/>
      <c r="F417" s="208" t="s">
        <v>428</v>
      </c>
      <c r="G417" s="208"/>
      <c r="H417" s="231"/>
      <c r="I417" s="565"/>
      <c r="J417" s="209"/>
      <c r="K417" s="565"/>
      <c r="L417" s="209"/>
      <c r="M417" s="565">
        <f t="shared" si="10"/>
        <v>0</v>
      </c>
      <c r="N417" s="565"/>
      <c r="O417" s="565"/>
      <c r="P417" s="218">
        <f t="shared" si="9"/>
        <v>0</v>
      </c>
    </row>
    <row r="418" spans="1:16" ht="14.25" outlineLevel="1" x14ac:dyDescent="0.45">
      <c r="A418" s="216"/>
      <c r="B418" s="206"/>
      <c r="C418" s="207"/>
      <c r="D418" s="208"/>
      <c r="E418" s="208"/>
      <c r="F418" s="208" t="s">
        <v>428</v>
      </c>
      <c r="G418" s="208"/>
      <c r="H418" s="231"/>
      <c r="I418" s="565"/>
      <c r="J418" s="209"/>
      <c r="K418" s="565"/>
      <c r="L418" s="209"/>
      <c r="M418" s="565">
        <f t="shared" si="10"/>
        <v>0</v>
      </c>
      <c r="N418" s="565"/>
      <c r="O418" s="565"/>
      <c r="P418" s="218">
        <f t="shared" si="9"/>
        <v>0</v>
      </c>
    </row>
    <row r="419" spans="1:16" ht="14.25" outlineLevel="1" x14ac:dyDescent="0.45">
      <c r="A419" s="216"/>
      <c r="B419" s="206"/>
      <c r="C419" s="207"/>
      <c r="D419" s="208"/>
      <c r="E419" s="208"/>
      <c r="F419" s="208" t="s">
        <v>428</v>
      </c>
      <c r="G419" s="208"/>
      <c r="H419" s="231"/>
      <c r="I419" s="565"/>
      <c r="J419" s="209"/>
      <c r="K419" s="565"/>
      <c r="L419" s="209"/>
      <c r="M419" s="565">
        <f t="shared" si="10"/>
        <v>0</v>
      </c>
      <c r="N419" s="565"/>
      <c r="O419" s="565"/>
      <c r="P419" s="218">
        <f t="shared" si="9"/>
        <v>0</v>
      </c>
    </row>
    <row r="420" spans="1:16" ht="14.25" outlineLevel="1" x14ac:dyDescent="0.45">
      <c r="A420" s="216"/>
      <c r="B420" s="206"/>
      <c r="C420" s="207"/>
      <c r="D420" s="208"/>
      <c r="E420" s="208"/>
      <c r="F420" s="208" t="s">
        <v>428</v>
      </c>
      <c r="G420" s="208"/>
      <c r="H420" s="231"/>
      <c r="I420" s="565"/>
      <c r="J420" s="209"/>
      <c r="K420" s="565"/>
      <c r="L420" s="209"/>
      <c r="M420" s="565">
        <f t="shared" si="10"/>
        <v>0</v>
      </c>
      <c r="N420" s="565"/>
      <c r="O420" s="565"/>
      <c r="P420" s="218">
        <f t="shared" si="9"/>
        <v>0</v>
      </c>
    </row>
    <row r="421" spans="1:16" ht="14.25" outlineLevel="1" x14ac:dyDescent="0.45">
      <c r="A421" s="216"/>
      <c r="B421" s="206"/>
      <c r="C421" s="207"/>
      <c r="D421" s="208"/>
      <c r="E421" s="208"/>
      <c r="F421" s="208" t="s">
        <v>428</v>
      </c>
      <c r="G421" s="208"/>
      <c r="H421" s="231"/>
      <c r="I421" s="565"/>
      <c r="J421" s="209"/>
      <c r="K421" s="565"/>
      <c r="L421" s="209"/>
      <c r="M421" s="565">
        <f t="shared" si="10"/>
        <v>0</v>
      </c>
      <c r="N421" s="565"/>
      <c r="O421" s="565"/>
      <c r="P421" s="218">
        <f t="shared" si="9"/>
        <v>0</v>
      </c>
    </row>
    <row r="422" spans="1:16" ht="14.25" outlineLevel="1" x14ac:dyDescent="0.45">
      <c r="A422" s="216"/>
      <c r="B422" s="206"/>
      <c r="C422" s="207"/>
      <c r="D422" s="208"/>
      <c r="E422" s="208"/>
      <c r="F422" s="208" t="s">
        <v>428</v>
      </c>
      <c r="G422" s="208"/>
      <c r="H422" s="231"/>
      <c r="I422" s="565"/>
      <c r="J422" s="209"/>
      <c r="K422" s="565"/>
      <c r="L422" s="209"/>
      <c r="M422" s="565">
        <f t="shared" si="10"/>
        <v>0</v>
      </c>
      <c r="N422" s="565"/>
      <c r="O422" s="565"/>
      <c r="P422" s="218">
        <f t="shared" si="9"/>
        <v>0</v>
      </c>
    </row>
    <row r="423" spans="1:16" ht="14.25" outlineLevel="1" x14ac:dyDescent="0.45">
      <c r="A423" s="216"/>
      <c r="B423" s="206"/>
      <c r="C423" s="207"/>
      <c r="D423" s="208"/>
      <c r="E423" s="208"/>
      <c r="F423" s="208" t="s">
        <v>428</v>
      </c>
      <c r="G423" s="208"/>
      <c r="H423" s="231"/>
      <c r="I423" s="565"/>
      <c r="J423" s="209"/>
      <c r="K423" s="565"/>
      <c r="L423" s="209"/>
      <c r="M423" s="565">
        <f t="shared" si="10"/>
        <v>0</v>
      </c>
      <c r="N423" s="565"/>
      <c r="O423" s="565"/>
      <c r="P423" s="218">
        <f t="shared" si="9"/>
        <v>0</v>
      </c>
    </row>
    <row r="424" spans="1:16" ht="14.25" outlineLevel="1" x14ac:dyDescent="0.45">
      <c r="A424" s="216"/>
      <c r="B424" s="206"/>
      <c r="C424" s="207"/>
      <c r="D424" s="208"/>
      <c r="E424" s="208"/>
      <c r="F424" s="208" t="s">
        <v>428</v>
      </c>
      <c r="G424" s="208"/>
      <c r="H424" s="231"/>
      <c r="I424" s="565"/>
      <c r="J424" s="209"/>
      <c r="K424" s="565"/>
      <c r="L424" s="209"/>
      <c r="M424" s="565">
        <f t="shared" si="10"/>
        <v>0</v>
      </c>
      <c r="N424" s="565"/>
      <c r="O424" s="565"/>
      <c r="P424" s="218">
        <f t="shared" ref="P424:P487" si="11">SUBTOTAL(9,P422:P423)</f>
        <v>0</v>
      </c>
    </row>
    <row r="425" spans="1:16" ht="14.25" outlineLevel="1" x14ac:dyDescent="0.45">
      <c r="A425" s="216"/>
      <c r="B425" s="206"/>
      <c r="C425" s="207"/>
      <c r="D425" s="208"/>
      <c r="E425" s="208"/>
      <c r="F425" s="208" t="s">
        <v>428</v>
      </c>
      <c r="G425" s="208"/>
      <c r="H425" s="231"/>
      <c r="I425" s="565"/>
      <c r="J425" s="209"/>
      <c r="K425" s="565"/>
      <c r="L425" s="209"/>
      <c r="M425" s="565">
        <f t="shared" si="10"/>
        <v>0</v>
      </c>
      <c r="N425" s="565"/>
      <c r="O425" s="565"/>
      <c r="P425" s="218">
        <f t="shared" si="11"/>
        <v>0</v>
      </c>
    </row>
    <row r="426" spans="1:16" ht="14.25" outlineLevel="1" x14ac:dyDescent="0.45">
      <c r="A426" s="216"/>
      <c r="B426" s="206"/>
      <c r="C426" s="207"/>
      <c r="D426" s="208"/>
      <c r="E426" s="208"/>
      <c r="F426" s="208" t="s">
        <v>428</v>
      </c>
      <c r="G426" s="208"/>
      <c r="H426" s="231"/>
      <c r="I426" s="565"/>
      <c r="J426" s="209"/>
      <c r="K426" s="565"/>
      <c r="L426" s="209"/>
      <c r="M426" s="565">
        <f t="shared" ref="M426:M489" si="12">I426*H426</f>
        <v>0</v>
      </c>
      <c r="N426" s="565"/>
      <c r="O426" s="565"/>
      <c r="P426" s="218">
        <f t="shared" si="11"/>
        <v>0</v>
      </c>
    </row>
    <row r="427" spans="1:16" ht="14.25" outlineLevel="1" x14ac:dyDescent="0.45">
      <c r="A427" s="216"/>
      <c r="B427" s="206"/>
      <c r="C427" s="207"/>
      <c r="D427" s="208"/>
      <c r="E427" s="208"/>
      <c r="F427" s="208" t="s">
        <v>428</v>
      </c>
      <c r="G427" s="208"/>
      <c r="H427" s="231"/>
      <c r="I427" s="565"/>
      <c r="J427" s="209"/>
      <c r="K427" s="565"/>
      <c r="L427" s="209"/>
      <c r="M427" s="565">
        <f t="shared" si="12"/>
        <v>0</v>
      </c>
      <c r="N427" s="565"/>
      <c r="O427" s="565"/>
      <c r="P427" s="218">
        <f t="shared" si="11"/>
        <v>0</v>
      </c>
    </row>
    <row r="428" spans="1:16" ht="14.25" outlineLevel="1" x14ac:dyDescent="0.45">
      <c r="A428" s="216"/>
      <c r="B428" s="206"/>
      <c r="C428" s="207"/>
      <c r="D428" s="208"/>
      <c r="E428" s="208"/>
      <c r="F428" s="208" t="s">
        <v>428</v>
      </c>
      <c r="G428" s="208"/>
      <c r="H428" s="231"/>
      <c r="I428" s="565"/>
      <c r="J428" s="209"/>
      <c r="K428" s="565"/>
      <c r="L428" s="209"/>
      <c r="M428" s="565">
        <f t="shared" si="12"/>
        <v>0</v>
      </c>
      <c r="N428" s="565"/>
      <c r="O428" s="565"/>
      <c r="P428" s="218">
        <f t="shared" si="11"/>
        <v>0</v>
      </c>
    </row>
    <row r="429" spans="1:16" ht="14.25" outlineLevel="1" x14ac:dyDescent="0.45">
      <c r="A429" s="216"/>
      <c r="B429" s="206"/>
      <c r="C429" s="207"/>
      <c r="D429" s="208"/>
      <c r="E429" s="208"/>
      <c r="F429" s="208" t="s">
        <v>428</v>
      </c>
      <c r="G429" s="208"/>
      <c r="H429" s="231"/>
      <c r="I429" s="565"/>
      <c r="J429" s="209"/>
      <c r="K429" s="565"/>
      <c r="L429" s="209"/>
      <c r="M429" s="565">
        <f t="shared" si="12"/>
        <v>0</v>
      </c>
      <c r="N429" s="565"/>
      <c r="O429" s="565"/>
      <c r="P429" s="218">
        <f t="shared" si="11"/>
        <v>0</v>
      </c>
    </row>
    <row r="430" spans="1:16" ht="14.25" outlineLevel="1" x14ac:dyDescent="0.45">
      <c r="A430" s="216"/>
      <c r="B430" s="206"/>
      <c r="C430" s="207"/>
      <c r="D430" s="208"/>
      <c r="E430" s="208"/>
      <c r="F430" s="208" t="s">
        <v>428</v>
      </c>
      <c r="G430" s="208"/>
      <c r="H430" s="231"/>
      <c r="I430" s="565"/>
      <c r="J430" s="209"/>
      <c r="K430" s="565"/>
      <c r="L430" s="209"/>
      <c r="M430" s="565">
        <f t="shared" si="12"/>
        <v>0</v>
      </c>
      <c r="N430" s="565"/>
      <c r="O430" s="565"/>
      <c r="P430" s="218">
        <f t="shared" si="11"/>
        <v>0</v>
      </c>
    </row>
    <row r="431" spans="1:16" ht="14.25" outlineLevel="1" x14ac:dyDescent="0.45">
      <c r="A431" s="216"/>
      <c r="B431" s="206"/>
      <c r="C431" s="207"/>
      <c r="D431" s="208"/>
      <c r="E431" s="208"/>
      <c r="F431" s="208" t="s">
        <v>428</v>
      </c>
      <c r="G431" s="208"/>
      <c r="H431" s="231"/>
      <c r="I431" s="565"/>
      <c r="J431" s="209"/>
      <c r="K431" s="565"/>
      <c r="L431" s="209"/>
      <c r="M431" s="565">
        <f t="shared" si="12"/>
        <v>0</v>
      </c>
      <c r="N431" s="565"/>
      <c r="O431" s="565"/>
      <c r="P431" s="218">
        <f t="shared" si="11"/>
        <v>0</v>
      </c>
    </row>
    <row r="432" spans="1:16" ht="14.25" outlineLevel="1" x14ac:dyDescent="0.45">
      <c r="A432" s="216"/>
      <c r="B432" s="206"/>
      <c r="C432" s="207"/>
      <c r="D432" s="208"/>
      <c r="E432" s="208"/>
      <c r="F432" s="208" t="s">
        <v>428</v>
      </c>
      <c r="G432" s="208"/>
      <c r="H432" s="231"/>
      <c r="I432" s="565"/>
      <c r="J432" s="209"/>
      <c r="K432" s="565"/>
      <c r="L432" s="209"/>
      <c r="M432" s="565">
        <f t="shared" si="12"/>
        <v>0</v>
      </c>
      <c r="N432" s="565"/>
      <c r="O432" s="565"/>
      <c r="P432" s="218">
        <f t="shared" si="11"/>
        <v>0</v>
      </c>
    </row>
    <row r="433" spans="1:16" ht="14.25" outlineLevel="1" x14ac:dyDescent="0.45">
      <c r="A433" s="216"/>
      <c r="B433" s="206"/>
      <c r="C433" s="207"/>
      <c r="D433" s="208"/>
      <c r="E433" s="208"/>
      <c r="F433" s="208" t="s">
        <v>428</v>
      </c>
      <c r="G433" s="208"/>
      <c r="H433" s="231"/>
      <c r="I433" s="565"/>
      <c r="J433" s="209"/>
      <c r="K433" s="565"/>
      <c r="L433" s="209"/>
      <c r="M433" s="565">
        <f t="shared" si="12"/>
        <v>0</v>
      </c>
      <c r="N433" s="565"/>
      <c r="O433" s="565"/>
      <c r="P433" s="218">
        <f t="shared" si="11"/>
        <v>0</v>
      </c>
    </row>
    <row r="434" spans="1:16" ht="14.25" outlineLevel="1" x14ac:dyDescent="0.45">
      <c r="A434" s="216"/>
      <c r="B434" s="206"/>
      <c r="C434" s="207"/>
      <c r="D434" s="208"/>
      <c r="E434" s="208"/>
      <c r="F434" s="208" t="s">
        <v>428</v>
      </c>
      <c r="G434" s="208"/>
      <c r="H434" s="231"/>
      <c r="I434" s="565"/>
      <c r="J434" s="209"/>
      <c r="K434" s="565"/>
      <c r="L434" s="209"/>
      <c r="M434" s="565">
        <f t="shared" si="12"/>
        <v>0</v>
      </c>
      <c r="N434" s="565"/>
      <c r="O434" s="565"/>
      <c r="P434" s="218">
        <f t="shared" si="11"/>
        <v>0</v>
      </c>
    </row>
    <row r="435" spans="1:16" ht="14.25" outlineLevel="1" x14ac:dyDescent="0.45">
      <c r="A435" s="216"/>
      <c r="B435" s="206"/>
      <c r="C435" s="207"/>
      <c r="D435" s="208"/>
      <c r="E435" s="208"/>
      <c r="F435" s="208" t="s">
        <v>428</v>
      </c>
      <c r="G435" s="208"/>
      <c r="H435" s="231"/>
      <c r="I435" s="565"/>
      <c r="J435" s="209"/>
      <c r="K435" s="565"/>
      <c r="L435" s="209"/>
      <c r="M435" s="565">
        <f t="shared" si="12"/>
        <v>0</v>
      </c>
      <c r="N435" s="565"/>
      <c r="O435" s="565"/>
      <c r="P435" s="218">
        <f t="shared" si="11"/>
        <v>0</v>
      </c>
    </row>
    <row r="436" spans="1:16" ht="14.25" outlineLevel="1" x14ac:dyDescent="0.45">
      <c r="A436" s="216"/>
      <c r="B436" s="206"/>
      <c r="C436" s="207"/>
      <c r="D436" s="208"/>
      <c r="E436" s="208"/>
      <c r="F436" s="208" t="s">
        <v>428</v>
      </c>
      <c r="G436" s="208"/>
      <c r="H436" s="231"/>
      <c r="I436" s="565"/>
      <c r="J436" s="209"/>
      <c r="K436" s="565"/>
      <c r="L436" s="209"/>
      <c r="M436" s="565">
        <f t="shared" si="12"/>
        <v>0</v>
      </c>
      <c r="N436" s="565"/>
      <c r="O436" s="565"/>
      <c r="P436" s="218">
        <f t="shared" si="11"/>
        <v>0</v>
      </c>
    </row>
    <row r="437" spans="1:16" ht="14.25" outlineLevel="1" x14ac:dyDescent="0.45">
      <c r="A437" s="216"/>
      <c r="B437" s="206"/>
      <c r="C437" s="207"/>
      <c r="D437" s="208"/>
      <c r="E437" s="208"/>
      <c r="F437" s="208" t="s">
        <v>428</v>
      </c>
      <c r="G437" s="208"/>
      <c r="H437" s="231"/>
      <c r="I437" s="565"/>
      <c r="J437" s="209"/>
      <c r="K437" s="565"/>
      <c r="L437" s="209"/>
      <c r="M437" s="565">
        <f t="shared" si="12"/>
        <v>0</v>
      </c>
      <c r="N437" s="565"/>
      <c r="O437" s="565"/>
      <c r="P437" s="218">
        <f t="shared" si="11"/>
        <v>0</v>
      </c>
    </row>
    <row r="438" spans="1:16" ht="14.25" outlineLevel="1" x14ac:dyDescent="0.45">
      <c r="A438" s="216"/>
      <c r="B438" s="206"/>
      <c r="C438" s="207"/>
      <c r="D438" s="208"/>
      <c r="E438" s="208"/>
      <c r="F438" s="208" t="s">
        <v>428</v>
      </c>
      <c r="G438" s="208"/>
      <c r="H438" s="231"/>
      <c r="I438" s="565"/>
      <c r="J438" s="209"/>
      <c r="K438" s="565"/>
      <c r="L438" s="209"/>
      <c r="M438" s="565">
        <f t="shared" si="12"/>
        <v>0</v>
      </c>
      <c r="N438" s="565"/>
      <c r="O438" s="565"/>
      <c r="P438" s="218">
        <f t="shared" si="11"/>
        <v>0</v>
      </c>
    </row>
    <row r="439" spans="1:16" ht="14.25" outlineLevel="1" x14ac:dyDescent="0.45">
      <c r="A439" s="216"/>
      <c r="B439" s="206"/>
      <c r="C439" s="207"/>
      <c r="D439" s="208"/>
      <c r="E439" s="208"/>
      <c r="F439" s="208" t="s">
        <v>428</v>
      </c>
      <c r="G439" s="208"/>
      <c r="H439" s="231"/>
      <c r="I439" s="565"/>
      <c r="J439" s="209"/>
      <c r="K439" s="565"/>
      <c r="L439" s="209"/>
      <c r="M439" s="565">
        <f t="shared" si="12"/>
        <v>0</v>
      </c>
      <c r="N439" s="565"/>
      <c r="O439" s="565"/>
      <c r="P439" s="218">
        <f t="shared" si="11"/>
        <v>0</v>
      </c>
    </row>
    <row r="440" spans="1:16" ht="14.25" outlineLevel="1" x14ac:dyDescent="0.45">
      <c r="A440" s="216"/>
      <c r="B440" s="206"/>
      <c r="C440" s="207"/>
      <c r="D440" s="208"/>
      <c r="E440" s="208"/>
      <c r="F440" s="208" t="s">
        <v>428</v>
      </c>
      <c r="G440" s="208"/>
      <c r="H440" s="231"/>
      <c r="I440" s="565"/>
      <c r="J440" s="209"/>
      <c r="K440" s="565"/>
      <c r="L440" s="209"/>
      <c r="M440" s="565">
        <f t="shared" si="12"/>
        <v>0</v>
      </c>
      <c r="N440" s="565"/>
      <c r="O440" s="565"/>
      <c r="P440" s="218">
        <f t="shared" si="11"/>
        <v>0</v>
      </c>
    </row>
    <row r="441" spans="1:16" ht="14.25" outlineLevel="1" x14ac:dyDescent="0.45">
      <c r="A441" s="216"/>
      <c r="B441" s="206"/>
      <c r="C441" s="207"/>
      <c r="D441" s="208"/>
      <c r="E441" s="208"/>
      <c r="F441" s="208" t="s">
        <v>428</v>
      </c>
      <c r="G441" s="208"/>
      <c r="H441" s="231"/>
      <c r="I441" s="565"/>
      <c r="J441" s="209"/>
      <c r="K441" s="565"/>
      <c r="L441" s="209"/>
      <c r="M441" s="565">
        <f t="shared" si="12"/>
        <v>0</v>
      </c>
      <c r="N441" s="565"/>
      <c r="O441" s="565"/>
      <c r="P441" s="218">
        <f t="shared" si="11"/>
        <v>0</v>
      </c>
    </row>
    <row r="442" spans="1:16" ht="14.25" outlineLevel="1" x14ac:dyDescent="0.45">
      <c r="A442" s="216"/>
      <c r="B442" s="206"/>
      <c r="C442" s="207"/>
      <c r="D442" s="208"/>
      <c r="E442" s="208"/>
      <c r="F442" s="208" t="s">
        <v>428</v>
      </c>
      <c r="G442" s="208"/>
      <c r="H442" s="231"/>
      <c r="I442" s="565"/>
      <c r="J442" s="209"/>
      <c r="K442" s="565"/>
      <c r="L442" s="209"/>
      <c r="M442" s="565">
        <f t="shared" si="12"/>
        <v>0</v>
      </c>
      <c r="N442" s="565"/>
      <c r="O442" s="565"/>
      <c r="P442" s="218">
        <f t="shared" si="11"/>
        <v>0</v>
      </c>
    </row>
    <row r="443" spans="1:16" ht="14.25" outlineLevel="1" x14ac:dyDescent="0.45">
      <c r="A443" s="216"/>
      <c r="B443" s="206"/>
      <c r="C443" s="207"/>
      <c r="D443" s="208"/>
      <c r="E443" s="208"/>
      <c r="F443" s="208" t="s">
        <v>428</v>
      </c>
      <c r="G443" s="208"/>
      <c r="H443" s="231"/>
      <c r="I443" s="565"/>
      <c r="J443" s="209"/>
      <c r="K443" s="565"/>
      <c r="L443" s="209"/>
      <c r="M443" s="565">
        <f t="shared" si="12"/>
        <v>0</v>
      </c>
      <c r="N443" s="565"/>
      <c r="O443" s="565"/>
      <c r="P443" s="218">
        <f t="shared" si="11"/>
        <v>0</v>
      </c>
    </row>
    <row r="444" spans="1:16" ht="14.25" outlineLevel="1" x14ac:dyDescent="0.45">
      <c r="A444" s="216"/>
      <c r="B444" s="206"/>
      <c r="C444" s="207"/>
      <c r="D444" s="208"/>
      <c r="E444" s="208"/>
      <c r="F444" s="208" t="s">
        <v>428</v>
      </c>
      <c r="G444" s="208"/>
      <c r="H444" s="231"/>
      <c r="I444" s="565"/>
      <c r="J444" s="209"/>
      <c r="K444" s="565"/>
      <c r="L444" s="209"/>
      <c r="M444" s="565">
        <f t="shared" si="12"/>
        <v>0</v>
      </c>
      <c r="N444" s="565"/>
      <c r="O444" s="565"/>
      <c r="P444" s="218">
        <f t="shared" si="11"/>
        <v>0</v>
      </c>
    </row>
    <row r="445" spans="1:16" ht="14.25" outlineLevel="1" x14ac:dyDescent="0.45">
      <c r="A445" s="216"/>
      <c r="B445" s="206"/>
      <c r="C445" s="207"/>
      <c r="D445" s="208"/>
      <c r="E445" s="208"/>
      <c r="F445" s="208" t="s">
        <v>428</v>
      </c>
      <c r="G445" s="208"/>
      <c r="H445" s="231"/>
      <c r="I445" s="565"/>
      <c r="J445" s="209"/>
      <c r="K445" s="565"/>
      <c r="L445" s="209"/>
      <c r="M445" s="565">
        <f t="shared" si="12"/>
        <v>0</v>
      </c>
      <c r="N445" s="565"/>
      <c r="O445" s="565"/>
      <c r="P445" s="218">
        <f t="shared" si="11"/>
        <v>0</v>
      </c>
    </row>
    <row r="446" spans="1:16" ht="14.25" outlineLevel="1" x14ac:dyDescent="0.45">
      <c r="A446" s="216"/>
      <c r="B446" s="206"/>
      <c r="C446" s="207"/>
      <c r="D446" s="208"/>
      <c r="E446" s="208"/>
      <c r="F446" s="208" t="s">
        <v>428</v>
      </c>
      <c r="G446" s="208"/>
      <c r="H446" s="231"/>
      <c r="I446" s="565"/>
      <c r="J446" s="209"/>
      <c r="K446" s="565"/>
      <c r="L446" s="209"/>
      <c r="M446" s="565">
        <f t="shared" si="12"/>
        <v>0</v>
      </c>
      <c r="N446" s="565"/>
      <c r="O446" s="565"/>
      <c r="P446" s="218">
        <f t="shared" si="11"/>
        <v>0</v>
      </c>
    </row>
    <row r="447" spans="1:16" ht="14.25" outlineLevel="1" x14ac:dyDescent="0.45">
      <c r="A447" s="216"/>
      <c r="B447" s="206"/>
      <c r="C447" s="207"/>
      <c r="D447" s="208"/>
      <c r="E447" s="208"/>
      <c r="F447" s="208" t="s">
        <v>428</v>
      </c>
      <c r="G447" s="208"/>
      <c r="H447" s="231"/>
      <c r="I447" s="565"/>
      <c r="J447" s="209"/>
      <c r="K447" s="565"/>
      <c r="L447" s="209"/>
      <c r="M447" s="565">
        <f t="shared" si="12"/>
        <v>0</v>
      </c>
      <c r="N447" s="565"/>
      <c r="O447" s="565"/>
      <c r="P447" s="218">
        <f t="shared" si="11"/>
        <v>0</v>
      </c>
    </row>
    <row r="448" spans="1:16" ht="14.25" outlineLevel="1" x14ac:dyDescent="0.45">
      <c r="A448" s="216"/>
      <c r="B448" s="206"/>
      <c r="C448" s="207"/>
      <c r="D448" s="208"/>
      <c r="E448" s="208"/>
      <c r="F448" s="208" t="s">
        <v>428</v>
      </c>
      <c r="G448" s="208"/>
      <c r="H448" s="231"/>
      <c r="I448" s="565"/>
      <c r="J448" s="209"/>
      <c r="K448" s="565"/>
      <c r="L448" s="209"/>
      <c r="M448" s="565">
        <f t="shared" si="12"/>
        <v>0</v>
      </c>
      <c r="N448" s="565"/>
      <c r="O448" s="565"/>
      <c r="P448" s="218">
        <f t="shared" si="11"/>
        <v>0</v>
      </c>
    </row>
    <row r="449" spans="1:16" ht="14.25" outlineLevel="1" x14ac:dyDescent="0.45">
      <c r="A449" s="216"/>
      <c r="B449" s="206"/>
      <c r="C449" s="207"/>
      <c r="D449" s="208"/>
      <c r="E449" s="208"/>
      <c r="F449" s="208" t="s">
        <v>428</v>
      </c>
      <c r="G449" s="208"/>
      <c r="H449" s="231"/>
      <c r="I449" s="565"/>
      <c r="J449" s="209"/>
      <c r="K449" s="565"/>
      <c r="L449" s="209"/>
      <c r="M449" s="565">
        <f t="shared" si="12"/>
        <v>0</v>
      </c>
      <c r="N449" s="565"/>
      <c r="O449" s="565"/>
      <c r="P449" s="218">
        <f t="shared" si="11"/>
        <v>0</v>
      </c>
    </row>
    <row r="450" spans="1:16" ht="14.25" outlineLevel="1" x14ac:dyDescent="0.45">
      <c r="A450" s="216"/>
      <c r="B450" s="206"/>
      <c r="C450" s="207"/>
      <c r="D450" s="208"/>
      <c r="E450" s="208"/>
      <c r="F450" s="208" t="s">
        <v>428</v>
      </c>
      <c r="G450" s="208"/>
      <c r="H450" s="231"/>
      <c r="I450" s="565"/>
      <c r="J450" s="209"/>
      <c r="K450" s="565"/>
      <c r="L450" s="209"/>
      <c r="M450" s="565">
        <f t="shared" si="12"/>
        <v>0</v>
      </c>
      <c r="N450" s="565"/>
      <c r="O450" s="565"/>
      <c r="P450" s="218">
        <f t="shared" si="11"/>
        <v>0</v>
      </c>
    </row>
    <row r="451" spans="1:16" ht="14.25" outlineLevel="1" x14ac:dyDescent="0.45">
      <c r="A451" s="216"/>
      <c r="B451" s="206"/>
      <c r="C451" s="207"/>
      <c r="D451" s="208"/>
      <c r="E451" s="208"/>
      <c r="F451" s="208" t="s">
        <v>428</v>
      </c>
      <c r="G451" s="208"/>
      <c r="H451" s="231"/>
      <c r="I451" s="565"/>
      <c r="J451" s="209"/>
      <c r="K451" s="565"/>
      <c r="L451" s="209"/>
      <c r="M451" s="565">
        <f t="shared" si="12"/>
        <v>0</v>
      </c>
      <c r="N451" s="565"/>
      <c r="O451" s="565"/>
      <c r="P451" s="218">
        <f t="shared" si="11"/>
        <v>0</v>
      </c>
    </row>
    <row r="452" spans="1:16" ht="14.25" outlineLevel="1" x14ac:dyDescent="0.45">
      <c r="A452" s="216"/>
      <c r="B452" s="206"/>
      <c r="C452" s="207"/>
      <c r="D452" s="208"/>
      <c r="E452" s="208"/>
      <c r="F452" s="208" t="s">
        <v>428</v>
      </c>
      <c r="G452" s="208"/>
      <c r="H452" s="231"/>
      <c r="I452" s="565"/>
      <c r="J452" s="209"/>
      <c r="K452" s="565"/>
      <c r="L452" s="209"/>
      <c r="M452" s="565">
        <f t="shared" si="12"/>
        <v>0</v>
      </c>
      <c r="N452" s="565"/>
      <c r="O452" s="565"/>
      <c r="P452" s="218">
        <f t="shared" si="11"/>
        <v>0</v>
      </c>
    </row>
    <row r="453" spans="1:16" ht="14.25" outlineLevel="1" x14ac:dyDescent="0.45">
      <c r="A453" s="216"/>
      <c r="B453" s="206"/>
      <c r="C453" s="207"/>
      <c r="D453" s="208"/>
      <c r="E453" s="208"/>
      <c r="F453" s="208" t="s">
        <v>428</v>
      </c>
      <c r="G453" s="208"/>
      <c r="H453" s="231"/>
      <c r="I453" s="565"/>
      <c r="J453" s="209"/>
      <c r="K453" s="565"/>
      <c r="L453" s="209"/>
      <c r="M453" s="565">
        <f t="shared" si="12"/>
        <v>0</v>
      </c>
      <c r="N453" s="565"/>
      <c r="O453" s="565"/>
      <c r="P453" s="218">
        <f t="shared" si="11"/>
        <v>0</v>
      </c>
    </row>
    <row r="454" spans="1:16" ht="14.25" outlineLevel="1" x14ac:dyDescent="0.45">
      <c r="A454" s="216"/>
      <c r="B454" s="206"/>
      <c r="C454" s="207"/>
      <c r="D454" s="208"/>
      <c r="E454" s="208"/>
      <c r="F454" s="208" t="s">
        <v>428</v>
      </c>
      <c r="G454" s="208"/>
      <c r="H454" s="231"/>
      <c r="I454" s="565"/>
      <c r="J454" s="209"/>
      <c r="K454" s="565"/>
      <c r="L454" s="209"/>
      <c r="M454" s="565">
        <f t="shared" si="12"/>
        <v>0</v>
      </c>
      <c r="N454" s="565"/>
      <c r="O454" s="565"/>
      <c r="P454" s="218">
        <f t="shared" si="11"/>
        <v>0</v>
      </c>
    </row>
    <row r="455" spans="1:16" ht="14.25" outlineLevel="1" x14ac:dyDescent="0.45">
      <c r="A455" s="216"/>
      <c r="B455" s="206"/>
      <c r="C455" s="207"/>
      <c r="D455" s="208"/>
      <c r="E455" s="208"/>
      <c r="F455" s="208" t="s">
        <v>428</v>
      </c>
      <c r="G455" s="208"/>
      <c r="H455" s="231"/>
      <c r="I455" s="565"/>
      <c r="J455" s="209"/>
      <c r="K455" s="565"/>
      <c r="L455" s="209"/>
      <c r="M455" s="565">
        <f t="shared" si="12"/>
        <v>0</v>
      </c>
      <c r="N455" s="565"/>
      <c r="O455" s="565"/>
      <c r="P455" s="218">
        <f t="shared" si="11"/>
        <v>0</v>
      </c>
    </row>
    <row r="456" spans="1:16" ht="14.25" outlineLevel="1" x14ac:dyDescent="0.45">
      <c r="A456" s="216"/>
      <c r="B456" s="206"/>
      <c r="C456" s="207"/>
      <c r="D456" s="208"/>
      <c r="E456" s="208"/>
      <c r="F456" s="208" t="s">
        <v>428</v>
      </c>
      <c r="G456" s="208"/>
      <c r="H456" s="231"/>
      <c r="I456" s="565"/>
      <c r="J456" s="209"/>
      <c r="K456" s="565"/>
      <c r="L456" s="209"/>
      <c r="M456" s="565">
        <f t="shared" si="12"/>
        <v>0</v>
      </c>
      <c r="N456" s="565"/>
      <c r="O456" s="565"/>
      <c r="P456" s="218">
        <f t="shared" si="11"/>
        <v>0</v>
      </c>
    </row>
    <row r="457" spans="1:16" ht="14.25" outlineLevel="1" x14ac:dyDescent="0.45">
      <c r="A457" s="216"/>
      <c r="B457" s="206"/>
      <c r="C457" s="207"/>
      <c r="D457" s="208"/>
      <c r="E457" s="208"/>
      <c r="F457" s="208" t="s">
        <v>428</v>
      </c>
      <c r="G457" s="208"/>
      <c r="H457" s="231"/>
      <c r="I457" s="565"/>
      <c r="J457" s="209"/>
      <c r="K457" s="565"/>
      <c r="L457" s="209"/>
      <c r="M457" s="565">
        <f t="shared" si="12"/>
        <v>0</v>
      </c>
      <c r="N457" s="565"/>
      <c r="O457" s="565"/>
      <c r="P457" s="218">
        <f t="shared" si="11"/>
        <v>0</v>
      </c>
    </row>
    <row r="458" spans="1:16" ht="14.25" outlineLevel="1" x14ac:dyDescent="0.45">
      <c r="A458" s="216"/>
      <c r="B458" s="206"/>
      <c r="C458" s="207"/>
      <c r="D458" s="208"/>
      <c r="E458" s="208"/>
      <c r="F458" s="208" t="s">
        <v>428</v>
      </c>
      <c r="G458" s="208"/>
      <c r="H458" s="231"/>
      <c r="I458" s="565"/>
      <c r="J458" s="209"/>
      <c r="K458" s="565"/>
      <c r="L458" s="209"/>
      <c r="M458" s="565">
        <f t="shared" si="12"/>
        <v>0</v>
      </c>
      <c r="N458" s="565"/>
      <c r="O458" s="565"/>
      <c r="P458" s="218">
        <f t="shared" si="11"/>
        <v>0</v>
      </c>
    </row>
    <row r="459" spans="1:16" ht="14.25" outlineLevel="1" x14ac:dyDescent="0.45">
      <c r="A459" s="216"/>
      <c r="B459" s="206"/>
      <c r="C459" s="207"/>
      <c r="D459" s="208"/>
      <c r="E459" s="208"/>
      <c r="F459" s="208" t="s">
        <v>428</v>
      </c>
      <c r="G459" s="208"/>
      <c r="H459" s="231"/>
      <c r="I459" s="565"/>
      <c r="J459" s="209"/>
      <c r="K459" s="565"/>
      <c r="L459" s="209"/>
      <c r="M459" s="565">
        <f t="shared" si="12"/>
        <v>0</v>
      </c>
      <c r="N459" s="565"/>
      <c r="O459" s="565"/>
      <c r="P459" s="218">
        <f t="shared" si="11"/>
        <v>0</v>
      </c>
    </row>
    <row r="460" spans="1:16" ht="14.25" outlineLevel="1" x14ac:dyDescent="0.45">
      <c r="A460" s="216"/>
      <c r="B460" s="206"/>
      <c r="C460" s="207"/>
      <c r="D460" s="208"/>
      <c r="E460" s="208"/>
      <c r="F460" s="208" t="s">
        <v>428</v>
      </c>
      <c r="G460" s="208"/>
      <c r="H460" s="231"/>
      <c r="I460" s="565"/>
      <c r="J460" s="209"/>
      <c r="K460" s="565"/>
      <c r="L460" s="209"/>
      <c r="M460" s="565">
        <f t="shared" si="12"/>
        <v>0</v>
      </c>
      <c r="N460" s="565"/>
      <c r="O460" s="565"/>
      <c r="P460" s="218">
        <f t="shared" si="11"/>
        <v>0</v>
      </c>
    </row>
    <row r="461" spans="1:16" ht="14.25" outlineLevel="1" x14ac:dyDescent="0.45">
      <c r="A461" s="216"/>
      <c r="B461" s="206"/>
      <c r="C461" s="207"/>
      <c r="D461" s="208"/>
      <c r="E461" s="208"/>
      <c r="F461" s="208" t="s">
        <v>428</v>
      </c>
      <c r="G461" s="208"/>
      <c r="H461" s="231"/>
      <c r="I461" s="565"/>
      <c r="J461" s="209"/>
      <c r="K461" s="565"/>
      <c r="L461" s="209"/>
      <c r="M461" s="565">
        <f t="shared" si="12"/>
        <v>0</v>
      </c>
      <c r="N461" s="565"/>
      <c r="O461" s="565"/>
      <c r="P461" s="218">
        <f t="shared" si="11"/>
        <v>0</v>
      </c>
    </row>
    <row r="462" spans="1:16" ht="14.25" outlineLevel="1" x14ac:dyDescent="0.45">
      <c r="A462" s="216"/>
      <c r="B462" s="206"/>
      <c r="C462" s="207"/>
      <c r="D462" s="208"/>
      <c r="E462" s="208"/>
      <c r="F462" s="208" t="s">
        <v>428</v>
      </c>
      <c r="G462" s="208"/>
      <c r="H462" s="231"/>
      <c r="I462" s="565"/>
      <c r="J462" s="209"/>
      <c r="K462" s="565"/>
      <c r="L462" s="209"/>
      <c r="M462" s="565">
        <f t="shared" si="12"/>
        <v>0</v>
      </c>
      <c r="N462" s="565"/>
      <c r="O462" s="565"/>
      <c r="P462" s="218">
        <f t="shared" si="11"/>
        <v>0</v>
      </c>
    </row>
    <row r="463" spans="1:16" ht="14.25" outlineLevel="1" x14ac:dyDescent="0.45">
      <c r="A463" s="216"/>
      <c r="B463" s="206"/>
      <c r="C463" s="207"/>
      <c r="D463" s="208"/>
      <c r="E463" s="208"/>
      <c r="F463" s="208" t="s">
        <v>428</v>
      </c>
      <c r="G463" s="208"/>
      <c r="H463" s="231"/>
      <c r="I463" s="565"/>
      <c r="J463" s="209"/>
      <c r="K463" s="565"/>
      <c r="L463" s="209"/>
      <c r="M463" s="565">
        <f t="shared" si="12"/>
        <v>0</v>
      </c>
      <c r="N463" s="565"/>
      <c r="O463" s="565"/>
      <c r="P463" s="218">
        <f t="shared" si="11"/>
        <v>0</v>
      </c>
    </row>
    <row r="464" spans="1:16" ht="14.25" outlineLevel="1" x14ac:dyDescent="0.45">
      <c r="A464" s="216"/>
      <c r="B464" s="206"/>
      <c r="C464" s="207"/>
      <c r="D464" s="208"/>
      <c r="E464" s="208"/>
      <c r="F464" s="208" t="s">
        <v>428</v>
      </c>
      <c r="G464" s="208"/>
      <c r="H464" s="231"/>
      <c r="I464" s="565"/>
      <c r="J464" s="209"/>
      <c r="K464" s="565"/>
      <c r="L464" s="209"/>
      <c r="M464" s="565">
        <f t="shared" si="12"/>
        <v>0</v>
      </c>
      <c r="N464" s="565"/>
      <c r="O464" s="565"/>
      <c r="P464" s="218">
        <f t="shared" si="11"/>
        <v>0</v>
      </c>
    </row>
    <row r="465" spans="1:16" ht="14.25" outlineLevel="1" x14ac:dyDescent="0.45">
      <c r="A465" s="216"/>
      <c r="B465" s="206"/>
      <c r="C465" s="207"/>
      <c r="D465" s="208"/>
      <c r="E465" s="208"/>
      <c r="F465" s="208" t="s">
        <v>428</v>
      </c>
      <c r="G465" s="208"/>
      <c r="H465" s="231"/>
      <c r="I465" s="565"/>
      <c r="J465" s="209"/>
      <c r="K465" s="565"/>
      <c r="L465" s="209"/>
      <c r="M465" s="565">
        <f t="shared" si="12"/>
        <v>0</v>
      </c>
      <c r="N465" s="565"/>
      <c r="O465" s="565"/>
      <c r="P465" s="218">
        <f t="shared" si="11"/>
        <v>0</v>
      </c>
    </row>
    <row r="466" spans="1:16" ht="14.25" outlineLevel="1" x14ac:dyDescent="0.45">
      <c r="A466" s="216"/>
      <c r="B466" s="206"/>
      <c r="C466" s="207"/>
      <c r="D466" s="208"/>
      <c r="E466" s="208"/>
      <c r="F466" s="208" t="s">
        <v>428</v>
      </c>
      <c r="G466" s="208"/>
      <c r="H466" s="231"/>
      <c r="I466" s="565"/>
      <c r="J466" s="209"/>
      <c r="K466" s="565"/>
      <c r="L466" s="209"/>
      <c r="M466" s="565">
        <f t="shared" si="12"/>
        <v>0</v>
      </c>
      <c r="N466" s="565"/>
      <c r="O466" s="565"/>
      <c r="P466" s="218">
        <f t="shared" si="11"/>
        <v>0</v>
      </c>
    </row>
    <row r="467" spans="1:16" ht="14.25" outlineLevel="1" x14ac:dyDescent="0.45">
      <c r="A467" s="216"/>
      <c r="B467" s="206"/>
      <c r="C467" s="207"/>
      <c r="D467" s="208"/>
      <c r="E467" s="208"/>
      <c r="F467" s="208" t="s">
        <v>428</v>
      </c>
      <c r="G467" s="208"/>
      <c r="H467" s="231"/>
      <c r="I467" s="565"/>
      <c r="J467" s="209"/>
      <c r="K467" s="565"/>
      <c r="L467" s="209"/>
      <c r="M467" s="565">
        <f t="shared" si="12"/>
        <v>0</v>
      </c>
      <c r="N467" s="565"/>
      <c r="O467" s="565"/>
      <c r="P467" s="218">
        <f t="shared" si="11"/>
        <v>0</v>
      </c>
    </row>
    <row r="468" spans="1:16" ht="14.25" outlineLevel="1" x14ac:dyDescent="0.45">
      <c r="A468" s="216"/>
      <c r="B468" s="206"/>
      <c r="C468" s="207"/>
      <c r="D468" s="208"/>
      <c r="E468" s="208"/>
      <c r="F468" s="208" t="s">
        <v>428</v>
      </c>
      <c r="G468" s="208"/>
      <c r="H468" s="231"/>
      <c r="I468" s="565"/>
      <c r="J468" s="209"/>
      <c r="K468" s="565"/>
      <c r="L468" s="209"/>
      <c r="M468" s="565">
        <f t="shared" si="12"/>
        <v>0</v>
      </c>
      <c r="N468" s="565"/>
      <c r="O468" s="565"/>
      <c r="P468" s="218">
        <f t="shared" si="11"/>
        <v>0</v>
      </c>
    </row>
    <row r="469" spans="1:16" ht="14.25" outlineLevel="1" x14ac:dyDescent="0.45">
      <c r="A469" s="216"/>
      <c r="B469" s="206"/>
      <c r="C469" s="207"/>
      <c r="D469" s="208"/>
      <c r="E469" s="208"/>
      <c r="F469" s="208" t="s">
        <v>428</v>
      </c>
      <c r="G469" s="208"/>
      <c r="H469" s="231"/>
      <c r="I469" s="565"/>
      <c r="J469" s="209"/>
      <c r="K469" s="565"/>
      <c r="L469" s="209"/>
      <c r="M469" s="565">
        <f t="shared" si="12"/>
        <v>0</v>
      </c>
      <c r="N469" s="565"/>
      <c r="O469" s="565"/>
      <c r="P469" s="218">
        <f t="shared" si="11"/>
        <v>0</v>
      </c>
    </row>
    <row r="470" spans="1:16" ht="14.25" outlineLevel="1" x14ac:dyDescent="0.45">
      <c r="A470" s="216"/>
      <c r="B470" s="206"/>
      <c r="C470" s="207"/>
      <c r="D470" s="208"/>
      <c r="E470" s="208"/>
      <c r="F470" s="208" t="s">
        <v>428</v>
      </c>
      <c r="G470" s="208"/>
      <c r="H470" s="231"/>
      <c r="I470" s="565"/>
      <c r="J470" s="209"/>
      <c r="K470" s="565"/>
      <c r="L470" s="209"/>
      <c r="M470" s="565">
        <f t="shared" si="12"/>
        <v>0</v>
      </c>
      <c r="N470" s="565"/>
      <c r="O470" s="565"/>
      <c r="P470" s="218">
        <f t="shared" si="11"/>
        <v>0</v>
      </c>
    </row>
    <row r="471" spans="1:16" ht="14.25" outlineLevel="1" x14ac:dyDescent="0.45">
      <c r="A471" s="216"/>
      <c r="B471" s="206"/>
      <c r="C471" s="207"/>
      <c r="D471" s="208"/>
      <c r="E471" s="208"/>
      <c r="F471" s="208" t="s">
        <v>428</v>
      </c>
      <c r="G471" s="208"/>
      <c r="H471" s="231"/>
      <c r="I471" s="565"/>
      <c r="J471" s="209"/>
      <c r="K471" s="565"/>
      <c r="L471" s="209"/>
      <c r="M471" s="565">
        <f t="shared" si="12"/>
        <v>0</v>
      </c>
      <c r="N471" s="565"/>
      <c r="O471" s="565"/>
      <c r="P471" s="218">
        <f t="shared" si="11"/>
        <v>0</v>
      </c>
    </row>
    <row r="472" spans="1:16" ht="14.25" outlineLevel="1" x14ac:dyDescent="0.45">
      <c r="A472" s="216"/>
      <c r="B472" s="206"/>
      <c r="C472" s="207"/>
      <c r="D472" s="208"/>
      <c r="E472" s="208"/>
      <c r="F472" s="208" t="s">
        <v>428</v>
      </c>
      <c r="G472" s="208"/>
      <c r="H472" s="231"/>
      <c r="I472" s="565"/>
      <c r="J472" s="209"/>
      <c r="K472" s="565"/>
      <c r="L472" s="209"/>
      <c r="M472" s="565">
        <f t="shared" si="12"/>
        <v>0</v>
      </c>
      <c r="N472" s="565"/>
      <c r="O472" s="565"/>
      <c r="P472" s="218">
        <f t="shared" si="11"/>
        <v>0</v>
      </c>
    </row>
    <row r="473" spans="1:16" ht="14.25" outlineLevel="1" x14ac:dyDescent="0.45">
      <c r="A473" s="216"/>
      <c r="B473" s="206"/>
      <c r="C473" s="207"/>
      <c r="D473" s="208"/>
      <c r="E473" s="208"/>
      <c r="F473" s="208" t="s">
        <v>428</v>
      </c>
      <c r="G473" s="208"/>
      <c r="H473" s="231"/>
      <c r="I473" s="565"/>
      <c r="J473" s="209"/>
      <c r="K473" s="565"/>
      <c r="L473" s="209"/>
      <c r="M473" s="565">
        <f t="shared" si="12"/>
        <v>0</v>
      </c>
      <c r="N473" s="565"/>
      <c r="O473" s="565"/>
      <c r="P473" s="218">
        <f t="shared" si="11"/>
        <v>0</v>
      </c>
    </row>
    <row r="474" spans="1:16" ht="14.25" outlineLevel="1" x14ac:dyDescent="0.45">
      <c r="A474" s="216"/>
      <c r="B474" s="206"/>
      <c r="C474" s="207"/>
      <c r="D474" s="208"/>
      <c r="E474" s="208"/>
      <c r="F474" s="208" t="s">
        <v>428</v>
      </c>
      <c r="G474" s="208"/>
      <c r="H474" s="231"/>
      <c r="I474" s="565"/>
      <c r="J474" s="209"/>
      <c r="K474" s="565"/>
      <c r="L474" s="209"/>
      <c r="M474" s="565">
        <f t="shared" si="12"/>
        <v>0</v>
      </c>
      <c r="N474" s="565"/>
      <c r="O474" s="565"/>
      <c r="P474" s="218">
        <f t="shared" si="11"/>
        <v>0</v>
      </c>
    </row>
    <row r="475" spans="1:16" ht="14.25" outlineLevel="1" x14ac:dyDescent="0.45">
      <c r="A475" s="216"/>
      <c r="B475" s="206"/>
      <c r="C475" s="207"/>
      <c r="D475" s="208"/>
      <c r="E475" s="208"/>
      <c r="F475" s="208" t="s">
        <v>428</v>
      </c>
      <c r="G475" s="208"/>
      <c r="H475" s="231"/>
      <c r="I475" s="565"/>
      <c r="J475" s="209"/>
      <c r="K475" s="565"/>
      <c r="L475" s="209"/>
      <c r="M475" s="565">
        <f t="shared" si="12"/>
        <v>0</v>
      </c>
      <c r="N475" s="565"/>
      <c r="O475" s="565"/>
      <c r="P475" s="218">
        <f t="shared" si="11"/>
        <v>0</v>
      </c>
    </row>
    <row r="476" spans="1:16" ht="14.25" outlineLevel="1" x14ac:dyDescent="0.45">
      <c r="A476" s="216"/>
      <c r="B476" s="206"/>
      <c r="C476" s="207"/>
      <c r="D476" s="208"/>
      <c r="E476" s="208"/>
      <c r="F476" s="208" t="s">
        <v>428</v>
      </c>
      <c r="G476" s="208"/>
      <c r="H476" s="231"/>
      <c r="I476" s="565"/>
      <c r="J476" s="209"/>
      <c r="K476" s="565"/>
      <c r="L476" s="209"/>
      <c r="M476" s="565">
        <f t="shared" si="12"/>
        <v>0</v>
      </c>
      <c r="N476" s="565"/>
      <c r="O476" s="565"/>
      <c r="P476" s="218">
        <f t="shared" si="11"/>
        <v>0</v>
      </c>
    </row>
    <row r="477" spans="1:16" ht="14.25" outlineLevel="1" x14ac:dyDescent="0.45">
      <c r="A477" s="216"/>
      <c r="B477" s="206"/>
      <c r="C477" s="207"/>
      <c r="D477" s="208"/>
      <c r="E477" s="208"/>
      <c r="F477" s="208" t="s">
        <v>428</v>
      </c>
      <c r="G477" s="208"/>
      <c r="H477" s="231"/>
      <c r="I477" s="565"/>
      <c r="J477" s="209"/>
      <c r="K477" s="565"/>
      <c r="L477" s="209"/>
      <c r="M477" s="565">
        <f t="shared" si="12"/>
        <v>0</v>
      </c>
      <c r="N477" s="565"/>
      <c r="O477" s="565"/>
      <c r="P477" s="218">
        <f t="shared" si="11"/>
        <v>0</v>
      </c>
    </row>
    <row r="478" spans="1:16" ht="14.25" outlineLevel="1" x14ac:dyDescent="0.45">
      <c r="A478" s="216"/>
      <c r="B478" s="206"/>
      <c r="C478" s="207"/>
      <c r="D478" s="208"/>
      <c r="E478" s="208"/>
      <c r="F478" s="208" t="s">
        <v>428</v>
      </c>
      <c r="G478" s="208"/>
      <c r="H478" s="231"/>
      <c r="I478" s="565"/>
      <c r="J478" s="209"/>
      <c r="K478" s="565"/>
      <c r="L478" s="209"/>
      <c r="M478" s="565">
        <f t="shared" si="12"/>
        <v>0</v>
      </c>
      <c r="N478" s="565"/>
      <c r="O478" s="565"/>
      <c r="P478" s="218">
        <f t="shared" si="11"/>
        <v>0</v>
      </c>
    </row>
    <row r="479" spans="1:16" ht="14.25" outlineLevel="1" x14ac:dyDescent="0.45">
      <c r="A479" s="216"/>
      <c r="B479" s="206"/>
      <c r="C479" s="207"/>
      <c r="D479" s="208"/>
      <c r="E479" s="208"/>
      <c r="F479" s="208" t="s">
        <v>428</v>
      </c>
      <c r="G479" s="208"/>
      <c r="H479" s="231"/>
      <c r="I479" s="565"/>
      <c r="J479" s="209"/>
      <c r="K479" s="565"/>
      <c r="L479" s="209"/>
      <c r="M479" s="565">
        <f t="shared" si="12"/>
        <v>0</v>
      </c>
      <c r="N479" s="565"/>
      <c r="O479" s="565"/>
      <c r="P479" s="218">
        <f t="shared" si="11"/>
        <v>0</v>
      </c>
    </row>
    <row r="480" spans="1:16" ht="14.25" outlineLevel="1" x14ac:dyDescent="0.45">
      <c r="A480" s="216"/>
      <c r="B480" s="206"/>
      <c r="C480" s="207"/>
      <c r="D480" s="208"/>
      <c r="E480" s="208"/>
      <c r="F480" s="208" t="s">
        <v>428</v>
      </c>
      <c r="G480" s="208"/>
      <c r="H480" s="231"/>
      <c r="I480" s="565"/>
      <c r="J480" s="209"/>
      <c r="K480" s="565"/>
      <c r="L480" s="209"/>
      <c r="M480" s="565">
        <f t="shared" si="12"/>
        <v>0</v>
      </c>
      <c r="N480" s="565"/>
      <c r="O480" s="565"/>
      <c r="P480" s="218">
        <f t="shared" si="11"/>
        <v>0</v>
      </c>
    </row>
    <row r="481" spans="1:16" ht="14.25" outlineLevel="1" x14ac:dyDescent="0.45">
      <c r="A481" s="216"/>
      <c r="B481" s="206"/>
      <c r="C481" s="207"/>
      <c r="D481" s="208"/>
      <c r="E481" s="208"/>
      <c r="F481" s="208" t="s">
        <v>428</v>
      </c>
      <c r="G481" s="208"/>
      <c r="H481" s="231"/>
      <c r="I481" s="565"/>
      <c r="J481" s="209"/>
      <c r="K481" s="565"/>
      <c r="L481" s="209"/>
      <c r="M481" s="565">
        <f t="shared" si="12"/>
        <v>0</v>
      </c>
      <c r="N481" s="565"/>
      <c r="O481" s="565"/>
      <c r="P481" s="218">
        <f t="shared" si="11"/>
        <v>0</v>
      </c>
    </row>
    <row r="482" spans="1:16" ht="14.25" outlineLevel="1" x14ac:dyDescent="0.45">
      <c r="A482" s="216"/>
      <c r="B482" s="206"/>
      <c r="C482" s="207"/>
      <c r="D482" s="208"/>
      <c r="E482" s="208"/>
      <c r="F482" s="208" t="s">
        <v>428</v>
      </c>
      <c r="G482" s="208"/>
      <c r="H482" s="231"/>
      <c r="I482" s="565"/>
      <c r="J482" s="209"/>
      <c r="K482" s="565"/>
      <c r="L482" s="209"/>
      <c r="M482" s="565">
        <f t="shared" si="12"/>
        <v>0</v>
      </c>
      <c r="N482" s="565"/>
      <c r="O482" s="565"/>
      <c r="P482" s="218">
        <f t="shared" si="11"/>
        <v>0</v>
      </c>
    </row>
    <row r="483" spans="1:16" ht="14.25" outlineLevel="1" x14ac:dyDescent="0.45">
      <c r="A483" s="216"/>
      <c r="B483" s="206"/>
      <c r="C483" s="207"/>
      <c r="D483" s="208"/>
      <c r="E483" s="208"/>
      <c r="F483" s="208" t="s">
        <v>428</v>
      </c>
      <c r="G483" s="208"/>
      <c r="H483" s="231"/>
      <c r="I483" s="565"/>
      <c r="J483" s="209"/>
      <c r="K483" s="565"/>
      <c r="L483" s="209"/>
      <c r="M483" s="565">
        <f t="shared" si="12"/>
        <v>0</v>
      </c>
      <c r="N483" s="565"/>
      <c r="O483" s="565"/>
      <c r="P483" s="218">
        <f t="shared" si="11"/>
        <v>0</v>
      </c>
    </row>
    <row r="484" spans="1:16" ht="14.25" outlineLevel="1" x14ac:dyDescent="0.45">
      <c r="A484" s="216"/>
      <c r="B484" s="206"/>
      <c r="C484" s="207"/>
      <c r="D484" s="208"/>
      <c r="E484" s="208"/>
      <c r="F484" s="208" t="s">
        <v>428</v>
      </c>
      <c r="G484" s="208"/>
      <c r="H484" s="231"/>
      <c r="I484" s="565"/>
      <c r="J484" s="209"/>
      <c r="K484" s="565"/>
      <c r="L484" s="209"/>
      <c r="M484" s="565">
        <f t="shared" si="12"/>
        <v>0</v>
      </c>
      <c r="N484" s="565"/>
      <c r="O484" s="565"/>
      <c r="P484" s="218">
        <f t="shared" si="11"/>
        <v>0</v>
      </c>
    </row>
    <row r="485" spans="1:16" ht="14.25" outlineLevel="1" x14ac:dyDescent="0.45">
      <c r="A485" s="216"/>
      <c r="B485" s="206"/>
      <c r="C485" s="207"/>
      <c r="D485" s="208"/>
      <c r="E485" s="208"/>
      <c r="F485" s="208" t="s">
        <v>428</v>
      </c>
      <c r="G485" s="208"/>
      <c r="H485" s="231"/>
      <c r="I485" s="565"/>
      <c r="J485" s="209"/>
      <c r="K485" s="565"/>
      <c r="L485" s="209"/>
      <c r="M485" s="565">
        <f t="shared" si="12"/>
        <v>0</v>
      </c>
      <c r="N485" s="565"/>
      <c r="O485" s="565"/>
      <c r="P485" s="218">
        <f t="shared" si="11"/>
        <v>0</v>
      </c>
    </row>
    <row r="486" spans="1:16" ht="14.25" outlineLevel="1" x14ac:dyDescent="0.45">
      <c r="A486" s="216"/>
      <c r="B486" s="206"/>
      <c r="C486" s="207"/>
      <c r="D486" s="208"/>
      <c r="E486" s="208"/>
      <c r="F486" s="208" t="s">
        <v>428</v>
      </c>
      <c r="G486" s="208"/>
      <c r="H486" s="231"/>
      <c r="I486" s="565"/>
      <c r="J486" s="209"/>
      <c r="K486" s="565"/>
      <c r="L486" s="209"/>
      <c r="M486" s="565">
        <f t="shared" si="12"/>
        <v>0</v>
      </c>
      <c r="N486" s="565"/>
      <c r="O486" s="565"/>
      <c r="P486" s="218">
        <f t="shared" si="11"/>
        <v>0</v>
      </c>
    </row>
    <row r="487" spans="1:16" ht="14.25" outlineLevel="1" x14ac:dyDescent="0.45">
      <c r="A487" s="216"/>
      <c r="B487" s="206"/>
      <c r="C487" s="207"/>
      <c r="D487" s="208"/>
      <c r="E487" s="208"/>
      <c r="F487" s="208" t="s">
        <v>428</v>
      </c>
      <c r="G487" s="208"/>
      <c r="H487" s="231"/>
      <c r="I487" s="565"/>
      <c r="J487" s="209"/>
      <c r="K487" s="565"/>
      <c r="L487" s="209"/>
      <c r="M487" s="565">
        <f t="shared" si="12"/>
        <v>0</v>
      </c>
      <c r="N487" s="565"/>
      <c r="O487" s="565"/>
      <c r="P487" s="218">
        <f t="shared" si="11"/>
        <v>0</v>
      </c>
    </row>
    <row r="488" spans="1:16" ht="14.25" outlineLevel="1" x14ac:dyDescent="0.45">
      <c r="A488" s="216"/>
      <c r="B488" s="206"/>
      <c r="C488" s="207"/>
      <c r="D488" s="208"/>
      <c r="E488" s="208"/>
      <c r="F488" s="208" t="s">
        <v>428</v>
      </c>
      <c r="G488" s="208"/>
      <c r="H488" s="231"/>
      <c r="I488" s="565"/>
      <c r="J488" s="209"/>
      <c r="K488" s="565"/>
      <c r="L488" s="209"/>
      <c r="M488" s="565">
        <f t="shared" si="12"/>
        <v>0</v>
      </c>
      <c r="N488" s="565"/>
      <c r="O488" s="565"/>
      <c r="P488" s="218">
        <f t="shared" ref="P488:P524" si="13">SUBTOTAL(9,P486:P487)</f>
        <v>0</v>
      </c>
    </row>
    <row r="489" spans="1:16" ht="14.25" outlineLevel="1" x14ac:dyDescent="0.45">
      <c r="A489" s="216"/>
      <c r="B489" s="206"/>
      <c r="C489" s="207"/>
      <c r="D489" s="208"/>
      <c r="E489" s="208"/>
      <c r="F489" s="208" t="s">
        <v>428</v>
      </c>
      <c r="G489" s="208"/>
      <c r="H489" s="231"/>
      <c r="I489" s="565"/>
      <c r="J489" s="209"/>
      <c r="K489" s="565"/>
      <c r="L489" s="209"/>
      <c r="M489" s="565">
        <f t="shared" si="12"/>
        <v>0</v>
      </c>
      <c r="N489" s="565"/>
      <c r="O489" s="565"/>
      <c r="P489" s="218">
        <f t="shared" si="13"/>
        <v>0</v>
      </c>
    </row>
    <row r="490" spans="1:16" ht="14.25" outlineLevel="1" x14ac:dyDescent="0.45">
      <c r="A490" s="216"/>
      <c r="B490" s="206"/>
      <c r="C490" s="207"/>
      <c r="D490" s="208"/>
      <c r="E490" s="208"/>
      <c r="F490" s="208" t="s">
        <v>428</v>
      </c>
      <c r="G490" s="208"/>
      <c r="H490" s="231"/>
      <c r="I490" s="565"/>
      <c r="J490" s="209"/>
      <c r="K490" s="565"/>
      <c r="L490" s="209"/>
      <c r="M490" s="565">
        <f t="shared" ref="M490:M524" si="14">I490*H490</f>
        <v>0</v>
      </c>
      <c r="N490" s="565"/>
      <c r="O490" s="565"/>
      <c r="P490" s="218">
        <f t="shared" si="13"/>
        <v>0</v>
      </c>
    </row>
    <row r="491" spans="1:16" ht="14.25" outlineLevel="1" x14ac:dyDescent="0.45">
      <c r="A491" s="216"/>
      <c r="B491" s="206"/>
      <c r="C491" s="207"/>
      <c r="D491" s="208"/>
      <c r="E491" s="208"/>
      <c r="F491" s="208" t="s">
        <v>428</v>
      </c>
      <c r="G491" s="208"/>
      <c r="H491" s="231"/>
      <c r="I491" s="565"/>
      <c r="J491" s="209"/>
      <c r="K491" s="565"/>
      <c r="L491" s="209"/>
      <c r="M491" s="565">
        <f t="shared" si="14"/>
        <v>0</v>
      </c>
      <c r="N491" s="565"/>
      <c r="O491" s="565"/>
      <c r="P491" s="218">
        <f t="shared" si="13"/>
        <v>0</v>
      </c>
    </row>
    <row r="492" spans="1:16" ht="14.25" outlineLevel="1" x14ac:dyDescent="0.45">
      <c r="A492" s="216"/>
      <c r="B492" s="206"/>
      <c r="C492" s="207"/>
      <c r="D492" s="208"/>
      <c r="E492" s="208"/>
      <c r="F492" s="208" t="s">
        <v>428</v>
      </c>
      <c r="G492" s="208"/>
      <c r="H492" s="231"/>
      <c r="I492" s="565"/>
      <c r="J492" s="209"/>
      <c r="K492" s="565"/>
      <c r="L492" s="209"/>
      <c r="M492" s="565">
        <f t="shared" si="14"/>
        <v>0</v>
      </c>
      <c r="N492" s="565"/>
      <c r="O492" s="565"/>
      <c r="P492" s="218">
        <f t="shared" si="13"/>
        <v>0</v>
      </c>
    </row>
    <row r="493" spans="1:16" ht="14.25" outlineLevel="1" x14ac:dyDescent="0.45">
      <c r="A493" s="216"/>
      <c r="B493" s="206"/>
      <c r="C493" s="207"/>
      <c r="D493" s="208"/>
      <c r="E493" s="208"/>
      <c r="F493" s="208" t="s">
        <v>428</v>
      </c>
      <c r="G493" s="208"/>
      <c r="H493" s="231"/>
      <c r="I493" s="565"/>
      <c r="J493" s="209"/>
      <c r="K493" s="565"/>
      <c r="L493" s="209"/>
      <c r="M493" s="565">
        <f t="shared" si="14"/>
        <v>0</v>
      </c>
      <c r="N493" s="565"/>
      <c r="O493" s="565"/>
      <c r="P493" s="218">
        <f t="shared" si="13"/>
        <v>0</v>
      </c>
    </row>
    <row r="494" spans="1:16" ht="14.25" outlineLevel="1" x14ac:dyDescent="0.45">
      <c r="A494" s="216"/>
      <c r="B494" s="206"/>
      <c r="C494" s="207"/>
      <c r="D494" s="208"/>
      <c r="E494" s="208"/>
      <c r="F494" s="208" t="s">
        <v>428</v>
      </c>
      <c r="G494" s="208"/>
      <c r="H494" s="231"/>
      <c r="I494" s="565"/>
      <c r="J494" s="209"/>
      <c r="K494" s="565"/>
      <c r="L494" s="209"/>
      <c r="M494" s="565">
        <f t="shared" si="14"/>
        <v>0</v>
      </c>
      <c r="N494" s="565"/>
      <c r="O494" s="565"/>
      <c r="P494" s="218">
        <f t="shared" si="13"/>
        <v>0</v>
      </c>
    </row>
    <row r="495" spans="1:16" ht="14.25" outlineLevel="1" x14ac:dyDescent="0.45">
      <c r="A495" s="216"/>
      <c r="B495" s="206"/>
      <c r="C495" s="207"/>
      <c r="D495" s="208"/>
      <c r="E495" s="208"/>
      <c r="F495" s="208" t="s">
        <v>428</v>
      </c>
      <c r="G495" s="208"/>
      <c r="H495" s="231"/>
      <c r="I495" s="565"/>
      <c r="J495" s="209"/>
      <c r="K495" s="565"/>
      <c r="L495" s="209"/>
      <c r="M495" s="565">
        <f t="shared" si="14"/>
        <v>0</v>
      </c>
      <c r="N495" s="565"/>
      <c r="O495" s="565"/>
      <c r="P495" s="218">
        <f t="shared" si="13"/>
        <v>0</v>
      </c>
    </row>
    <row r="496" spans="1:16" ht="14.25" outlineLevel="1" x14ac:dyDescent="0.45">
      <c r="A496" s="216"/>
      <c r="B496" s="206"/>
      <c r="C496" s="207"/>
      <c r="D496" s="208"/>
      <c r="E496" s="208"/>
      <c r="F496" s="208" t="s">
        <v>428</v>
      </c>
      <c r="G496" s="208"/>
      <c r="H496" s="231"/>
      <c r="I496" s="565"/>
      <c r="J496" s="209"/>
      <c r="K496" s="565"/>
      <c r="L496" s="209"/>
      <c r="M496" s="565">
        <f t="shared" si="14"/>
        <v>0</v>
      </c>
      <c r="N496" s="565"/>
      <c r="O496" s="565"/>
      <c r="P496" s="218">
        <f t="shared" si="13"/>
        <v>0</v>
      </c>
    </row>
    <row r="497" spans="1:16" ht="14.25" outlineLevel="1" x14ac:dyDescent="0.45">
      <c r="A497" s="216"/>
      <c r="B497" s="206"/>
      <c r="C497" s="207"/>
      <c r="D497" s="208"/>
      <c r="E497" s="208"/>
      <c r="F497" s="208" t="s">
        <v>428</v>
      </c>
      <c r="G497" s="208"/>
      <c r="H497" s="231"/>
      <c r="I497" s="565"/>
      <c r="J497" s="209"/>
      <c r="K497" s="565"/>
      <c r="L497" s="209"/>
      <c r="M497" s="565">
        <f t="shared" si="14"/>
        <v>0</v>
      </c>
      <c r="N497" s="565"/>
      <c r="O497" s="565"/>
      <c r="P497" s="218">
        <f t="shared" si="13"/>
        <v>0</v>
      </c>
    </row>
    <row r="498" spans="1:16" ht="14.25" outlineLevel="1" x14ac:dyDescent="0.45">
      <c r="A498" s="216"/>
      <c r="B498" s="206"/>
      <c r="C498" s="207"/>
      <c r="D498" s="208"/>
      <c r="E498" s="208"/>
      <c r="F498" s="208" t="s">
        <v>428</v>
      </c>
      <c r="G498" s="208"/>
      <c r="H498" s="231"/>
      <c r="I498" s="565"/>
      <c r="J498" s="209"/>
      <c r="K498" s="565"/>
      <c r="L498" s="209"/>
      <c r="M498" s="565">
        <f t="shared" si="14"/>
        <v>0</v>
      </c>
      <c r="N498" s="565"/>
      <c r="O498" s="565"/>
      <c r="P498" s="218">
        <f t="shared" si="13"/>
        <v>0</v>
      </c>
    </row>
    <row r="499" spans="1:16" ht="14.25" outlineLevel="1" x14ac:dyDescent="0.45">
      <c r="A499" s="216"/>
      <c r="B499" s="206"/>
      <c r="C499" s="207"/>
      <c r="D499" s="208"/>
      <c r="E499" s="208"/>
      <c r="F499" s="208" t="s">
        <v>428</v>
      </c>
      <c r="G499" s="208"/>
      <c r="H499" s="231"/>
      <c r="I499" s="565"/>
      <c r="J499" s="209"/>
      <c r="K499" s="565"/>
      <c r="L499" s="209"/>
      <c r="M499" s="565">
        <f t="shared" si="14"/>
        <v>0</v>
      </c>
      <c r="N499" s="565"/>
      <c r="O499" s="565"/>
      <c r="P499" s="218">
        <f t="shared" si="13"/>
        <v>0</v>
      </c>
    </row>
    <row r="500" spans="1:16" ht="14.25" outlineLevel="1" x14ac:dyDescent="0.45">
      <c r="A500" s="216"/>
      <c r="B500" s="206"/>
      <c r="C500" s="207"/>
      <c r="D500" s="208"/>
      <c r="E500" s="208"/>
      <c r="F500" s="208" t="s">
        <v>428</v>
      </c>
      <c r="G500" s="208"/>
      <c r="H500" s="231"/>
      <c r="I500" s="565"/>
      <c r="J500" s="209"/>
      <c r="K500" s="565"/>
      <c r="L500" s="209"/>
      <c r="M500" s="565">
        <f t="shared" si="14"/>
        <v>0</v>
      </c>
      <c r="N500" s="565"/>
      <c r="O500" s="565"/>
      <c r="P500" s="218">
        <f t="shared" si="13"/>
        <v>0</v>
      </c>
    </row>
    <row r="501" spans="1:16" ht="14.25" outlineLevel="1" x14ac:dyDescent="0.45">
      <c r="A501" s="216"/>
      <c r="B501" s="206"/>
      <c r="C501" s="207"/>
      <c r="D501" s="208"/>
      <c r="E501" s="208"/>
      <c r="F501" s="208" t="s">
        <v>428</v>
      </c>
      <c r="G501" s="208"/>
      <c r="H501" s="231"/>
      <c r="I501" s="565"/>
      <c r="J501" s="209"/>
      <c r="K501" s="565"/>
      <c r="L501" s="209"/>
      <c r="M501" s="565">
        <f t="shared" si="14"/>
        <v>0</v>
      </c>
      <c r="N501" s="565"/>
      <c r="O501" s="565"/>
      <c r="P501" s="218">
        <f t="shared" si="13"/>
        <v>0</v>
      </c>
    </row>
    <row r="502" spans="1:16" ht="14.25" outlineLevel="1" x14ac:dyDescent="0.45">
      <c r="A502" s="216"/>
      <c r="B502" s="206"/>
      <c r="C502" s="207"/>
      <c r="D502" s="208"/>
      <c r="E502" s="208"/>
      <c r="F502" s="208" t="s">
        <v>428</v>
      </c>
      <c r="G502" s="208"/>
      <c r="H502" s="231"/>
      <c r="I502" s="565"/>
      <c r="J502" s="209"/>
      <c r="K502" s="565"/>
      <c r="L502" s="209"/>
      <c r="M502" s="565">
        <f t="shared" si="14"/>
        <v>0</v>
      </c>
      <c r="N502" s="565"/>
      <c r="O502" s="565"/>
      <c r="P502" s="218">
        <f t="shared" si="13"/>
        <v>0</v>
      </c>
    </row>
    <row r="503" spans="1:16" ht="14.25" outlineLevel="1" x14ac:dyDescent="0.45">
      <c r="A503" s="216"/>
      <c r="B503" s="206"/>
      <c r="C503" s="207"/>
      <c r="D503" s="208"/>
      <c r="E503" s="208"/>
      <c r="F503" s="208" t="s">
        <v>428</v>
      </c>
      <c r="G503" s="208"/>
      <c r="H503" s="231"/>
      <c r="I503" s="565"/>
      <c r="J503" s="209"/>
      <c r="K503" s="565"/>
      <c r="L503" s="209"/>
      <c r="M503" s="565">
        <f t="shared" si="14"/>
        <v>0</v>
      </c>
      <c r="N503" s="565"/>
      <c r="O503" s="565"/>
      <c r="P503" s="218">
        <f t="shared" si="13"/>
        <v>0</v>
      </c>
    </row>
    <row r="504" spans="1:16" ht="14.25" outlineLevel="1" x14ac:dyDescent="0.45">
      <c r="A504" s="216"/>
      <c r="B504" s="206"/>
      <c r="C504" s="207"/>
      <c r="D504" s="208"/>
      <c r="E504" s="208"/>
      <c r="F504" s="208" t="s">
        <v>428</v>
      </c>
      <c r="G504" s="208"/>
      <c r="H504" s="231"/>
      <c r="I504" s="565"/>
      <c r="J504" s="209"/>
      <c r="K504" s="565"/>
      <c r="L504" s="209"/>
      <c r="M504" s="565">
        <f t="shared" si="14"/>
        <v>0</v>
      </c>
      <c r="N504" s="565"/>
      <c r="O504" s="565"/>
      <c r="P504" s="218">
        <f t="shared" si="13"/>
        <v>0</v>
      </c>
    </row>
    <row r="505" spans="1:16" ht="14.25" outlineLevel="1" x14ac:dyDescent="0.45">
      <c r="A505" s="216"/>
      <c r="B505" s="206"/>
      <c r="C505" s="207"/>
      <c r="D505" s="208"/>
      <c r="E505" s="208"/>
      <c r="F505" s="208" t="s">
        <v>428</v>
      </c>
      <c r="G505" s="208"/>
      <c r="H505" s="231"/>
      <c r="I505" s="565"/>
      <c r="J505" s="209"/>
      <c r="K505" s="565"/>
      <c r="L505" s="209"/>
      <c r="M505" s="565">
        <f t="shared" si="14"/>
        <v>0</v>
      </c>
      <c r="N505" s="565"/>
      <c r="O505" s="565"/>
      <c r="P505" s="218">
        <f t="shared" si="13"/>
        <v>0</v>
      </c>
    </row>
    <row r="506" spans="1:16" ht="14.25" outlineLevel="1" x14ac:dyDescent="0.45">
      <c r="A506" s="216"/>
      <c r="B506" s="206"/>
      <c r="C506" s="207"/>
      <c r="D506" s="208"/>
      <c r="E506" s="208"/>
      <c r="F506" s="208" t="s">
        <v>428</v>
      </c>
      <c r="G506" s="208"/>
      <c r="H506" s="231"/>
      <c r="I506" s="565"/>
      <c r="J506" s="209"/>
      <c r="K506" s="565"/>
      <c r="L506" s="209"/>
      <c r="M506" s="565">
        <f t="shared" si="14"/>
        <v>0</v>
      </c>
      <c r="N506" s="565"/>
      <c r="O506" s="565"/>
      <c r="P506" s="218">
        <f t="shared" si="13"/>
        <v>0</v>
      </c>
    </row>
    <row r="507" spans="1:16" ht="14.25" outlineLevel="1" x14ac:dyDescent="0.45">
      <c r="A507" s="216"/>
      <c r="B507" s="206"/>
      <c r="C507" s="207"/>
      <c r="D507" s="208"/>
      <c r="E507" s="208"/>
      <c r="F507" s="208" t="s">
        <v>428</v>
      </c>
      <c r="G507" s="208"/>
      <c r="H507" s="231"/>
      <c r="I507" s="565"/>
      <c r="J507" s="209"/>
      <c r="K507" s="565"/>
      <c r="L507" s="209"/>
      <c r="M507" s="565">
        <f t="shared" si="14"/>
        <v>0</v>
      </c>
      <c r="N507" s="565"/>
      <c r="O507" s="565"/>
      <c r="P507" s="218">
        <f t="shared" si="13"/>
        <v>0</v>
      </c>
    </row>
    <row r="508" spans="1:16" ht="14.25" outlineLevel="1" x14ac:dyDescent="0.45">
      <c r="A508" s="216"/>
      <c r="B508" s="206"/>
      <c r="C508" s="207"/>
      <c r="D508" s="208"/>
      <c r="E508" s="208"/>
      <c r="F508" s="208" t="s">
        <v>428</v>
      </c>
      <c r="G508" s="208"/>
      <c r="H508" s="231"/>
      <c r="I508" s="565"/>
      <c r="J508" s="209"/>
      <c r="K508" s="565"/>
      <c r="L508" s="209"/>
      <c r="M508" s="565">
        <f t="shared" si="14"/>
        <v>0</v>
      </c>
      <c r="N508" s="565"/>
      <c r="O508" s="565"/>
      <c r="P508" s="218">
        <f t="shared" si="13"/>
        <v>0</v>
      </c>
    </row>
    <row r="509" spans="1:16" ht="14.25" outlineLevel="1" x14ac:dyDescent="0.45">
      <c r="A509" s="216"/>
      <c r="B509" s="206"/>
      <c r="C509" s="207"/>
      <c r="D509" s="208"/>
      <c r="E509" s="208"/>
      <c r="F509" s="208" t="s">
        <v>428</v>
      </c>
      <c r="G509" s="208"/>
      <c r="H509" s="231"/>
      <c r="I509" s="565"/>
      <c r="J509" s="209"/>
      <c r="K509" s="565"/>
      <c r="L509" s="209"/>
      <c r="M509" s="565">
        <f t="shared" si="14"/>
        <v>0</v>
      </c>
      <c r="N509" s="565"/>
      <c r="O509" s="565"/>
      <c r="P509" s="218">
        <f t="shared" si="13"/>
        <v>0</v>
      </c>
    </row>
    <row r="510" spans="1:16" ht="14.25" outlineLevel="1" x14ac:dyDescent="0.45">
      <c r="A510" s="216"/>
      <c r="B510" s="206"/>
      <c r="C510" s="207"/>
      <c r="D510" s="208"/>
      <c r="E510" s="208"/>
      <c r="F510" s="208" t="s">
        <v>428</v>
      </c>
      <c r="G510" s="208"/>
      <c r="H510" s="231"/>
      <c r="I510" s="565"/>
      <c r="J510" s="209"/>
      <c r="K510" s="565"/>
      <c r="L510" s="209"/>
      <c r="M510" s="565">
        <f t="shared" si="14"/>
        <v>0</v>
      </c>
      <c r="N510" s="565"/>
      <c r="O510" s="565"/>
      <c r="P510" s="218">
        <f t="shared" si="13"/>
        <v>0</v>
      </c>
    </row>
    <row r="511" spans="1:16" ht="14.25" outlineLevel="1" x14ac:dyDescent="0.45">
      <c r="A511" s="216"/>
      <c r="B511" s="206"/>
      <c r="C511" s="207"/>
      <c r="D511" s="208"/>
      <c r="E511" s="208"/>
      <c r="F511" s="208" t="s">
        <v>428</v>
      </c>
      <c r="G511" s="208"/>
      <c r="H511" s="231"/>
      <c r="I511" s="565"/>
      <c r="J511" s="209"/>
      <c r="K511" s="565"/>
      <c r="L511" s="209"/>
      <c r="M511" s="565">
        <f t="shared" si="14"/>
        <v>0</v>
      </c>
      <c r="N511" s="565"/>
      <c r="O511" s="565"/>
      <c r="P511" s="218">
        <f t="shared" si="13"/>
        <v>0</v>
      </c>
    </row>
    <row r="512" spans="1:16" ht="14.25" outlineLevel="1" x14ac:dyDescent="0.45">
      <c r="A512" s="216"/>
      <c r="B512" s="206"/>
      <c r="C512" s="207"/>
      <c r="D512" s="208"/>
      <c r="E512" s="208"/>
      <c r="F512" s="208" t="s">
        <v>428</v>
      </c>
      <c r="G512" s="208"/>
      <c r="H512" s="231"/>
      <c r="I512" s="565"/>
      <c r="J512" s="209"/>
      <c r="K512" s="565"/>
      <c r="L512" s="209"/>
      <c r="M512" s="565">
        <f t="shared" si="14"/>
        <v>0</v>
      </c>
      <c r="N512" s="565"/>
      <c r="O512" s="565"/>
      <c r="P512" s="218">
        <f t="shared" si="13"/>
        <v>0</v>
      </c>
    </row>
    <row r="513" spans="1:16" ht="14.25" outlineLevel="1" x14ac:dyDescent="0.45">
      <c r="A513" s="216"/>
      <c r="B513" s="206"/>
      <c r="C513" s="207"/>
      <c r="D513" s="208"/>
      <c r="E513" s="208"/>
      <c r="F513" s="208" t="s">
        <v>428</v>
      </c>
      <c r="G513" s="208"/>
      <c r="H513" s="231"/>
      <c r="I513" s="565"/>
      <c r="J513" s="209"/>
      <c r="K513" s="565"/>
      <c r="L513" s="209"/>
      <c r="M513" s="565">
        <f t="shared" si="14"/>
        <v>0</v>
      </c>
      <c r="N513" s="565"/>
      <c r="O513" s="565"/>
      <c r="P513" s="218">
        <f t="shared" si="13"/>
        <v>0</v>
      </c>
    </row>
    <row r="514" spans="1:16" ht="14.25" outlineLevel="1" x14ac:dyDescent="0.45">
      <c r="A514" s="216"/>
      <c r="B514" s="206"/>
      <c r="C514" s="207"/>
      <c r="D514" s="208"/>
      <c r="E514" s="208"/>
      <c r="F514" s="208" t="s">
        <v>428</v>
      </c>
      <c r="G514" s="208"/>
      <c r="H514" s="231"/>
      <c r="I514" s="565"/>
      <c r="J514" s="209"/>
      <c r="K514" s="565"/>
      <c r="L514" s="209"/>
      <c r="M514" s="565">
        <f t="shared" si="14"/>
        <v>0</v>
      </c>
      <c r="N514" s="565"/>
      <c r="O514" s="565"/>
      <c r="P514" s="218">
        <f t="shared" si="13"/>
        <v>0</v>
      </c>
    </row>
    <row r="515" spans="1:16" ht="14.25" outlineLevel="1" x14ac:dyDescent="0.45">
      <c r="A515" s="216"/>
      <c r="B515" s="206"/>
      <c r="C515" s="207"/>
      <c r="D515" s="208"/>
      <c r="E515" s="208"/>
      <c r="F515" s="208" t="s">
        <v>428</v>
      </c>
      <c r="G515" s="208"/>
      <c r="H515" s="231"/>
      <c r="I515" s="565"/>
      <c r="J515" s="209"/>
      <c r="K515" s="565"/>
      <c r="L515" s="209"/>
      <c r="M515" s="565">
        <f t="shared" si="14"/>
        <v>0</v>
      </c>
      <c r="N515" s="565"/>
      <c r="O515" s="565"/>
      <c r="P515" s="218">
        <f t="shared" si="13"/>
        <v>0</v>
      </c>
    </row>
    <row r="516" spans="1:16" ht="14.25" outlineLevel="1" x14ac:dyDescent="0.45">
      <c r="A516" s="216"/>
      <c r="B516" s="206"/>
      <c r="C516" s="207"/>
      <c r="D516" s="208"/>
      <c r="E516" s="208"/>
      <c r="F516" s="208" t="s">
        <v>428</v>
      </c>
      <c r="G516" s="208"/>
      <c r="H516" s="231"/>
      <c r="I516" s="565"/>
      <c r="J516" s="209"/>
      <c r="K516" s="565"/>
      <c r="L516" s="209"/>
      <c r="M516" s="565">
        <f t="shared" si="14"/>
        <v>0</v>
      </c>
      <c r="N516" s="565"/>
      <c r="O516" s="565"/>
      <c r="P516" s="218">
        <f t="shared" si="13"/>
        <v>0</v>
      </c>
    </row>
    <row r="517" spans="1:16" ht="14.25" outlineLevel="1" x14ac:dyDescent="0.45">
      <c r="A517" s="216"/>
      <c r="B517" s="206"/>
      <c r="C517" s="207"/>
      <c r="D517" s="208"/>
      <c r="E517" s="208"/>
      <c r="F517" s="208" t="s">
        <v>428</v>
      </c>
      <c r="G517" s="208"/>
      <c r="H517" s="231"/>
      <c r="I517" s="565"/>
      <c r="J517" s="209"/>
      <c r="K517" s="565"/>
      <c r="L517" s="209"/>
      <c r="M517" s="565">
        <f t="shared" si="14"/>
        <v>0</v>
      </c>
      <c r="N517" s="565"/>
      <c r="O517" s="565"/>
      <c r="P517" s="218">
        <f t="shared" si="13"/>
        <v>0</v>
      </c>
    </row>
    <row r="518" spans="1:16" ht="14.25" outlineLevel="1" x14ac:dyDescent="0.45">
      <c r="A518" s="216"/>
      <c r="B518" s="206"/>
      <c r="C518" s="207"/>
      <c r="D518" s="208"/>
      <c r="E518" s="208"/>
      <c r="F518" s="208" t="s">
        <v>428</v>
      </c>
      <c r="G518" s="208"/>
      <c r="H518" s="231"/>
      <c r="I518" s="565"/>
      <c r="J518" s="209"/>
      <c r="K518" s="565"/>
      <c r="L518" s="209"/>
      <c r="M518" s="565">
        <f t="shared" si="14"/>
        <v>0</v>
      </c>
      <c r="N518" s="565"/>
      <c r="O518" s="565"/>
      <c r="P518" s="218">
        <f t="shared" si="13"/>
        <v>0</v>
      </c>
    </row>
    <row r="519" spans="1:16" ht="14.25" outlineLevel="1" x14ac:dyDescent="0.45">
      <c r="A519" s="216"/>
      <c r="B519" s="206"/>
      <c r="C519" s="207"/>
      <c r="D519" s="208"/>
      <c r="E519" s="208"/>
      <c r="F519" s="208" t="s">
        <v>428</v>
      </c>
      <c r="G519" s="208"/>
      <c r="H519" s="231"/>
      <c r="I519" s="565"/>
      <c r="J519" s="209"/>
      <c r="K519" s="565"/>
      <c r="L519" s="209"/>
      <c r="M519" s="565">
        <f t="shared" si="14"/>
        <v>0</v>
      </c>
      <c r="N519" s="565"/>
      <c r="O519" s="565"/>
      <c r="P519" s="218">
        <f t="shared" si="13"/>
        <v>0</v>
      </c>
    </row>
    <row r="520" spans="1:16" ht="14.25" outlineLevel="1" x14ac:dyDescent="0.45">
      <c r="A520" s="216"/>
      <c r="B520" s="206"/>
      <c r="C520" s="207"/>
      <c r="D520" s="208"/>
      <c r="E520" s="208"/>
      <c r="F520" s="208" t="s">
        <v>428</v>
      </c>
      <c r="G520" s="208"/>
      <c r="H520" s="231"/>
      <c r="I520" s="565"/>
      <c r="J520" s="209"/>
      <c r="K520" s="565"/>
      <c r="L520" s="209"/>
      <c r="M520" s="565">
        <f t="shared" si="14"/>
        <v>0</v>
      </c>
      <c r="N520" s="565"/>
      <c r="O520" s="565"/>
      <c r="P520" s="218">
        <f t="shared" si="13"/>
        <v>0</v>
      </c>
    </row>
    <row r="521" spans="1:16" ht="14.25" outlineLevel="1" x14ac:dyDescent="0.45">
      <c r="A521" s="216"/>
      <c r="B521" s="206"/>
      <c r="C521" s="207"/>
      <c r="D521" s="208"/>
      <c r="E521" s="208"/>
      <c r="F521" s="208" t="s">
        <v>428</v>
      </c>
      <c r="G521" s="208"/>
      <c r="H521" s="231"/>
      <c r="I521" s="565"/>
      <c r="J521" s="209"/>
      <c r="K521" s="565"/>
      <c r="L521" s="209"/>
      <c r="M521" s="565">
        <f t="shared" si="14"/>
        <v>0</v>
      </c>
      <c r="N521" s="565"/>
      <c r="O521" s="565"/>
      <c r="P521" s="218">
        <f t="shared" si="13"/>
        <v>0</v>
      </c>
    </row>
    <row r="522" spans="1:16" ht="14.25" outlineLevel="1" x14ac:dyDescent="0.45">
      <c r="A522" s="216"/>
      <c r="B522" s="206"/>
      <c r="C522" s="207"/>
      <c r="D522" s="208"/>
      <c r="E522" s="208"/>
      <c r="F522" s="208" t="s">
        <v>428</v>
      </c>
      <c r="G522" s="208"/>
      <c r="H522" s="231"/>
      <c r="I522" s="565"/>
      <c r="J522" s="209"/>
      <c r="K522" s="565"/>
      <c r="L522" s="209"/>
      <c r="M522" s="565">
        <f t="shared" si="14"/>
        <v>0</v>
      </c>
      <c r="N522" s="565"/>
      <c r="O522" s="565"/>
      <c r="P522" s="218">
        <f t="shared" si="13"/>
        <v>0</v>
      </c>
    </row>
    <row r="523" spans="1:16" ht="14.25" outlineLevel="1" x14ac:dyDescent="0.45">
      <c r="A523" s="216"/>
      <c r="B523" s="206"/>
      <c r="C523" s="207"/>
      <c r="D523" s="208"/>
      <c r="E523" s="208"/>
      <c r="F523" s="208" t="s">
        <v>428</v>
      </c>
      <c r="G523" s="208"/>
      <c r="H523" s="231"/>
      <c r="I523" s="565"/>
      <c r="J523" s="209"/>
      <c r="K523" s="565"/>
      <c r="L523" s="209"/>
      <c r="M523" s="565">
        <f t="shared" si="14"/>
        <v>0</v>
      </c>
      <c r="N523" s="565"/>
      <c r="O523" s="565"/>
      <c r="P523" s="218">
        <f t="shared" si="13"/>
        <v>0</v>
      </c>
    </row>
    <row r="524" spans="1:16" ht="14.25" outlineLevel="1" x14ac:dyDescent="0.45">
      <c r="A524" s="216"/>
      <c r="B524" s="206"/>
      <c r="C524" s="207"/>
      <c r="D524" s="208"/>
      <c r="E524" s="208"/>
      <c r="F524" s="208" t="s">
        <v>428</v>
      </c>
      <c r="G524" s="208"/>
      <c r="H524" s="231"/>
      <c r="I524" s="565"/>
      <c r="J524" s="209"/>
      <c r="K524" s="565"/>
      <c r="L524" s="209"/>
      <c r="M524" s="565">
        <f t="shared" si="14"/>
        <v>0</v>
      </c>
      <c r="N524" s="565"/>
      <c r="O524" s="565"/>
      <c r="P524" s="218">
        <f t="shared" si="13"/>
        <v>0</v>
      </c>
    </row>
    <row r="525" spans="1:16" ht="14.25" outlineLevel="1" x14ac:dyDescent="0.45">
      <c r="A525" s="216" t="s">
        <v>53</v>
      </c>
      <c r="B525" s="206"/>
      <c r="C525" s="207"/>
      <c r="D525" s="208"/>
      <c r="E525" s="208"/>
      <c r="F525" s="208"/>
      <c r="G525" s="208"/>
      <c r="H525" s="231"/>
      <c r="I525" s="565"/>
      <c r="J525" s="209"/>
      <c r="K525" s="565"/>
      <c r="L525" s="209"/>
      <c r="M525" s="565"/>
      <c r="N525" s="565"/>
      <c r="O525" s="565"/>
      <c r="P525" s="219" t="e">
        <f>SUBTOTAL(9,P2:P524)</f>
        <v>#N/A</v>
      </c>
    </row>
    <row r="526" spans="1:16" ht="14.25" outlineLevel="1" x14ac:dyDescent="0.45">
      <c r="A526" s="216"/>
      <c r="B526" s="206"/>
      <c r="C526" s="207"/>
      <c r="D526" s="207"/>
      <c r="E526" s="207"/>
      <c r="F526" s="207"/>
      <c r="G526" s="206"/>
      <c r="H526" s="232"/>
      <c r="I526" s="210"/>
      <c r="J526" s="211"/>
      <c r="K526" s="210"/>
      <c r="L526" s="211"/>
      <c r="M526" s="210"/>
      <c r="N526" s="210"/>
      <c r="O526" s="210"/>
      <c r="P526" s="219"/>
    </row>
    <row r="527" spans="1:16" ht="14.65" outlineLevel="1" thickBot="1" x14ac:dyDescent="0.5">
      <c r="A527" s="217" t="s">
        <v>53</v>
      </c>
      <c r="B527" s="212"/>
      <c r="C527" s="213"/>
      <c r="D527" s="213"/>
      <c r="E527" s="213"/>
      <c r="F527" s="213"/>
      <c r="G527" s="212"/>
      <c r="H527" s="233"/>
      <c r="I527" s="214"/>
      <c r="J527" s="215"/>
      <c r="K527" s="214"/>
      <c r="L527" s="215"/>
      <c r="M527" s="214">
        <f>SUBTOTAL(9,M2:M526)</f>
        <v>2140067600</v>
      </c>
      <c r="N527" s="214"/>
      <c r="O527" s="214">
        <f>SUBTOTAL(9,O2:O526)</f>
        <v>20950000</v>
      </c>
      <c r="P527" s="220"/>
    </row>
  </sheetData>
  <mergeCells count="10">
    <mergeCell ref="O80:O81"/>
    <mergeCell ref="O83:O84"/>
    <mergeCell ref="O90:O91"/>
    <mergeCell ref="O93:O94"/>
    <mergeCell ref="O2:O4"/>
    <mergeCell ref="O8:O24"/>
    <mergeCell ref="O45:O47"/>
    <mergeCell ref="O49:O53"/>
    <mergeCell ref="O64:O66"/>
    <mergeCell ref="O68:O73"/>
  </mergeCells>
  <conditionalFormatting sqref="A2:P527">
    <cfRule type="expression" dxfId="36" priority="1">
      <formula>MOD(ROW(),2)=0</formula>
    </cfRule>
    <cfRule type="expression" dxfId="35" priority="2">
      <formula>ISNUMBER(SEARCH("Итог",$A2))</formula>
    </cfRule>
  </conditionalFormatting>
  <conditionalFormatting sqref="G2:G527">
    <cfRule type="expression" dxfId="34" priority="3">
      <formula>AND($G2&lt;&gt;"",ISERROR(SEARCH("Итог",$A2)))</formula>
    </cfRule>
  </conditionalFormatting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5E619-5620-4C48-BC4C-901F61654AB2}">
  <sheetPr codeName="Worksheet____9"/>
  <dimension ref="A1:R302"/>
  <sheetViews>
    <sheetView zoomScale="67" workbookViewId="0">
      <pane ySplit="1" topLeftCell="A219" activePane="bottomLeft" state="frozen"/>
      <selection pane="bottomLeft" activeCell="J242" sqref="J242"/>
    </sheetView>
  </sheetViews>
  <sheetFormatPr defaultRowHeight="14.25" x14ac:dyDescent="0.45"/>
  <cols>
    <col min="1" max="1" width="16.796875" style="242" customWidth="1"/>
    <col min="2" max="2" width="32" style="241" customWidth="1"/>
    <col min="3" max="3" width="13.33203125" style="236" customWidth="1"/>
    <col min="4" max="4" width="11.53125" style="237" customWidth="1"/>
    <col min="5" max="5" width="28.3984375" style="238" customWidth="1"/>
    <col min="6" max="6" width="19.6640625" style="238" customWidth="1"/>
    <col min="7" max="7" width="12.3984375" style="238" customWidth="1"/>
    <col min="8" max="8" width="19.6640625" style="243" customWidth="1"/>
    <col min="9" max="9" width="12.3984375" style="238" customWidth="1"/>
    <col min="10" max="10" width="19.6640625" style="240" customWidth="1"/>
    <col min="11" max="11" width="16.796875" style="238" customWidth="1"/>
    <col min="12" max="12" width="23.1328125" style="238" customWidth="1"/>
    <col min="13" max="13" width="23.1328125" style="239" customWidth="1"/>
    <col min="14" max="14" width="19.6640625" customWidth="1"/>
    <col min="15" max="15" width="17.86328125" style="238" customWidth="1"/>
    <col min="16" max="16" width="13.19921875" bestFit="1" customWidth="1"/>
    <col min="17" max="17" width="15.86328125" bestFit="1" customWidth="1"/>
    <col min="18" max="18" width="12.9296875" bestFit="1" customWidth="1"/>
  </cols>
  <sheetData>
    <row r="1" spans="1:18" ht="42" customHeight="1" thickBot="1" x14ac:dyDescent="0.5">
      <c r="A1" s="283" t="s">
        <v>26</v>
      </c>
      <c r="B1" s="284" t="s">
        <v>504</v>
      </c>
      <c r="C1" s="284" t="s">
        <v>33</v>
      </c>
      <c r="D1" s="284" t="s">
        <v>505</v>
      </c>
      <c r="E1" s="284" t="s">
        <v>506</v>
      </c>
      <c r="F1" s="284" t="s">
        <v>507</v>
      </c>
      <c r="G1" s="284" t="s">
        <v>27</v>
      </c>
      <c r="H1" s="285" t="s">
        <v>145</v>
      </c>
      <c r="I1" s="284" t="s">
        <v>508</v>
      </c>
      <c r="J1" s="286" t="s">
        <v>163</v>
      </c>
      <c r="K1" s="284" t="s">
        <v>509</v>
      </c>
      <c r="L1" s="284" t="s">
        <v>510</v>
      </c>
      <c r="M1" s="287" t="s">
        <v>171</v>
      </c>
      <c r="N1" s="288" t="s">
        <v>329</v>
      </c>
      <c r="O1" s="289" t="s">
        <v>147</v>
      </c>
      <c r="P1" s="244" cm="1">
        <f t="array" ref="P1">SUMPRODUCT(H102:H305*IF(G102:G305="USD",I102:I305,1))</f>
        <v>929637215</v>
      </c>
      <c r="Q1" s="234" cm="1">
        <f t="array" ref="Q1">SUMPRODUCT(J102:J305*IF(G102:G305="USD",K102:K305,1))</f>
        <v>933925354</v>
      </c>
      <c r="R1" s="235">
        <f>P1-Q1</f>
        <v>-4288139</v>
      </c>
    </row>
    <row r="2" spans="1:18" ht="14.65" thickTop="1" x14ac:dyDescent="0.45">
      <c r="A2" s="274">
        <v>46058</v>
      </c>
      <c r="B2" s="275" t="s">
        <v>511</v>
      </c>
      <c r="C2" s="276" t="s">
        <v>512</v>
      </c>
      <c r="D2" s="290">
        <v>0</v>
      </c>
      <c r="E2" s="276" t="s">
        <v>513</v>
      </c>
      <c r="F2" s="277"/>
      <c r="G2" s="276" t="s">
        <v>514</v>
      </c>
      <c r="H2" s="293"/>
      <c r="I2" s="276"/>
      <c r="J2" s="296"/>
      <c r="K2" s="278"/>
      <c r="L2" s="279"/>
      <c r="M2" s="280"/>
      <c r="N2" s="281">
        <f>IF(A2&lt;&gt;"", J2 / VLOOKUP(A2, 'Курс валют'!$A:$D, 4, 0), "")</f>
        <v>0</v>
      </c>
      <c r="O2" s="282"/>
    </row>
    <row r="3" spans="1:18" x14ac:dyDescent="0.45">
      <c r="A3" s="253">
        <v>46058</v>
      </c>
      <c r="B3" s="254" t="s">
        <v>515</v>
      </c>
      <c r="C3" s="255" t="s">
        <v>516</v>
      </c>
      <c r="D3" s="291">
        <v>310</v>
      </c>
      <c r="E3" s="255" t="s">
        <v>513</v>
      </c>
      <c r="F3" s="256"/>
      <c r="G3" s="255" t="s">
        <v>514</v>
      </c>
      <c r="H3" s="294"/>
      <c r="I3" s="255"/>
      <c r="J3" s="297"/>
      <c r="K3" s="262"/>
      <c r="L3" s="258">
        <f t="shared" ref="L3:M34" si="0">IF(G3="USD", H3*K3, H3)</f>
        <v>0</v>
      </c>
      <c r="M3" s="259">
        <f t="shared" si="0"/>
        <v>0</v>
      </c>
      <c r="N3" s="281">
        <f>IF(A3&lt;&gt;"", J3 / VLOOKUP(A3, 'Курс валют'!$A:$D, 4, 0), "")</f>
        <v>0</v>
      </c>
      <c r="O3" s="261"/>
    </row>
    <row r="4" spans="1:18" x14ac:dyDescent="0.45">
      <c r="A4" s="253">
        <v>46058</v>
      </c>
      <c r="B4" s="254" t="s">
        <v>517</v>
      </c>
      <c r="C4" s="255" t="s">
        <v>512</v>
      </c>
      <c r="D4" s="291">
        <v>8</v>
      </c>
      <c r="E4" s="255" t="s">
        <v>513</v>
      </c>
      <c r="F4" s="256"/>
      <c r="G4" s="255" t="s">
        <v>514</v>
      </c>
      <c r="H4" s="294"/>
      <c r="I4" s="255"/>
      <c r="J4" s="297">
        <f>D4*400000-100000</f>
        <v>3100000</v>
      </c>
      <c r="K4" s="257"/>
      <c r="L4" s="258">
        <f t="shared" si="0"/>
        <v>0</v>
      </c>
      <c r="M4" s="259">
        <f t="shared" si="0"/>
        <v>0</v>
      </c>
      <c r="N4" s="281">
        <f>IF(A4&lt;&gt;"", J4 / VLOOKUP(A4, 'Курс валют'!$A:$D, 4, 0), "")</f>
        <v>254.09836065573771</v>
      </c>
      <c r="O4" s="261"/>
    </row>
    <row r="5" spans="1:18" x14ac:dyDescent="0.45">
      <c r="A5" s="253">
        <v>46058</v>
      </c>
      <c r="B5" s="254" t="s">
        <v>518</v>
      </c>
      <c r="C5" s="255" t="s">
        <v>519</v>
      </c>
      <c r="D5" s="291">
        <v>20</v>
      </c>
      <c r="E5" s="255" t="s">
        <v>513</v>
      </c>
      <c r="F5" s="256"/>
      <c r="G5" s="255" t="s">
        <v>514</v>
      </c>
      <c r="H5" s="294"/>
      <c r="I5" s="255"/>
      <c r="J5" s="297">
        <v>290000</v>
      </c>
      <c r="K5" s="257"/>
      <c r="L5" s="258">
        <f t="shared" si="0"/>
        <v>0</v>
      </c>
      <c r="M5" s="259">
        <f t="shared" si="0"/>
        <v>0</v>
      </c>
      <c r="N5" s="281">
        <f>IF(A5&lt;&gt;"", J5 / VLOOKUP(A5, 'Курс валют'!$A:$D, 4, 0), "")</f>
        <v>23.770491803278688</v>
      </c>
      <c r="O5" s="261"/>
    </row>
    <row r="6" spans="1:18" x14ac:dyDescent="0.45">
      <c r="A6" s="253">
        <v>46058</v>
      </c>
      <c r="B6" s="254" t="s">
        <v>520</v>
      </c>
      <c r="C6" s="255" t="s">
        <v>69</v>
      </c>
      <c r="D6" s="291">
        <v>1</v>
      </c>
      <c r="E6" s="255" t="s">
        <v>513</v>
      </c>
      <c r="F6" s="256"/>
      <c r="G6" s="255" t="s">
        <v>514</v>
      </c>
      <c r="H6" s="294"/>
      <c r="I6" s="255"/>
      <c r="J6" s="297">
        <v>1000000</v>
      </c>
      <c r="K6" s="257"/>
      <c r="L6" s="258">
        <f t="shared" si="0"/>
        <v>0</v>
      </c>
      <c r="M6" s="259">
        <f t="shared" si="0"/>
        <v>0</v>
      </c>
      <c r="N6" s="281">
        <f>IF(A6&lt;&gt;"", J6 / VLOOKUP(A6, 'Курс валют'!$A:$D, 4, 0), "")</f>
        <v>81.967213114754102</v>
      </c>
      <c r="O6" s="261"/>
    </row>
    <row r="7" spans="1:18" x14ac:dyDescent="0.45">
      <c r="A7" s="253">
        <v>46058</v>
      </c>
      <c r="B7" s="254" t="s">
        <v>521</v>
      </c>
      <c r="C7" s="255" t="s">
        <v>69</v>
      </c>
      <c r="D7" s="291">
        <v>30</v>
      </c>
      <c r="E7" s="255" t="s">
        <v>513</v>
      </c>
      <c r="F7" s="256"/>
      <c r="G7" s="255" t="s">
        <v>514</v>
      </c>
      <c r="H7" s="294"/>
      <c r="I7" s="255"/>
      <c r="J7" s="297">
        <f>D7*15214.8</f>
        <v>456444</v>
      </c>
      <c r="K7" s="257"/>
      <c r="L7" s="258">
        <f t="shared" si="0"/>
        <v>0</v>
      </c>
      <c r="M7" s="259">
        <f t="shared" si="0"/>
        <v>0</v>
      </c>
      <c r="N7" s="281">
        <f>IF(A7&lt;&gt;"", J7 / VLOOKUP(A7, 'Курс валют'!$A:$D, 4, 0), "")</f>
        <v>37.413442622950818</v>
      </c>
      <c r="O7" s="261"/>
    </row>
    <row r="8" spans="1:18" x14ac:dyDescent="0.45">
      <c r="A8" s="253">
        <v>46058</v>
      </c>
      <c r="B8" s="254" t="s">
        <v>522</v>
      </c>
      <c r="C8" s="255" t="s">
        <v>65</v>
      </c>
      <c r="D8" s="291">
        <v>1</v>
      </c>
      <c r="E8" s="255" t="s">
        <v>513</v>
      </c>
      <c r="F8" s="256"/>
      <c r="G8" s="255" t="s">
        <v>514</v>
      </c>
      <c r="H8" s="294"/>
      <c r="I8" s="255"/>
      <c r="J8" s="297">
        <v>21000</v>
      </c>
      <c r="K8" s="257"/>
      <c r="L8" s="258">
        <f t="shared" si="0"/>
        <v>0</v>
      </c>
      <c r="M8" s="259">
        <f t="shared" si="0"/>
        <v>0</v>
      </c>
      <c r="N8" s="281">
        <f>IF(A8&lt;&gt;"", J8 / VLOOKUP(A8, 'Курс валют'!$A:$D, 4, 0), "")</f>
        <v>1.721311475409836</v>
      </c>
      <c r="O8" s="261"/>
    </row>
    <row r="9" spans="1:18" x14ac:dyDescent="0.45">
      <c r="A9" s="253">
        <v>46058</v>
      </c>
      <c r="B9" s="254" t="s">
        <v>523</v>
      </c>
      <c r="C9" s="255" t="s">
        <v>519</v>
      </c>
      <c r="D9" s="291">
        <v>20</v>
      </c>
      <c r="E9" s="255" t="s">
        <v>513</v>
      </c>
      <c r="F9" s="256"/>
      <c r="G9" s="255" t="s">
        <v>514</v>
      </c>
      <c r="H9" s="294"/>
      <c r="I9" s="255"/>
      <c r="J9" s="297">
        <f>20000*D9</f>
        <v>400000</v>
      </c>
      <c r="K9" s="257"/>
      <c r="L9" s="258">
        <f t="shared" si="0"/>
        <v>0</v>
      </c>
      <c r="M9" s="259">
        <f t="shared" si="0"/>
        <v>0</v>
      </c>
      <c r="N9" s="281">
        <f>IF(A9&lt;&gt;"", J9 / VLOOKUP(A9, 'Курс валют'!$A:$D, 4, 0), "")</f>
        <v>32.786885245901637</v>
      </c>
      <c r="O9" s="261"/>
    </row>
    <row r="10" spans="1:18" x14ac:dyDescent="0.45">
      <c r="A10" s="253">
        <v>46058</v>
      </c>
      <c r="B10" s="254" t="s">
        <v>524</v>
      </c>
      <c r="C10" s="255" t="s">
        <v>69</v>
      </c>
      <c r="D10" s="291">
        <v>1</v>
      </c>
      <c r="E10" s="255" t="s">
        <v>513</v>
      </c>
      <c r="F10" s="256"/>
      <c r="G10" s="255" t="s">
        <v>514</v>
      </c>
      <c r="H10" s="294"/>
      <c r="I10" s="255"/>
      <c r="J10" s="297">
        <f>D10*5370000</f>
        <v>5370000</v>
      </c>
      <c r="K10" s="257"/>
      <c r="L10" s="258">
        <f t="shared" si="0"/>
        <v>0</v>
      </c>
      <c r="M10" s="259">
        <f t="shared" si="0"/>
        <v>0</v>
      </c>
      <c r="N10" s="281">
        <f>IF(A10&lt;&gt;"", J10 / VLOOKUP(A10, 'Курс валют'!$A:$D, 4, 0), "")</f>
        <v>440.1639344262295</v>
      </c>
      <c r="O10" s="261"/>
    </row>
    <row r="11" spans="1:18" x14ac:dyDescent="0.45">
      <c r="A11" s="253">
        <v>46060</v>
      </c>
      <c r="B11" s="254" t="s">
        <v>525</v>
      </c>
      <c r="C11" s="255" t="s">
        <v>69</v>
      </c>
      <c r="D11" s="291">
        <v>1</v>
      </c>
      <c r="E11" s="255" t="s">
        <v>513</v>
      </c>
      <c r="F11" s="256"/>
      <c r="G11" s="255" t="s">
        <v>514</v>
      </c>
      <c r="H11" s="294"/>
      <c r="I11" s="255"/>
      <c r="J11" s="297">
        <v>2350000</v>
      </c>
      <c r="K11" s="257"/>
      <c r="L11" s="258">
        <f t="shared" si="0"/>
        <v>0</v>
      </c>
      <c r="M11" s="259">
        <f t="shared" si="0"/>
        <v>0</v>
      </c>
      <c r="N11" s="281">
        <f>IF(A11&lt;&gt;"", J11 / VLOOKUP(A11, 'Курс валют'!$A:$D, 4, 0), "")</f>
        <v>192.62295081967213</v>
      </c>
      <c r="O11" s="261"/>
    </row>
    <row r="12" spans="1:18" x14ac:dyDescent="0.45">
      <c r="A12" s="253">
        <v>46060</v>
      </c>
      <c r="B12" s="254" t="s">
        <v>91</v>
      </c>
      <c r="C12" s="255" t="s">
        <v>65</v>
      </c>
      <c r="D12" s="291">
        <v>1</v>
      </c>
      <c r="E12" s="255" t="s">
        <v>513</v>
      </c>
      <c r="F12" s="256"/>
      <c r="G12" s="255" t="s">
        <v>514</v>
      </c>
      <c r="H12" s="294"/>
      <c r="I12" s="255"/>
      <c r="J12" s="297">
        <v>100000</v>
      </c>
      <c r="K12" s="257"/>
      <c r="L12" s="258">
        <f t="shared" si="0"/>
        <v>0</v>
      </c>
      <c r="M12" s="259">
        <f t="shared" si="0"/>
        <v>0</v>
      </c>
      <c r="N12" s="281">
        <f>IF(A12&lt;&gt;"", J12 / VLOOKUP(A12, 'Курс валют'!$A:$D, 4, 0), "")</f>
        <v>8.1967213114754092</v>
      </c>
      <c r="O12" s="261"/>
    </row>
    <row r="13" spans="1:18" x14ac:dyDescent="0.45">
      <c r="A13" s="253">
        <v>46060</v>
      </c>
      <c r="B13" s="254" t="s">
        <v>526</v>
      </c>
      <c r="C13" s="255" t="s">
        <v>65</v>
      </c>
      <c r="D13" s="291">
        <v>1</v>
      </c>
      <c r="E13" s="255" t="s">
        <v>513</v>
      </c>
      <c r="F13" s="256"/>
      <c r="G13" s="255" t="s">
        <v>514</v>
      </c>
      <c r="H13" s="294"/>
      <c r="I13" s="255"/>
      <c r="J13" s="297">
        <v>200000</v>
      </c>
      <c r="K13" s="257"/>
      <c r="L13" s="258">
        <f t="shared" si="0"/>
        <v>0</v>
      </c>
      <c r="M13" s="259">
        <f t="shared" si="0"/>
        <v>0</v>
      </c>
      <c r="N13" s="281">
        <f>IF(A13&lt;&gt;"", J13 / VLOOKUP(A13, 'Курс валют'!$A:$D, 4, 0), "")</f>
        <v>16.393442622950818</v>
      </c>
      <c r="O13" s="261"/>
    </row>
    <row r="14" spans="1:18" x14ac:dyDescent="0.45">
      <c r="A14" s="253">
        <v>46060</v>
      </c>
      <c r="B14" s="263" t="s">
        <v>234</v>
      </c>
      <c r="C14" s="255" t="s">
        <v>69</v>
      </c>
      <c r="D14" s="291">
        <v>200</v>
      </c>
      <c r="E14" s="255" t="s">
        <v>527</v>
      </c>
      <c r="F14" s="256"/>
      <c r="G14" s="255" t="s">
        <v>514</v>
      </c>
      <c r="H14" s="294"/>
      <c r="I14" s="255"/>
      <c r="J14" s="297" t="s">
        <v>233</v>
      </c>
      <c r="K14" s="257"/>
      <c r="L14" s="258">
        <f t="shared" si="0"/>
        <v>0</v>
      </c>
      <c r="M14" s="259">
        <f t="shared" si="0"/>
        <v>0</v>
      </c>
      <c r="N14" s="281" t="e">
        <f>IF(A14&lt;&gt;"", J14 / VLOOKUP(A14, 'Курс валют'!$A:$D, 4, 0), "")</f>
        <v>#VALUE!</v>
      </c>
      <c r="O14" s="261"/>
    </row>
    <row r="15" spans="1:18" x14ac:dyDescent="0.45">
      <c r="A15" s="253">
        <v>46060</v>
      </c>
      <c r="B15" s="263" t="s">
        <v>237</v>
      </c>
      <c r="C15" s="255" t="s">
        <v>69</v>
      </c>
      <c r="D15" s="291">
        <v>35</v>
      </c>
      <c r="E15" s="255" t="s">
        <v>527</v>
      </c>
      <c r="F15" s="256"/>
      <c r="G15" s="255" t="s">
        <v>514</v>
      </c>
      <c r="H15" s="294"/>
      <c r="I15" s="255"/>
      <c r="J15" s="297" t="s">
        <v>233</v>
      </c>
      <c r="K15" s="257"/>
      <c r="L15" s="258">
        <f t="shared" si="0"/>
        <v>0</v>
      </c>
      <c r="M15" s="259">
        <f t="shared" si="0"/>
        <v>0</v>
      </c>
      <c r="N15" s="281" t="e">
        <f>IF(A15&lt;&gt;"", J15 / VLOOKUP(A15, 'Курс валют'!$A:$D, 4, 0), "")</f>
        <v>#VALUE!</v>
      </c>
      <c r="O15" s="261"/>
    </row>
    <row r="16" spans="1:18" x14ac:dyDescent="0.45">
      <c r="A16" s="253">
        <v>46060</v>
      </c>
      <c r="B16" s="263" t="s">
        <v>238</v>
      </c>
      <c r="C16" s="255" t="s">
        <v>69</v>
      </c>
      <c r="D16" s="291">
        <v>20</v>
      </c>
      <c r="E16" s="255" t="s">
        <v>527</v>
      </c>
      <c r="F16" s="256"/>
      <c r="G16" s="255" t="s">
        <v>514</v>
      </c>
      <c r="H16" s="294"/>
      <c r="I16" s="255"/>
      <c r="J16" s="297" t="s">
        <v>233</v>
      </c>
      <c r="K16" s="257"/>
      <c r="L16" s="258">
        <f t="shared" si="0"/>
        <v>0</v>
      </c>
      <c r="M16" s="259">
        <f t="shared" si="0"/>
        <v>0</v>
      </c>
      <c r="N16" s="281" t="e">
        <f>IF(A16&lt;&gt;"", J16 / VLOOKUP(A16, 'Курс валют'!$A:$D, 4, 0), "")</f>
        <v>#VALUE!</v>
      </c>
      <c r="O16" s="261"/>
    </row>
    <row r="17" spans="1:15" x14ac:dyDescent="0.45">
      <c r="A17" s="253">
        <v>46060</v>
      </c>
      <c r="B17" s="263" t="s">
        <v>239</v>
      </c>
      <c r="C17" s="255" t="s">
        <v>97</v>
      </c>
      <c r="D17" s="291">
        <v>60</v>
      </c>
      <c r="E17" s="255" t="s">
        <v>527</v>
      </c>
      <c r="F17" s="256"/>
      <c r="G17" s="255" t="s">
        <v>514</v>
      </c>
      <c r="H17" s="294"/>
      <c r="I17" s="255"/>
      <c r="J17" s="297" t="s">
        <v>233</v>
      </c>
      <c r="K17" s="257"/>
      <c r="L17" s="258">
        <f t="shared" si="0"/>
        <v>0</v>
      </c>
      <c r="M17" s="259">
        <f t="shared" si="0"/>
        <v>0</v>
      </c>
      <c r="N17" s="281" t="e">
        <f>IF(A17&lt;&gt;"", J17 / VLOOKUP(A17, 'Курс валют'!$A:$D, 4, 0), "")</f>
        <v>#VALUE!</v>
      </c>
      <c r="O17" s="261"/>
    </row>
    <row r="18" spans="1:15" x14ac:dyDescent="0.45">
      <c r="A18" s="253">
        <v>46060</v>
      </c>
      <c r="B18" s="263" t="s">
        <v>240</v>
      </c>
      <c r="C18" s="255" t="s">
        <v>69</v>
      </c>
      <c r="D18" s="291">
        <v>4</v>
      </c>
      <c r="E18" s="255" t="s">
        <v>527</v>
      </c>
      <c r="F18" s="256"/>
      <c r="G18" s="255" t="s">
        <v>514</v>
      </c>
      <c r="H18" s="294"/>
      <c r="I18" s="255"/>
      <c r="J18" s="297" t="s">
        <v>233</v>
      </c>
      <c r="K18" s="257"/>
      <c r="L18" s="258">
        <f t="shared" si="0"/>
        <v>0</v>
      </c>
      <c r="M18" s="259">
        <f t="shared" si="0"/>
        <v>0</v>
      </c>
      <c r="N18" s="281" t="e">
        <f>IF(A18&lt;&gt;"", J18 / VLOOKUP(A18, 'Курс валют'!$A:$D, 4, 0), "")</f>
        <v>#VALUE!</v>
      </c>
      <c r="O18" s="261"/>
    </row>
    <row r="19" spans="1:15" x14ac:dyDescent="0.45">
      <c r="A19" s="253">
        <v>46060</v>
      </c>
      <c r="B19" s="254" t="s">
        <v>528</v>
      </c>
      <c r="C19" s="255" t="s">
        <v>65</v>
      </c>
      <c r="D19" s="291">
        <v>1</v>
      </c>
      <c r="E19" s="255" t="s">
        <v>527</v>
      </c>
      <c r="F19" s="256"/>
      <c r="G19" s="255" t="s">
        <v>514</v>
      </c>
      <c r="H19" s="294"/>
      <c r="I19" s="255"/>
      <c r="J19" s="297" t="s">
        <v>233</v>
      </c>
      <c r="K19" s="257"/>
      <c r="L19" s="258">
        <f t="shared" si="0"/>
        <v>0</v>
      </c>
      <c r="M19" s="259">
        <f t="shared" si="0"/>
        <v>0</v>
      </c>
      <c r="N19" s="281" t="e">
        <f>IF(A19&lt;&gt;"", J19 / VLOOKUP(A19, 'Курс валют'!$A:$D, 4, 0), "")</f>
        <v>#VALUE!</v>
      </c>
      <c r="O19" s="261"/>
    </row>
    <row r="20" spans="1:15" x14ac:dyDescent="0.45">
      <c r="A20" s="253">
        <v>46060</v>
      </c>
      <c r="B20" s="254" t="s">
        <v>525</v>
      </c>
      <c r="C20" s="255" t="s">
        <v>69</v>
      </c>
      <c r="D20" s="291">
        <v>1</v>
      </c>
      <c r="E20" s="255" t="s">
        <v>527</v>
      </c>
      <c r="F20" s="256"/>
      <c r="G20" s="255" t="s">
        <v>514</v>
      </c>
      <c r="H20" s="294"/>
      <c r="I20" s="255"/>
      <c r="J20" s="297">
        <v>3955000</v>
      </c>
      <c r="K20" s="257"/>
      <c r="L20" s="258">
        <f t="shared" si="0"/>
        <v>0</v>
      </c>
      <c r="M20" s="259">
        <f t="shared" si="0"/>
        <v>0</v>
      </c>
      <c r="N20" s="281">
        <f>IF(A20&lt;&gt;"", J20 / VLOOKUP(A20, 'Курс валют'!$A:$D, 4, 0), "")</f>
        <v>324.18032786885249</v>
      </c>
      <c r="O20" s="261"/>
    </row>
    <row r="21" spans="1:15" x14ac:dyDescent="0.45">
      <c r="A21" s="253">
        <v>46060</v>
      </c>
      <c r="B21" s="254" t="s">
        <v>529</v>
      </c>
      <c r="C21" s="255" t="s">
        <v>65</v>
      </c>
      <c r="D21" s="291">
        <v>1</v>
      </c>
      <c r="E21" s="255" t="s">
        <v>527</v>
      </c>
      <c r="F21" s="256"/>
      <c r="G21" s="255" t="s">
        <v>514</v>
      </c>
      <c r="H21" s="294"/>
      <c r="I21" s="255"/>
      <c r="J21" s="297">
        <v>100000</v>
      </c>
      <c r="K21" s="257"/>
      <c r="L21" s="258">
        <f t="shared" si="0"/>
        <v>0</v>
      </c>
      <c r="M21" s="259">
        <f t="shared" si="0"/>
        <v>0</v>
      </c>
      <c r="N21" s="281">
        <f>IF(A21&lt;&gt;"", J21 / VLOOKUP(A21, 'Курс валют'!$A:$D, 4, 0), "")</f>
        <v>8.1967213114754092</v>
      </c>
      <c r="O21" s="261"/>
    </row>
    <row r="22" spans="1:15" x14ac:dyDescent="0.45">
      <c r="A22" s="253">
        <v>46060</v>
      </c>
      <c r="B22" s="254" t="s">
        <v>530</v>
      </c>
      <c r="C22" s="255" t="s">
        <v>65</v>
      </c>
      <c r="D22" s="291">
        <v>1</v>
      </c>
      <c r="E22" s="255" t="s">
        <v>527</v>
      </c>
      <c r="F22" s="256"/>
      <c r="G22" s="255" t="s">
        <v>514</v>
      </c>
      <c r="H22" s="294"/>
      <c r="I22" s="255"/>
      <c r="J22" s="297">
        <v>1500000</v>
      </c>
      <c r="K22" s="257"/>
      <c r="L22" s="258">
        <f t="shared" si="0"/>
        <v>0</v>
      </c>
      <c r="M22" s="259">
        <f t="shared" si="0"/>
        <v>0</v>
      </c>
      <c r="N22" s="281">
        <f>IF(A22&lt;&gt;"", J22 / VLOOKUP(A22, 'Курс валют'!$A:$D, 4, 0), "")</f>
        <v>122.95081967213115</v>
      </c>
      <c r="O22" s="261"/>
    </row>
    <row r="23" spans="1:15" x14ac:dyDescent="0.45">
      <c r="A23" s="253">
        <v>46060</v>
      </c>
      <c r="B23" s="254" t="s">
        <v>44</v>
      </c>
      <c r="C23" s="255" t="s">
        <v>65</v>
      </c>
      <c r="D23" s="291">
        <v>1</v>
      </c>
      <c r="E23" s="255" t="s">
        <v>527</v>
      </c>
      <c r="F23" s="256"/>
      <c r="G23" s="255" t="s">
        <v>514</v>
      </c>
      <c r="H23" s="294"/>
      <c r="I23" s="255"/>
      <c r="J23" s="297">
        <v>1500000</v>
      </c>
      <c r="K23" s="257"/>
      <c r="L23" s="258">
        <f t="shared" si="0"/>
        <v>0</v>
      </c>
      <c r="M23" s="259">
        <f t="shared" si="0"/>
        <v>0</v>
      </c>
      <c r="N23" s="281">
        <f>IF(A23&lt;&gt;"", J23 / VLOOKUP(A23, 'Курс валют'!$A:$D, 4, 0), "")</f>
        <v>122.95081967213115</v>
      </c>
      <c r="O23" s="261"/>
    </row>
    <row r="24" spans="1:15" x14ac:dyDescent="0.45">
      <c r="A24" s="264">
        <v>46061</v>
      </c>
      <c r="B24" s="263" t="s">
        <v>531</v>
      </c>
      <c r="C24" s="255" t="s">
        <v>532</v>
      </c>
      <c r="D24" s="291">
        <v>14</v>
      </c>
      <c r="E24" s="255" t="s">
        <v>533</v>
      </c>
      <c r="F24" s="256"/>
      <c r="G24" s="255" t="s">
        <v>514</v>
      </c>
      <c r="H24" s="294"/>
      <c r="I24" s="255"/>
      <c r="J24" s="297">
        <f>D24*60000+200000</f>
        <v>1040000</v>
      </c>
      <c r="K24" s="257"/>
      <c r="L24" s="258">
        <f t="shared" si="0"/>
        <v>0</v>
      </c>
      <c r="M24" s="259">
        <f t="shared" si="0"/>
        <v>0</v>
      </c>
      <c r="N24" s="281">
        <f>IF(A24&lt;&gt;"", J24 / VLOOKUP(A24, 'Курс валют'!$A:$D, 4, 0), "")</f>
        <v>85.245901639344268</v>
      </c>
      <c r="O24" s="261"/>
    </row>
    <row r="25" spans="1:15" x14ac:dyDescent="0.45">
      <c r="A25" s="264">
        <v>46061</v>
      </c>
      <c r="B25" s="254" t="s">
        <v>517</v>
      </c>
      <c r="C25" s="255" t="s">
        <v>512</v>
      </c>
      <c r="D25" s="291">
        <v>8</v>
      </c>
      <c r="E25" s="255" t="s">
        <v>533</v>
      </c>
      <c r="F25" s="256"/>
      <c r="G25" s="255" t="s">
        <v>514</v>
      </c>
      <c r="H25" s="294"/>
      <c r="I25" s="255"/>
      <c r="J25" s="297">
        <f>D25*400000</f>
        <v>3200000</v>
      </c>
      <c r="K25" s="257"/>
      <c r="L25" s="258">
        <f t="shared" si="0"/>
        <v>0</v>
      </c>
      <c r="M25" s="259">
        <f t="shared" si="0"/>
        <v>0</v>
      </c>
      <c r="N25" s="281">
        <f>IF(A25&lt;&gt;"", J25 / VLOOKUP(A25, 'Курс валют'!$A:$D, 4, 0), "")</f>
        <v>262.29508196721309</v>
      </c>
      <c r="O25" s="261"/>
    </row>
    <row r="26" spans="1:15" x14ac:dyDescent="0.45">
      <c r="A26" s="264">
        <v>46061</v>
      </c>
      <c r="B26" s="263" t="s">
        <v>173</v>
      </c>
      <c r="C26" s="255" t="s">
        <v>65</v>
      </c>
      <c r="D26" s="291">
        <v>1</v>
      </c>
      <c r="E26" s="255" t="s">
        <v>533</v>
      </c>
      <c r="F26" s="256"/>
      <c r="G26" s="255" t="s">
        <v>514</v>
      </c>
      <c r="H26" s="294"/>
      <c r="I26" s="255"/>
      <c r="J26" s="297">
        <v>60000</v>
      </c>
      <c r="K26" s="257"/>
      <c r="L26" s="258">
        <f t="shared" si="0"/>
        <v>0</v>
      </c>
      <c r="M26" s="259">
        <f t="shared" si="0"/>
        <v>0</v>
      </c>
      <c r="N26" s="281">
        <f>IF(A26&lt;&gt;"", J26 / VLOOKUP(A26, 'Курс валют'!$A:$D, 4, 0), "")</f>
        <v>4.918032786885246</v>
      </c>
      <c r="O26" s="261"/>
    </row>
    <row r="27" spans="1:15" x14ac:dyDescent="0.45">
      <c r="A27" s="264">
        <v>46062</v>
      </c>
      <c r="B27" s="263" t="s">
        <v>534</v>
      </c>
      <c r="C27" s="255" t="s">
        <v>69</v>
      </c>
      <c r="D27" s="291">
        <v>1</v>
      </c>
      <c r="E27" s="255" t="s">
        <v>533</v>
      </c>
      <c r="F27" s="256"/>
      <c r="G27" s="255" t="s">
        <v>514</v>
      </c>
      <c r="H27" s="294"/>
      <c r="I27" s="255"/>
      <c r="J27" s="297">
        <v>200000</v>
      </c>
      <c r="K27" s="257"/>
      <c r="L27" s="258">
        <f t="shared" si="0"/>
        <v>0</v>
      </c>
      <c r="M27" s="259">
        <f t="shared" si="0"/>
        <v>0</v>
      </c>
      <c r="N27" s="281">
        <f>IF(A27&lt;&gt;"", J27 / VLOOKUP(A27, 'Курс валют'!$A:$D, 4, 0), "")</f>
        <v>16.393442622950818</v>
      </c>
      <c r="O27" s="261"/>
    </row>
    <row r="28" spans="1:15" x14ac:dyDescent="0.45">
      <c r="A28" s="264">
        <v>46062</v>
      </c>
      <c r="B28" s="263" t="s">
        <v>535</v>
      </c>
      <c r="C28" s="255" t="s">
        <v>65</v>
      </c>
      <c r="D28" s="291">
        <v>1</v>
      </c>
      <c r="E28" s="255" t="s">
        <v>533</v>
      </c>
      <c r="F28" s="256"/>
      <c r="G28" s="255" t="s">
        <v>514</v>
      </c>
      <c r="H28" s="294"/>
      <c r="I28" s="255"/>
      <c r="J28" s="297">
        <v>1620000</v>
      </c>
      <c r="K28" s="257"/>
      <c r="L28" s="258">
        <f t="shared" si="0"/>
        <v>0</v>
      </c>
      <c r="M28" s="259">
        <f t="shared" si="0"/>
        <v>0</v>
      </c>
      <c r="N28" s="281">
        <f>IF(A28&lt;&gt;"", J28 / VLOOKUP(A28, 'Курс валют'!$A:$D, 4, 0), "")</f>
        <v>132.78688524590163</v>
      </c>
      <c r="O28" s="261"/>
    </row>
    <row r="29" spans="1:15" x14ac:dyDescent="0.45">
      <c r="A29" s="264">
        <v>46062</v>
      </c>
      <c r="B29" s="254" t="s">
        <v>536</v>
      </c>
      <c r="C29" s="255" t="s">
        <v>69</v>
      </c>
      <c r="D29" s="291">
        <v>20</v>
      </c>
      <c r="E29" s="255" t="s">
        <v>533</v>
      </c>
      <c r="F29" s="256"/>
      <c r="G29" s="255" t="s">
        <v>514</v>
      </c>
      <c r="H29" s="294"/>
      <c r="I29" s="255"/>
      <c r="J29" s="297">
        <f>3000*D29</f>
        <v>60000</v>
      </c>
      <c r="K29" s="257"/>
      <c r="L29" s="258">
        <f t="shared" si="0"/>
        <v>0</v>
      </c>
      <c r="M29" s="259">
        <f t="shared" si="0"/>
        <v>0</v>
      </c>
      <c r="N29" s="281">
        <f>IF(A29&lt;&gt;"", J29 / VLOOKUP(A29, 'Курс валют'!$A:$D, 4, 0), "")</f>
        <v>4.918032786885246</v>
      </c>
      <c r="O29" s="261"/>
    </row>
    <row r="30" spans="1:15" x14ac:dyDescent="0.45">
      <c r="A30" s="264">
        <v>46063</v>
      </c>
      <c r="B30" s="254" t="s">
        <v>537</v>
      </c>
      <c r="C30" s="255" t="s">
        <v>69</v>
      </c>
      <c r="D30" s="291">
        <v>1</v>
      </c>
      <c r="E30" s="255" t="s">
        <v>533</v>
      </c>
      <c r="F30" s="256"/>
      <c r="G30" s="255" t="s">
        <v>514</v>
      </c>
      <c r="H30" s="294"/>
      <c r="I30" s="255"/>
      <c r="J30" s="297">
        <v>1000000</v>
      </c>
      <c r="K30" s="257"/>
      <c r="L30" s="258">
        <f t="shared" si="0"/>
        <v>0</v>
      </c>
      <c r="M30" s="259">
        <f t="shared" si="0"/>
        <v>0</v>
      </c>
      <c r="N30" s="281">
        <f>IF(A30&lt;&gt;"", J30 / VLOOKUP(A30, 'Курс валют'!$A:$D, 4, 0), "")</f>
        <v>81.967213114754102</v>
      </c>
      <c r="O30" s="261"/>
    </row>
    <row r="31" spans="1:15" x14ac:dyDescent="0.45">
      <c r="A31" s="264">
        <v>46063</v>
      </c>
      <c r="B31" s="263" t="s">
        <v>538</v>
      </c>
      <c r="C31" s="255" t="s">
        <v>512</v>
      </c>
      <c r="D31" s="291">
        <v>4.5</v>
      </c>
      <c r="E31" s="255" t="s">
        <v>533</v>
      </c>
      <c r="F31" s="256"/>
      <c r="G31" s="255" t="s">
        <v>514</v>
      </c>
      <c r="H31" s="294"/>
      <c r="I31" s="255"/>
      <c r="J31" s="297">
        <f>380000*D31</f>
        <v>1710000</v>
      </c>
      <c r="K31" s="257"/>
      <c r="L31" s="258">
        <f t="shared" si="0"/>
        <v>0</v>
      </c>
      <c r="M31" s="259">
        <f t="shared" si="0"/>
        <v>0</v>
      </c>
      <c r="N31" s="281">
        <f>IF(A31&lt;&gt;"", J31 / VLOOKUP(A31, 'Курс валют'!$A:$D, 4, 0), "")</f>
        <v>140.1639344262295</v>
      </c>
      <c r="O31" s="261"/>
    </row>
    <row r="32" spans="1:15" x14ac:dyDescent="0.45">
      <c r="A32" s="264">
        <v>46063</v>
      </c>
      <c r="B32" s="254" t="s">
        <v>531</v>
      </c>
      <c r="C32" s="255" t="s">
        <v>532</v>
      </c>
      <c r="D32" s="291">
        <v>6.5</v>
      </c>
      <c r="E32" s="255" t="s">
        <v>533</v>
      </c>
      <c r="F32" s="256"/>
      <c r="G32" s="255" t="s">
        <v>514</v>
      </c>
      <c r="H32" s="294"/>
      <c r="I32" s="255"/>
      <c r="J32" s="297">
        <f>100000*D32</f>
        <v>650000</v>
      </c>
      <c r="K32" s="257"/>
      <c r="L32" s="258">
        <f t="shared" si="0"/>
        <v>0</v>
      </c>
      <c r="M32" s="259">
        <f t="shared" si="0"/>
        <v>0</v>
      </c>
      <c r="N32" s="281">
        <f>IF(A32&lt;&gt;"", J32 / VLOOKUP(A32, 'Курс валют'!$A:$D, 4, 0), "")</f>
        <v>53.278688524590166</v>
      </c>
      <c r="O32" s="261"/>
    </row>
    <row r="33" spans="1:15" x14ac:dyDescent="0.45">
      <c r="A33" s="264">
        <v>46063</v>
      </c>
      <c r="B33" s="263" t="s">
        <v>517</v>
      </c>
      <c r="C33" s="255" t="s">
        <v>512</v>
      </c>
      <c r="D33" s="291">
        <v>5</v>
      </c>
      <c r="E33" s="255" t="s">
        <v>533</v>
      </c>
      <c r="F33" s="256"/>
      <c r="G33" s="255" t="s">
        <v>514</v>
      </c>
      <c r="H33" s="294"/>
      <c r="I33" s="255"/>
      <c r="J33" s="297">
        <f>650000*D33</f>
        <v>3250000</v>
      </c>
      <c r="K33" s="257"/>
      <c r="L33" s="258">
        <f t="shared" si="0"/>
        <v>0</v>
      </c>
      <c r="M33" s="259">
        <f t="shared" si="0"/>
        <v>0</v>
      </c>
      <c r="N33" s="281">
        <f>IF(A33&lt;&gt;"", J33 / VLOOKUP(A33, 'Курс валют'!$A:$D, 4, 0), "")</f>
        <v>266.39344262295083</v>
      </c>
      <c r="O33" s="261"/>
    </row>
    <row r="34" spans="1:15" x14ac:dyDescent="0.45">
      <c r="A34" s="264">
        <v>46063</v>
      </c>
      <c r="B34" s="263" t="s">
        <v>22</v>
      </c>
      <c r="C34" s="255" t="s">
        <v>69</v>
      </c>
      <c r="D34" s="291">
        <v>1</v>
      </c>
      <c r="E34" s="255" t="s">
        <v>533</v>
      </c>
      <c r="F34" s="256"/>
      <c r="G34" s="255" t="s">
        <v>514</v>
      </c>
      <c r="H34" s="294"/>
      <c r="I34" s="255"/>
      <c r="J34" s="297">
        <v>4000000</v>
      </c>
      <c r="K34" s="257"/>
      <c r="L34" s="258">
        <f t="shared" si="0"/>
        <v>0</v>
      </c>
      <c r="M34" s="259">
        <f t="shared" si="0"/>
        <v>0</v>
      </c>
      <c r="N34" s="281">
        <f>IF(A34&lt;&gt;"", J34 / VLOOKUP(A34, 'Курс валют'!$A:$D, 4, 0), "")</f>
        <v>327.86885245901641</v>
      </c>
      <c r="O34" s="261"/>
    </row>
    <row r="35" spans="1:15" x14ac:dyDescent="0.45">
      <c r="A35" s="264">
        <v>46064</v>
      </c>
      <c r="B35" s="263" t="s">
        <v>539</v>
      </c>
      <c r="C35" s="255" t="s">
        <v>540</v>
      </c>
      <c r="D35" s="291">
        <v>1</v>
      </c>
      <c r="E35" s="255" t="s">
        <v>533</v>
      </c>
      <c r="F35" s="256"/>
      <c r="G35" s="255" t="s">
        <v>514</v>
      </c>
      <c r="H35" s="294"/>
      <c r="I35" s="255"/>
      <c r="J35" s="297">
        <v>2100000</v>
      </c>
      <c r="K35" s="257"/>
      <c r="L35" s="258">
        <f t="shared" ref="L35:M66" si="1">IF(G35="USD", H35*K35, H35)</f>
        <v>0</v>
      </c>
      <c r="M35" s="259">
        <f t="shared" si="1"/>
        <v>0</v>
      </c>
      <c r="N35" s="281">
        <f>IF(A35&lt;&gt;"", J35 / VLOOKUP(A35, 'Курс валют'!$A:$D, 4, 0), "")</f>
        <v>170.59301380991064</v>
      </c>
      <c r="O35" s="261"/>
    </row>
    <row r="36" spans="1:15" x14ac:dyDescent="0.45">
      <c r="A36" s="264">
        <v>46064</v>
      </c>
      <c r="B36" s="254" t="s">
        <v>541</v>
      </c>
      <c r="C36" s="255" t="s">
        <v>532</v>
      </c>
      <c r="D36" s="291">
        <v>9</v>
      </c>
      <c r="E36" s="255" t="s">
        <v>533</v>
      </c>
      <c r="F36" s="256"/>
      <c r="G36" s="255" t="s">
        <v>514</v>
      </c>
      <c r="H36" s="294"/>
      <c r="I36" s="255"/>
      <c r="J36" s="297">
        <f>70000*D36</f>
        <v>630000</v>
      </c>
      <c r="K36" s="257"/>
      <c r="L36" s="258">
        <f t="shared" si="1"/>
        <v>0</v>
      </c>
      <c r="M36" s="259">
        <f t="shared" si="1"/>
        <v>0</v>
      </c>
      <c r="N36" s="281">
        <f>IF(A36&lt;&gt;"", J36 / VLOOKUP(A36, 'Курс валют'!$A:$D, 4, 0), "")</f>
        <v>51.17790414297319</v>
      </c>
      <c r="O36" s="261"/>
    </row>
    <row r="37" spans="1:15" x14ac:dyDescent="0.45">
      <c r="A37" s="264">
        <v>46064</v>
      </c>
      <c r="B37" s="254" t="s">
        <v>531</v>
      </c>
      <c r="C37" s="255" t="s">
        <v>532</v>
      </c>
      <c r="D37" s="291">
        <v>12</v>
      </c>
      <c r="E37" s="255" t="s">
        <v>533</v>
      </c>
      <c r="F37" s="256"/>
      <c r="G37" s="255" t="s">
        <v>514</v>
      </c>
      <c r="H37" s="294"/>
      <c r="I37" s="255"/>
      <c r="J37" s="297">
        <f>D37*130000</f>
        <v>1560000</v>
      </c>
      <c r="K37" s="257"/>
      <c r="L37" s="258">
        <f t="shared" si="1"/>
        <v>0</v>
      </c>
      <c r="M37" s="259">
        <f t="shared" si="1"/>
        <v>0</v>
      </c>
      <c r="N37" s="281">
        <f>IF(A37&lt;&gt;"", J37 / VLOOKUP(A37, 'Курс валют'!$A:$D, 4, 0), "")</f>
        <v>126.72623883021933</v>
      </c>
      <c r="O37" s="261"/>
    </row>
    <row r="38" spans="1:15" x14ac:dyDescent="0.45">
      <c r="A38" s="264">
        <v>46064</v>
      </c>
      <c r="B38" s="263" t="s">
        <v>517</v>
      </c>
      <c r="C38" s="255" t="s">
        <v>512</v>
      </c>
      <c r="D38" s="291">
        <v>4.5</v>
      </c>
      <c r="E38" s="255" t="s">
        <v>533</v>
      </c>
      <c r="F38" s="256"/>
      <c r="G38" s="255" t="s">
        <v>514</v>
      </c>
      <c r="H38" s="294"/>
      <c r="I38" s="255"/>
      <c r="J38" s="297">
        <f>D38*400000</f>
        <v>1800000</v>
      </c>
      <c r="K38" s="257"/>
      <c r="L38" s="258">
        <f t="shared" si="1"/>
        <v>0</v>
      </c>
      <c r="M38" s="259">
        <f t="shared" si="1"/>
        <v>0</v>
      </c>
      <c r="N38" s="281">
        <f>IF(A38&lt;&gt;"", J38 / VLOOKUP(A38, 'Курс валют'!$A:$D, 4, 0), "")</f>
        <v>146.2225832656377</v>
      </c>
      <c r="O38" s="261"/>
    </row>
    <row r="39" spans="1:15" x14ac:dyDescent="0.45">
      <c r="A39" s="264">
        <v>46064</v>
      </c>
      <c r="B39" s="254" t="s">
        <v>517</v>
      </c>
      <c r="C39" s="255" t="s">
        <v>512</v>
      </c>
      <c r="D39" s="291">
        <v>9</v>
      </c>
      <c r="E39" s="255" t="s">
        <v>533</v>
      </c>
      <c r="F39" s="256"/>
      <c r="G39" s="255" t="s">
        <v>514</v>
      </c>
      <c r="H39" s="294"/>
      <c r="I39" s="255"/>
      <c r="J39" s="297">
        <f>D39*650000</f>
        <v>5850000</v>
      </c>
      <c r="K39" s="257"/>
      <c r="L39" s="258">
        <f t="shared" si="1"/>
        <v>0</v>
      </c>
      <c r="M39" s="259">
        <f t="shared" si="1"/>
        <v>0</v>
      </c>
      <c r="N39" s="281">
        <f>IF(A39&lt;&gt;"", J39 / VLOOKUP(A39, 'Курс валют'!$A:$D, 4, 0), "")</f>
        <v>475.22339561332251</v>
      </c>
      <c r="O39" s="261"/>
    </row>
    <row r="40" spans="1:15" x14ac:dyDescent="0.45">
      <c r="A40" s="264">
        <v>46064</v>
      </c>
      <c r="B40" s="263" t="s">
        <v>542</v>
      </c>
      <c r="C40" s="255" t="s">
        <v>543</v>
      </c>
      <c r="D40" s="291">
        <v>1</v>
      </c>
      <c r="E40" s="255" t="s">
        <v>533</v>
      </c>
      <c r="F40" s="256"/>
      <c r="G40" s="255" t="s">
        <v>514</v>
      </c>
      <c r="H40" s="294"/>
      <c r="I40" s="255"/>
      <c r="J40" s="297">
        <v>4000000</v>
      </c>
      <c r="K40" s="257"/>
      <c r="L40" s="258">
        <f t="shared" si="1"/>
        <v>0</v>
      </c>
      <c r="M40" s="259">
        <f t="shared" si="1"/>
        <v>0</v>
      </c>
      <c r="N40" s="281">
        <f>IF(A40&lt;&gt;"", J40 / VLOOKUP(A40, 'Курс валют'!$A:$D, 4, 0), "")</f>
        <v>324.93907392363934</v>
      </c>
      <c r="O40" s="261"/>
    </row>
    <row r="41" spans="1:15" x14ac:dyDescent="0.45">
      <c r="A41" s="264">
        <v>46064</v>
      </c>
      <c r="B41" s="263" t="s">
        <v>539</v>
      </c>
      <c r="C41" s="255" t="s">
        <v>540</v>
      </c>
      <c r="D41" s="291">
        <v>1</v>
      </c>
      <c r="E41" s="255" t="s">
        <v>533</v>
      </c>
      <c r="F41" s="256"/>
      <c r="G41" s="255" t="s">
        <v>514</v>
      </c>
      <c r="H41" s="294"/>
      <c r="I41" s="255"/>
      <c r="J41" s="297">
        <v>2300000</v>
      </c>
      <c r="K41" s="257"/>
      <c r="L41" s="258">
        <f t="shared" si="1"/>
        <v>0</v>
      </c>
      <c r="M41" s="259">
        <f t="shared" si="1"/>
        <v>0</v>
      </c>
      <c r="N41" s="281">
        <f>IF(A41&lt;&gt;"", J41 / VLOOKUP(A41, 'Курс валют'!$A:$D, 4, 0), "")</f>
        <v>186.83996750609262</v>
      </c>
      <c r="O41" s="261"/>
    </row>
    <row r="42" spans="1:15" x14ac:dyDescent="0.45">
      <c r="A42" s="264">
        <v>46064</v>
      </c>
      <c r="B42" s="263" t="s">
        <v>544</v>
      </c>
      <c r="C42" s="255" t="s">
        <v>65</v>
      </c>
      <c r="D42" s="291">
        <v>1</v>
      </c>
      <c r="E42" s="255" t="s">
        <v>533</v>
      </c>
      <c r="F42" s="256"/>
      <c r="G42" s="255" t="s">
        <v>514</v>
      </c>
      <c r="H42" s="294"/>
      <c r="I42" s="255"/>
      <c r="J42" s="297">
        <v>30000</v>
      </c>
      <c r="K42" s="257"/>
      <c r="L42" s="258">
        <f t="shared" si="1"/>
        <v>0</v>
      </c>
      <c r="M42" s="259">
        <f t="shared" si="1"/>
        <v>0</v>
      </c>
      <c r="N42" s="281">
        <f>IF(A42&lt;&gt;"", J42 / VLOOKUP(A42, 'Курс валют'!$A:$D, 4, 0), "")</f>
        <v>2.4370430544272947</v>
      </c>
      <c r="O42" s="261"/>
    </row>
    <row r="43" spans="1:15" x14ac:dyDescent="0.45">
      <c r="A43" s="264">
        <v>46066</v>
      </c>
      <c r="B43" s="263" t="s">
        <v>545</v>
      </c>
      <c r="C43" s="255" t="s">
        <v>65</v>
      </c>
      <c r="D43" s="291">
        <v>1</v>
      </c>
      <c r="E43" s="255" t="s">
        <v>546</v>
      </c>
      <c r="F43" s="256"/>
      <c r="G43" s="255" t="s">
        <v>514</v>
      </c>
      <c r="H43" s="294"/>
      <c r="I43" s="255"/>
      <c r="J43" s="297">
        <v>400000</v>
      </c>
      <c r="K43" s="257"/>
      <c r="L43" s="258">
        <f t="shared" si="1"/>
        <v>0</v>
      </c>
      <c r="M43" s="259">
        <f t="shared" si="1"/>
        <v>0</v>
      </c>
      <c r="N43" s="281">
        <f>IF(A43&lt;&gt;"", J43 / VLOOKUP(A43, 'Курс валют'!$A:$D, 4, 0), "")</f>
        <v>32.786885245901637</v>
      </c>
      <c r="O43" s="261"/>
    </row>
    <row r="44" spans="1:15" x14ac:dyDescent="0.45">
      <c r="A44" s="264">
        <v>46066</v>
      </c>
      <c r="B44" s="254" t="s">
        <v>547</v>
      </c>
      <c r="C44" s="255" t="s">
        <v>69</v>
      </c>
      <c r="D44" s="291">
        <v>8</v>
      </c>
      <c r="E44" s="255" t="s">
        <v>546</v>
      </c>
      <c r="F44" s="256"/>
      <c r="G44" s="255" t="s">
        <v>514</v>
      </c>
      <c r="H44" s="294"/>
      <c r="I44" s="255"/>
      <c r="J44" s="297">
        <f>140000*D44</f>
        <v>1120000</v>
      </c>
      <c r="K44" s="257"/>
      <c r="L44" s="258">
        <f t="shared" si="1"/>
        <v>0</v>
      </c>
      <c r="M44" s="259">
        <f t="shared" si="1"/>
        <v>0</v>
      </c>
      <c r="N44" s="281">
        <f>IF(A44&lt;&gt;"", J44 / VLOOKUP(A44, 'Курс валют'!$A:$D, 4, 0), "")</f>
        <v>91.803278688524586</v>
      </c>
      <c r="O44" s="261"/>
    </row>
    <row r="45" spans="1:15" x14ac:dyDescent="0.45">
      <c r="A45" s="264">
        <v>46066</v>
      </c>
      <c r="B45" s="263" t="s">
        <v>517</v>
      </c>
      <c r="C45" s="255" t="s">
        <v>512</v>
      </c>
      <c r="D45" s="291">
        <v>2</v>
      </c>
      <c r="E45" s="255" t="s">
        <v>546</v>
      </c>
      <c r="F45" s="256"/>
      <c r="G45" s="255" t="s">
        <v>514</v>
      </c>
      <c r="H45" s="294"/>
      <c r="I45" s="255"/>
      <c r="J45" s="297">
        <f>750000*D45</f>
        <v>1500000</v>
      </c>
      <c r="K45" s="257"/>
      <c r="L45" s="258">
        <f t="shared" si="1"/>
        <v>0</v>
      </c>
      <c r="M45" s="259">
        <f t="shared" si="1"/>
        <v>0</v>
      </c>
      <c r="N45" s="281">
        <f>IF(A45&lt;&gt;"", J45 / VLOOKUP(A45, 'Курс валют'!$A:$D, 4, 0), "")</f>
        <v>122.95081967213115</v>
      </c>
      <c r="O45" s="261"/>
    </row>
    <row r="46" spans="1:15" x14ac:dyDescent="0.45">
      <c r="A46" s="264">
        <v>46067</v>
      </c>
      <c r="B46" s="263" t="s">
        <v>548</v>
      </c>
      <c r="C46" s="255" t="s">
        <v>69</v>
      </c>
      <c r="D46" s="291">
        <v>8</v>
      </c>
      <c r="E46" s="255" t="s">
        <v>546</v>
      </c>
      <c r="F46" s="256"/>
      <c r="G46" s="255" t="s">
        <v>514</v>
      </c>
      <c r="H46" s="294"/>
      <c r="I46" s="255"/>
      <c r="J46" s="297"/>
      <c r="K46" s="257"/>
      <c r="L46" s="258">
        <f t="shared" si="1"/>
        <v>0</v>
      </c>
      <c r="M46" s="259">
        <f t="shared" si="1"/>
        <v>0</v>
      </c>
      <c r="N46" s="281">
        <f>IF(A46&lt;&gt;"", J46 / VLOOKUP(A46, 'Курс валют'!$A:$D, 4, 0), "")</f>
        <v>0</v>
      </c>
      <c r="O46" s="261"/>
    </row>
    <row r="47" spans="1:15" x14ac:dyDescent="0.45">
      <c r="A47" s="264">
        <v>46067</v>
      </c>
      <c r="B47" s="263" t="s">
        <v>549</v>
      </c>
      <c r="C47" s="255" t="s">
        <v>65</v>
      </c>
      <c r="D47" s="291">
        <v>1</v>
      </c>
      <c r="E47" s="255" t="s">
        <v>546</v>
      </c>
      <c r="F47" s="256"/>
      <c r="G47" s="255" t="s">
        <v>514</v>
      </c>
      <c r="H47" s="294"/>
      <c r="I47" s="255"/>
      <c r="J47" s="297">
        <v>60000</v>
      </c>
      <c r="K47" s="257"/>
      <c r="L47" s="258">
        <f t="shared" si="1"/>
        <v>0</v>
      </c>
      <c r="M47" s="259">
        <f t="shared" si="1"/>
        <v>0</v>
      </c>
      <c r="N47" s="281">
        <f>IF(A47&lt;&gt;"", J47 / VLOOKUP(A47, 'Курс валют'!$A:$D, 4, 0), "")</f>
        <v>4.9261083743842367</v>
      </c>
      <c r="O47" s="261"/>
    </row>
    <row r="48" spans="1:15" x14ac:dyDescent="0.45">
      <c r="A48" s="264">
        <v>46067</v>
      </c>
      <c r="B48" s="254" t="s">
        <v>49</v>
      </c>
      <c r="C48" s="255" t="s">
        <v>69</v>
      </c>
      <c r="D48" s="291">
        <v>10</v>
      </c>
      <c r="E48" s="255" t="s">
        <v>546</v>
      </c>
      <c r="F48" s="256"/>
      <c r="G48" s="255" t="s">
        <v>514</v>
      </c>
      <c r="H48" s="294"/>
      <c r="I48" s="255"/>
      <c r="J48" s="297"/>
      <c r="K48" s="257"/>
      <c r="L48" s="258">
        <f t="shared" si="1"/>
        <v>0</v>
      </c>
      <c r="M48" s="259">
        <f t="shared" si="1"/>
        <v>0</v>
      </c>
      <c r="N48" s="281">
        <f>IF(A48&lt;&gt;"", J48 / VLOOKUP(A48, 'Курс валют'!$A:$D, 4, 0), "")</f>
        <v>0</v>
      </c>
      <c r="O48" s="261"/>
    </row>
    <row r="49" spans="1:15" x14ac:dyDescent="0.45">
      <c r="A49" s="264">
        <v>46067</v>
      </c>
      <c r="B49" s="254" t="s">
        <v>550</v>
      </c>
      <c r="C49" s="255" t="s">
        <v>59</v>
      </c>
      <c r="D49" s="291">
        <v>160</v>
      </c>
      <c r="E49" s="255" t="s">
        <v>546</v>
      </c>
      <c r="F49" s="256"/>
      <c r="G49" s="255" t="s">
        <v>514</v>
      </c>
      <c r="H49" s="294"/>
      <c r="I49" s="255"/>
      <c r="J49" s="297"/>
      <c r="K49" s="257"/>
      <c r="L49" s="258">
        <f t="shared" si="1"/>
        <v>0</v>
      </c>
      <c r="M49" s="259">
        <f t="shared" si="1"/>
        <v>0</v>
      </c>
      <c r="N49" s="281">
        <f>IF(A49&lt;&gt;"", J49 / VLOOKUP(A49, 'Курс валют'!$A:$D, 4, 0), "")</f>
        <v>0</v>
      </c>
      <c r="O49" s="261"/>
    </row>
    <row r="50" spans="1:15" x14ac:dyDescent="0.45">
      <c r="A50" s="264">
        <v>46069</v>
      </c>
      <c r="B50" s="263" t="s">
        <v>551</v>
      </c>
      <c r="C50" s="255" t="s">
        <v>59</v>
      </c>
      <c r="D50" s="291">
        <v>50</v>
      </c>
      <c r="E50" s="255" t="s">
        <v>546</v>
      </c>
      <c r="F50" s="256"/>
      <c r="G50" s="255" t="s">
        <v>514</v>
      </c>
      <c r="H50" s="294"/>
      <c r="I50" s="255"/>
      <c r="J50" s="297"/>
      <c r="K50" s="257"/>
      <c r="L50" s="258">
        <f t="shared" si="1"/>
        <v>0</v>
      </c>
      <c r="M50" s="259">
        <f t="shared" si="1"/>
        <v>0</v>
      </c>
      <c r="N50" s="281">
        <f>IF(A50&lt;&gt;"", J50 / VLOOKUP(A50, 'Курс валют'!$A:$D, 4, 0), "")</f>
        <v>0</v>
      </c>
      <c r="O50" s="261"/>
    </row>
    <row r="51" spans="1:15" x14ac:dyDescent="0.45">
      <c r="A51" s="264">
        <v>46070</v>
      </c>
      <c r="B51" s="254" t="s">
        <v>552</v>
      </c>
      <c r="C51" s="255" t="s">
        <v>512</v>
      </c>
      <c r="D51" s="291">
        <v>5</v>
      </c>
      <c r="E51" s="255" t="s">
        <v>546</v>
      </c>
      <c r="F51" s="256"/>
      <c r="G51" s="255" t="s">
        <v>514</v>
      </c>
      <c r="H51" s="294"/>
      <c r="I51" s="255"/>
      <c r="J51" s="297">
        <f>D51*600000</f>
        <v>3000000</v>
      </c>
      <c r="K51" s="257"/>
      <c r="L51" s="258">
        <f t="shared" si="1"/>
        <v>0</v>
      </c>
      <c r="M51" s="259">
        <f t="shared" si="1"/>
        <v>0</v>
      </c>
      <c r="N51" s="281">
        <f>IF(A51&lt;&gt;"", J51 / VLOOKUP(A51, 'Курс валют'!$A:$D, 4, 0), "")</f>
        <v>246.91358024691357</v>
      </c>
      <c r="O51" s="261"/>
    </row>
    <row r="52" spans="1:15" x14ac:dyDescent="0.45">
      <c r="A52" s="264">
        <v>46070</v>
      </c>
      <c r="B52" s="263" t="s">
        <v>553</v>
      </c>
      <c r="C52" s="255" t="s">
        <v>65</v>
      </c>
      <c r="D52" s="291">
        <v>1</v>
      </c>
      <c r="E52" s="255" t="s">
        <v>546</v>
      </c>
      <c r="F52" s="256"/>
      <c r="G52" s="255" t="s">
        <v>514</v>
      </c>
      <c r="H52" s="294"/>
      <c r="I52" s="255"/>
      <c r="J52" s="297">
        <v>1530000</v>
      </c>
      <c r="K52" s="257"/>
      <c r="L52" s="258">
        <f t="shared" si="1"/>
        <v>0</v>
      </c>
      <c r="M52" s="259">
        <f t="shared" si="1"/>
        <v>0</v>
      </c>
      <c r="N52" s="281">
        <f>IF(A52&lt;&gt;"", J52 / VLOOKUP(A52, 'Курс валют'!$A:$D, 4, 0), "")</f>
        <v>125.92592592592592</v>
      </c>
      <c r="O52" s="261"/>
    </row>
    <row r="53" spans="1:15" x14ac:dyDescent="0.45">
      <c r="A53" s="264">
        <v>46070</v>
      </c>
      <c r="B53" s="263" t="s">
        <v>554</v>
      </c>
      <c r="C53" s="255" t="s">
        <v>97</v>
      </c>
      <c r="D53" s="291">
        <v>400</v>
      </c>
      <c r="E53" s="255" t="s">
        <v>546</v>
      </c>
      <c r="F53" s="256"/>
      <c r="G53" s="255" t="s">
        <v>514</v>
      </c>
      <c r="H53" s="294"/>
      <c r="I53" s="255"/>
      <c r="J53" s="297"/>
      <c r="K53" s="257"/>
      <c r="L53" s="258">
        <f t="shared" si="1"/>
        <v>0</v>
      </c>
      <c r="M53" s="259">
        <f t="shared" si="1"/>
        <v>0</v>
      </c>
      <c r="N53" s="281">
        <f>IF(A53&lt;&gt;"", J53 / VLOOKUP(A53, 'Курс валют'!$A:$D, 4, 0), "")</f>
        <v>0</v>
      </c>
      <c r="O53" s="261"/>
    </row>
    <row r="54" spans="1:15" x14ac:dyDescent="0.45">
      <c r="A54" s="264">
        <v>46070</v>
      </c>
      <c r="B54" s="263" t="s">
        <v>555</v>
      </c>
      <c r="C54" s="255" t="s">
        <v>65</v>
      </c>
      <c r="D54" s="291">
        <v>1</v>
      </c>
      <c r="E54" s="255" t="s">
        <v>546</v>
      </c>
      <c r="F54" s="256"/>
      <c r="G54" s="255" t="s">
        <v>514</v>
      </c>
      <c r="H54" s="294"/>
      <c r="I54" s="255"/>
      <c r="J54" s="297">
        <v>100000</v>
      </c>
      <c r="K54" s="257"/>
      <c r="L54" s="258">
        <f t="shared" si="1"/>
        <v>0</v>
      </c>
      <c r="M54" s="259">
        <f t="shared" si="1"/>
        <v>0</v>
      </c>
      <c r="N54" s="281">
        <f>IF(A54&lt;&gt;"", J54 / VLOOKUP(A54, 'Курс валют'!$A:$D, 4, 0), "")</f>
        <v>8.2304526748971192</v>
      </c>
      <c r="O54" s="261"/>
    </row>
    <row r="55" spans="1:15" x14ac:dyDescent="0.45">
      <c r="A55" s="264">
        <v>46070</v>
      </c>
      <c r="B55" s="254" t="s">
        <v>556</v>
      </c>
      <c r="C55" s="255" t="s">
        <v>65</v>
      </c>
      <c r="D55" s="291">
        <v>1</v>
      </c>
      <c r="E55" s="255" t="s">
        <v>546</v>
      </c>
      <c r="F55" s="256"/>
      <c r="G55" s="255" t="s">
        <v>514</v>
      </c>
      <c r="H55" s="294"/>
      <c r="I55" s="255"/>
      <c r="J55" s="297">
        <v>70000</v>
      </c>
      <c r="K55" s="257"/>
      <c r="L55" s="258">
        <f t="shared" si="1"/>
        <v>0</v>
      </c>
      <c r="M55" s="259">
        <f t="shared" si="1"/>
        <v>0</v>
      </c>
      <c r="N55" s="281">
        <f>IF(A55&lt;&gt;"", J55 / VLOOKUP(A55, 'Курс валют'!$A:$D, 4, 0), "")</f>
        <v>5.761316872427984</v>
      </c>
      <c r="O55" s="261"/>
    </row>
    <row r="56" spans="1:15" x14ac:dyDescent="0.45">
      <c r="A56" s="264">
        <v>46070</v>
      </c>
      <c r="B56" s="254" t="s">
        <v>517</v>
      </c>
      <c r="C56" s="255" t="s">
        <v>512</v>
      </c>
      <c r="D56" s="291">
        <v>1</v>
      </c>
      <c r="E56" s="255" t="s">
        <v>546</v>
      </c>
      <c r="F56" s="256"/>
      <c r="G56" s="255" t="s">
        <v>514</v>
      </c>
      <c r="H56" s="294"/>
      <c r="I56" s="255"/>
      <c r="J56" s="297">
        <f>D56*400000</f>
        <v>400000</v>
      </c>
      <c r="K56" s="257"/>
      <c r="L56" s="258">
        <f t="shared" si="1"/>
        <v>0</v>
      </c>
      <c r="M56" s="259">
        <f t="shared" si="1"/>
        <v>0</v>
      </c>
      <c r="N56" s="281">
        <f>IF(A56&lt;&gt;"", J56 / VLOOKUP(A56, 'Курс валют'!$A:$D, 4, 0), "")</f>
        <v>32.921810699588477</v>
      </c>
      <c r="O56" s="261"/>
    </row>
    <row r="57" spans="1:15" x14ac:dyDescent="0.45">
      <c r="A57" s="264">
        <v>46070</v>
      </c>
      <c r="B57" s="263" t="s">
        <v>557</v>
      </c>
      <c r="C57" s="255" t="s">
        <v>69</v>
      </c>
      <c r="D57" s="291">
        <v>1</v>
      </c>
      <c r="E57" s="255" t="s">
        <v>546</v>
      </c>
      <c r="F57" s="256"/>
      <c r="G57" s="255" t="s">
        <v>514</v>
      </c>
      <c r="H57" s="294"/>
      <c r="I57" s="255"/>
      <c r="J57" s="297">
        <v>2050000</v>
      </c>
      <c r="K57" s="257"/>
      <c r="L57" s="258">
        <f t="shared" si="1"/>
        <v>0</v>
      </c>
      <c r="M57" s="259">
        <f t="shared" si="1"/>
        <v>0</v>
      </c>
      <c r="N57" s="281">
        <f>IF(A57&lt;&gt;"", J57 / VLOOKUP(A57, 'Курс валют'!$A:$D, 4, 0), "")</f>
        <v>168.72427983539094</v>
      </c>
      <c r="O57" s="261"/>
    </row>
    <row r="58" spans="1:15" x14ac:dyDescent="0.45">
      <c r="A58" s="264">
        <v>46070</v>
      </c>
      <c r="B58" s="254" t="s">
        <v>539</v>
      </c>
      <c r="C58" s="255" t="s">
        <v>558</v>
      </c>
      <c r="D58" s="291">
        <v>1</v>
      </c>
      <c r="E58" s="255" t="s">
        <v>546</v>
      </c>
      <c r="F58" s="256"/>
      <c r="G58" s="255" t="s">
        <v>514</v>
      </c>
      <c r="H58" s="294"/>
      <c r="I58" s="255"/>
      <c r="J58" s="297">
        <v>1000000</v>
      </c>
      <c r="K58" s="257"/>
      <c r="L58" s="258">
        <f t="shared" si="1"/>
        <v>0</v>
      </c>
      <c r="M58" s="259">
        <f t="shared" si="1"/>
        <v>0</v>
      </c>
      <c r="N58" s="281">
        <f>IF(A58&lt;&gt;"", J58 / VLOOKUP(A58, 'Курс валют'!$A:$D, 4, 0), "")</f>
        <v>82.304526748971199</v>
      </c>
      <c r="O58" s="261"/>
    </row>
    <row r="59" spans="1:15" x14ac:dyDescent="0.45">
      <c r="A59" s="264">
        <v>46071</v>
      </c>
      <c r="B59" s="263" t="s">
        <v>559</v>
      </c>
      <c r="C59" s="255" t="s">
        <v>512</v>
      </c>
      <c r="D59" s="291">
        <v>2</v>
      </c>
      <c r="E59" s="255" t="s">
        <v>546</v>
      </c>
      <c r="F59" s="256"/>
      <c r="G59" s="255" t="s">
        <v>514</v>
      </c>
      <c r="H59" s="294"/>
      <c r="I59" s="255"/>
      <c r="J59" s="297">
        <f>1000000*D59</f>
        <v>2000000</v>
      </c>
      <c r="K59" s="257"/>
      <c r="L59" s="258">
        <f t="shared" si="1"/>
        <v>0</v>
      </c>
      <c r="M59" s="259">
        <f t="shared" si="1"/>
        <v>0</v>
      </c>
      <c r="N59" s="281">
        <f>IF(A59&lt;&gt;"", J59 / VLOOKUP(A59, 'Курс валют'!$A:$D, 4, 0), "")</f>
        <v>165.56291390728478</v>
      </c>
      <c r="O59" s="261"/>
    </row>
    <row r="60" spans="1:15" x14ac:dyDescent="0.45">
      <c r="A60" s="264">
        <v>46071</v>
      </c>
      <c r="B60" s="263" t="s">
        <v>560</v>
      </c>
      <c r="C60" s="255" t="s">
        <v>512</v>
      </c>
      <c r="D60" s="291">
        <v>4</v>
      </c>
      <c r="E60" s="255" t="s">
        <v>546</v>
      </c>
      <c r="F60" s="256"/>
      <c r="G60" s="255" t="s">
        <v>514</v>
      </c>
      <c r="H60" s="294"/>
      <c r="I60" s="255"/>
      <c r="J60" s="297">
        <f>450000*D60</f>
        <v>1800000</v>
      </c>
      <c r="K60" s="257"/>
      <c r="L60" s="258">
        <f t="shared" si="1"/>
        <v>0</v>
      </c>
      <c r="M60" s="259">
        <f t="shared" si="1"/>
        <v>0</v>
      </c>
      <c r="N60" s="281">
        <f>IF(A60&lt;&gt;"", J60 / VLOOKUP(A60, 'Курс валют'!$A:$D, 4, 0), "")</f>
        <v>149.00662251655629</v>
      </c>
      <c r="O60" s="261"/>
    </row>
    <row r="61" spans="1:15" x14ac:dyDescent="0.45">
      <c r="A61" s="264">
        <v>46071</v>
      </c>
      <c r="B61" s="263" t="s">
        <v>539</v>
      </c>
      <c r="C61" s="255" t="s">
        <v>541</v>
      </c>
      <c r="D61" s="291">
        <v>1</v>
      </c>
      <c r="E61" s="255" t="s">
        <v>546</v>
      </c>
      <c r="F61" s="256"/>
      <c r="G61" s="255" t="s">
        <v>514</v>
      </c>
      <c r="H61" s="294"/>
      <c r="I61" s="255"/>
      <c r="J61" s="297">
        <v>1000000</v>
      </c>
      <c r="K61" s="257"/>
      <c r="L61" s="258">
        <f t="shared" si="1"/>
        <v>0</v>
      </c>
      <c r="M61" s="259">
        <f t="shared" si="1"/>
        <v>0</v>
      </c>
      <c r="N61" s="281">
        <f>IF(A61&lt;&gt;"", J61 / VLOOKUP(A61, 'Курс валют'!$A:$D, 4, 0), "")</f>
        <v>82.78145695364239</v>
      </c>
      <c r="O61" s="261"/>
    </row>
    <row r="62" spans="1:15" x14ac:dyDescent="0.45">
      <c r="A62" s="264">
        <v>46071</v>
      </c>
      <c r="B62" s="263" t="s">
        <v>561</v>
      </c>
      <c r="C62" s="255" t="s">
        <v>69</v>
      </c>
      <c r="D62" s="291">
        <v>1</v>
      </c>
      <c r="E62" s="255" t="s">
        <v>546</v>
      </c>
      <c r="F62" s="256"/>
      <c r="G62" s="255" t="s">
        <v>514</v>
      </c>
      <c r="H62" s="294"/>
      <c r="I62" s="255"/>
      <c r="J62" s="297">
        <v>10000000</v>
      </c>
      <c r="K62" s="257"/>
      <c r="L62" s="258">
        <f t="shared" si="1"/>
        <v>0</v>
      </c>
      <c r="M62" s="259">
        <f t="shared" si="1"/>
        <v>0</v>
      </c>
      <c r="N62" s="281">
        <f>IF(A62&lt;&gt;"", J62 / VLOOKUP(A62, 'Курс валют'!$A:$D, 4, 0), "")</f>
        <v>827.81456953642385</v>
      </c>
      <c r="O62" s="261"/>
    </row>
    <row r="63" spans="1:15" x14ac:dyDescent="0.45">
      <c r="A63" s="264">
        <v>46071</v>
      </c>
      <c r="B63" s="263" t="s">
        <v>556</v>
      </c>
      <c r="C63" s="255" t="s">
        <v>65</v>
      </c>
      <c r="D63" s="291">
        <v>1</v>
      </c>
      <c r="E63" s="255" t="s">
        <v>546</v>
      </c>
      <c r="F63" s="256"/>
      <c r="G63" s="255" t="s">
        <v>514</v>
      </c>
      <c r="H63" s="294"/>
      <c r="I63" s="255"/>
      <c r="J63" s="297">
        <v>120000</v>
      </c>
      <c r="K63" s="257"/>
      <c r="L63" s="258">
        <f t="shared" si="1"/>
        <v>0</v>
      </c>
      <c r="M63" s="259">
        <f t="shared" si="1"/>
        <v>0</v>
      </c>
      <c r="N63" s="281">
        <f>IF(A63&lt;&gt;"", J63 / VLOOKUP(A63, 'Курс валют'!$A:$D, 4, 0), "")</f>
        <v>9.9337748344370862</v>
      </c>
      <c r="O63" s="261"/>
    </row>
    <row r="64" spans="1:15" x14ac:dyDescent="0.45">
      <c r="A64" s="264">
        <v>46072</v>
      </c>
      <c r="B64" s="263" t="s">
        <v>517</v>
      </c>
      <c r="C64" s="255" t="s">
        <v>65</v>
      </c>
      <c r="D64" s="291">
        <v>1</v>
      </c>
      <c r="E64" s="255" t="s">
        <v>533</v>
      </c>
      <c r="F64" s="256"/>
      <c r="G64" s="255" t="s">
        <v>514</v>
      </c>
      <c r="H64" s="294"/>
      <c r="I64" s="255"/>
      <c r="J64" s="297">
        <v>300000</v>
      </c>
      <c r="K64" s="257"/>
      <c r="L64" s="258">
        <f t="shared" si="1"/>
        <v>0</v>
      </c>
      <c r="M64" s="259">
        <f t="shared" si="1"/>
        <v>0</v>
      </c>
      <c r="N64" s="281">
        <f>IF(A64&lt;&gt;"", J64 / VLOOKUP(A64, 'Курс валют'!$A:$D, 4, 0), "")</f>
        <v>25</v>
      </c>
      <c r="O64" s="261"/>
    </row>
    <row r="65" spans="1:15" x14ac:dyDescent="0.45">
      <c r="A65" s="264">
        <v>46072</v>
      </c>
      <c r="B65" s="263" t="s">
        <v>562</v>
      </c>
      <c r="C65" s="255" t="s">
        <v>65</v>
      </c>
      <c r="D65" s="291">
        <v>1</v>
      </c>
      <c r="E65" s="255" t="s">
        <v>546</v>
      </c>
      <c r="F65" s="256"/>
      <c r="G65" s="255" t="s">
        <v>514</v>
      </c>
      <c r="H65" s="294"/>
      <c r="I65" s="255"/>
      <c r="J65" s="297">
        <v>1000000</v>
      </c>
      <c r="K65" s="257"/>
      <c r="L65" s="258">
        <f t="shared" si="1"/>
        <v>0</v>
      </c>
      <c r="M65" s="259">
        <f t="shared" si="1"/>
        <v>0</v>
      </c>
      <c r="N65" s="281">
        <f>IF(A65&lt;&gt;"", J65 / VLOOKUP(A65, 'Курс валют'!$A:$D, 4, 0), "")</f>
        <v>83.333333333333329</v>
      </c>
      <c r="O65" s="261"/>
    </row>
    <row r="66" spans="1:15" x14ac:dyDescent="0.45">
      <c r="A66" s="264">
        <v>46072</v>
      </c>
      <c r="B66" s="263" t="s">
        <v>82</v>
      </c>
      <c r="C66" s="255" t="s">
        <v>59</v>
      </c>
      <c r="D66" s="291">
        <v>18</v>
      </c>
      <c r="E66" s="255" t="s">
        <v>546</v>
      </c>
      <c r="F66" s="256"/>
      <c r="G66" s="255" t="s">
        <v>514</v>
      </c>
      <c r="H66" s="294"/>
      <c r="I66" s="255"/>
      <c r="J66" s="297">
        <f>D66*100000</f>
        <v>1800000</v>
      </c>
      <c r="K66" s="257"/>
      <c r="L66" s="258">
        <f t="shared" si="1"/>
        <v>0</v>
      </c>
      <c r="M66" s="259">
        <f t="shared" si="1"/>
        <v>0</v>
      </c>
      <c r="N66" s="281">
        <f>IF(A66&lt;&gt;"", J66 / VLOOKUP(A66, 'Курс валют'!$A:$D, 4, 0), "")</f>
        <v>150</v>
      </c>
      <c r="O66" s="261"/>
    </row>
    <row r="67" spans="1:15" x14ac:dyDescent="0.45">
      <c r="A67" s="264">
        <v>46072</v>
      </c>
      <c r="B67" s="263" t="s">
        <v>563</v>
      </c>
      <c r="C67" s="255" t="s">
        <v>69</v>
      </c>
      <c r="D67" s="291">
        <v>1</v>
      </c>
      <c r="E67" s="255" t="s">
        <v>546</v>
      </c>
      <c r="F67" s="256"/>
      <c r="G67" s="255" t="s">
        <v>514</v>
      </c>
      <c r="H67" s="294"/>
      <c r="I67" s="255"/>
      <c r="J67" s="297">
        <f>12000*150</f>
        <v>1800000</v>
      </c>
      <c r="K67" s="257"/>
      <c r="L67" s="258">
        <f t="shared" ref="L67:M98" si="2">IF(G67="USD", H67*K67, H67)</f>
        <v>0</v>
      </c>
      <c r="M67" s="259">
        <f t="shared" si="2"/>
        <v>0</v>
      </c>
      <c r="N67" s="281">
        <f>IF(A67&lt;&gt;"", J67 / VLOOKUP(A67, 'Курс валют'!$A:$D, 4, 0), "")</f>
        <v>150</v>
      </c>
      <c r="O67" s="261"/>
    </row>
    <row r="68" spans="1:15" x14ac:dyDescent="0.45">
      <c r="A68" s="264">
        <v>46072</v>
      </c>
      <c r="B68" s="263" t="s">
        <v>228</v>
      </c>
      <c r="C68" s="255" t="s">
        <v>59</v>
      </c>
      <c r="D68" s="291">
        <v>2000</v>
      </c>
      <c r="E68" s="255" t="s">
        <v>546</v>
      </c>
      <c r="F68" s="256"/>
      <c r="G68" s="255" t="s">
        <v>514</v>
      </c>
      <c r="H68" s="294"/>
      <c r="I68" s="255"/>
      <c r="J68" s="297">
        <f>10126*D68</f>
        <v>20252000</v>
      </c>
      <c r="K68" s="257"/>
      <c r="L68" s="258">
        <f t="shared" si="2"/>
        <v>0</v>
      </c>
      <c r="M68" s="259">
        <f t="shared" si="2"/>
        <v>0</v>
      </c>
      <c r="N68" s="281">
        <f>IF(A68&lt;&gt;"", J68 / VLOOKUP(A68, 'Курс валют'!$A:$D, 4, 0), "")</f>
        <v>1687.6666666666667</v>
      </c>
      <c r="O68" s="261"/>
    </row>
    <row r="69" spans="1:15" x14ac:dyDescent="0.45">
      <c r="A69" s="264">
        <v>46073</v>
      </c>
      <c r="B69" s="263" t="s">
        <v>539</v>
      </c>
      <c r="C69" s="255" t="s">
        <v>564</v>
      </c>
      <c r="D69" s="291">
        <v>1</v>
      </c>
      <c r="E69" s="255" t="s">
        <v>533</v>
      </c>
      <c r="F69" s="256"/>
      <c r="G69" s="255" t="s">
        <v>514</v>
      </c>
      <c r="H69" s="294"/>
      <c r="I69" s="255"/>
      <c r="J69" s="297">
        <v>2100000</v>
      </c>
      <c r="K69" s="257"/>
      <c r="L69" s="258">
        <f t="shared" si="2"/>
        <v>0</v>
      </c>
      <c r="M69" s="259">
        <f t="shared" si="2"/>
        <v>0</v>
      </c>
      <c r="N69" s="281">
        <f>IF(A69&lt;&gt;"", J69 / VLOOKUP(A69, 'Курс валют'!$A:$D, 4, 0), "")</f>
        <v>175</v>
      </c>
      <c r="O69" s="261"/>
    </row>
    <row r="70" spans="1:15" x14ac:dyDescent="0.45">
      <c r="A70" s="264">
        <v>46073</v>
      </c>
      <c r="B70" s="263" t="s">
        <v>517</v>
      </c>
      <c r="C70" s="255" t="s">
        <v>512</v>
      </c>
      <c r="D70" s="291">
        <v>4</v>
      </c>
      <c r="E70" s="255" t="s">
        <v>533</v>
      </c>
      <c r="F70" s="256"/>
      <c r="G70" s="255" t="s">
        <v>514</v>
      </c>
      <c r="H70" s="294"/>
      <c r="I70" s="255"/>
      <c r="J70" s="297">
        <f>400000*D70</f>
        <v>1600000</v>
      </c>
      <c r="K70" s="257"/>
      <c r="L70" s="258">
        <f t="shared" si="2"/>
        <v>0</v>
      </c>
      <c r="M70" s="259">
        <f t="shared" si="2"/>
        <v>0</v>
      </c>
      <c r="N70" s="281">
        <f>IF(A70&lt;&gt;"", J70 / VLOOKUP(A70, 'Курс валют'!$A:$D, 4, 0), "")</f>
        <v>133.33333333333334</v>
      </c>
      <c r="O70" s="261"/>
    </row>
    <row r="71" spans="1:15" x14ac:dyDescent="0.45">
      <c r="A71" s="264">
        <v>46073</v>
      </c>
      <c r="B71" s="263" t="s">
        <v>565</v>
      </c>
      <c r="C71" s="255" t="s">
        <v>65</v>
      </c>
      <c r="D71" s="291">
        <v>1</v>
      </c>
      <c r="E71" s="255" t="s">
        <v>546</v>
      </c>
      <c r="F71" s="256"/>
      <c r="G71" s="255" t="s">
        <v>514</v>
      </c>
      <c r="H71" s="294"/>
      <c r="I71" s="255"/>
      <c r="J71" s="297">
        <v>6839050</v>
      </c>
      <c r="K71" s="257"/>
      <c r="L71" s="258">
        <f t="shared" si="2"/>
        <v>0</v>
      </c>
      <c r="M71" s="259">
        <f t="shared" si="2"/>
        <v>0</v>
      </c>
      <c r="N71" s="281">
        <f>IF(A71&lt;&gt;"", J71 / VLOOKUP(A71, 'Курс валют'!$A:$D, 4, 0), "")</f>
        <v>569.92083333333335</v>
      </c>
      <c r="O71" s="261"/>
    </row>
    <row r="72" spans="1:15" x14ac:dyDescent="0.45">
      <c r="A72" s="264">
        <v>46073</v>
      </c>
      <c r="B72" s="263" t="s">
        <v>566</v>
      </c>
      <c r="C72" s="255" t="s">
        <v>65</v>
      </c>
      <c r="D72" s="291">
        <v>1</v>
      </c>
      <c r="E72" s="255" t="s">
        <v>546</v>
      </c>
      <c r="F72" s="256"/>
      <c r="G72" s="255" t="s">
        <v>514</v>
      </c>
      <c r="H72" s="294"/>
      <c r="I72" s="255"/>
      <c r="J72" s="297">
        <v>150000</v>
      </c>
      <c r="K72" s="257"/>
      <c r="L72" s="258">
        <f t="shared" si="2"/>
        <v>0</v>
      </c>
      <c r="M72" s="259">
        <f t="shared" si="2"/>
        <v>0</v>
      </c>
      <c r="N72" s="281">
        <f>IF(A72&lt;&gt;"", J72 / VLOOKUP(A72, 'Курс валют'!$A:$D, 4, 0), "")</f>
        <v>12.5</v>
      </c>
      <c r="O72" s="261"/>
    </row>
    <row r="73" spans="1:15" x14ac:dyDescent="0.45">
      <c r="A73" s="264">
        <v>46073</v>
      </c>
      <c r="B73" s="263" t="s">
        <v>567</v>
      </c>
      <c r="C73" s="255" t="s">
        <v>69</v>
      </c>
      <c r="D73" s="291">
        <v>1</v>
      </c>
      <c r="E73" s="255" t="s">
        <v>546</v>
      </c>
      <c r="F73" s="256"/>
      <c r="G73" s="255" t="s">
        <v>514</v>
      </c>
      <c r="H73" s="294"/>
      <c r="I73" s="255"/>
      <c r="J73" s="297">
        <v>4689960</v>
      </c>
      <c r="K73" s="257"/>
      <c r="L73" s="258">
        <f t="shared" si="2"/>
        <v>0</v>
      </c>
      <c r="M73" s="259">
        <f t="shared" si="2"/>
        <v>0</v>
      </c>
      <c r="N73" s="281">
        <f>IF(A73&lt;&gt;"", J73 / VLOOKUP(A73, 'Курс валют'!$A:$D, 4, 0), "")</f>
        <v>390.83</v>
      </c>
      <c r="O73" s="261"/>
    </row>
    <row r="74" spans="1:15" x14ac:dyDescent="0.45">
      <c r="A74" s="264">
        <v>46073</v>
      </c>
      <c r="B74" s="263" t="s">
        <v>568</v>
      </c>
      <c r="C74" s="255" t="s">
        <v>43</v>
      </c>
      <c r="D74" s="291">
        <v>1</v>
      </c>
      <c r="E74" s="255" t="s">
        <v>546</v>
      </c>
      <c r="F74" s="256"/>
      <c r="G74" s="255" t="s">
        <v>514</v>
      </c>
      <c r="H74" s="294"/>
      <c r="I74" s="255"/>
      <c r="J74" s="297">
        <v>400000</v>
      </c>
      <c r="K74" s="257"/>
      <c r="L74" s="258">
        <f t="shared" si="2"/>
        <v>0</v>
      </c>
      <c r="M74" s="259">
        <f t="shared" si="2"/>
        <v>0</v>
      </c>
      <c r="N74" s="281">
        <f>IF(A74&lt;&gt;"", J74 / VLOOKUP(A74, 'Курс валют'!$A:$D, 4, 0), "")</f>
        <v>33.333333333333336</v>
      </c>
      <c r="O74" s="261"/>
    </row>
    <row r="75" spans="1:15" x14ac:dyDescent="0.45">
      <c r="A75" s="264">
        <v>46073</v>
      </c>
      <c r="B75" s="263" t="s">
        <v>266</v>
      </c>
      <c r="C75" s="255" t="s">
        <v>211</v>
      </c>
      <c r="D75" s="291">
        <v>3</v>
      </c>
      <c r="E75" s="255" t="s">
        <v>546</v>
      </c>
      <c r="F75" s="256"/>
      <c r="G75" s="255" t="s">
        <v>514</v>
      </c>
      <c r="H75" s="294"/>
      <c r="I75" s="255"/>
      <c r="J75" s="297">
        <f>603684*D75</f>
        <v>1811052</v>
      </c>
      <c r="K75" s="257"/>
      <c r="L75" s="258">
        <f t="shared" si="2"/>
        <v>0</v>
      </c>
      <c r="M75" s="259">
        <f t="shared" si="2"/>
        <v>0</v>
      </c>
      <c r="N75" s="281">
        <f>IF(A75&lt;&gt;"", J75 / VLOOKUP(A75, 'Курс валют'!$A:$D, 4, 0), "")</f>
        <v>150.92099999999999</v>
      </c>
      <c r="O75" s="261"/>
    </row>
    <row r="76" spans="1:15" x14ac:dyDescent="0.45">
      <c r="A76" s="264">
        <v>46073</v>
      </c>
      <c r="B76" s="263" t="s">
        <v>569</v>
      </c>
      <c r="C76" s="255" t="s">
        <v>65</v>
      </c>
      <c r="D76" s="291">
        <v>1</v>
      </c>
      <c r="E76" s="255" t="s">
        <v>546</v>
      </c>
      <c r="F76" s="256"/>
      <c r="G76" s="255" t="s">
        <v>514</v>
      </c>
      <c r="H76" s="294"/>
      <c r="I76" s="255"/>
      <c r="J76" s="297">
        <v>240000</v>
      </c>
      <c r="K76" s="257"/>
      <c r="L76" s="258">
        <f t="shared" si="2"/>
        <v>0</v>
      </c>
      <c r="M76" s="259">
        <f t="shared" si="2"/>
        <v>0</v>
      </c>
      <c r="N76" s="281">
        <f>IF(A76&lt;&gt;"", J76 / VLOOKUP(A76, 'Курс валют'!$A:$D, 4, 0), "")</f>
        <v>20</v>
      </c>
      <c r="O76" s="261"/>
    </row>
    <row r="77" spans="1:15" x14ac:dyDescent="0.45">
      <c r="A77" s="264">
        <v>46074</v>
      </c>
      <c r="B77" s="263" t="s">
        <v>570</v>
      </c>
      <c r="C77" s="255" t="s">
        <v>512</v>
      </c>
      <c r="D77" s="291">
        <v>4</v>
      </c>
      <c r="E77" s="255" t="s">
        <v>533</v>
      </c>
      <c r="F77" s="256"/>
      <c r="G77" s="255" t="s">
        <v>514</v>
      </c>
      <c r="H77" s="294"/>
      <c r="I77" s="255"/>
      <c r="J77" s="297">
        <v>1500000</v>
      </c>
      <c r="K77" s="257"/>
      <c r="L77" s="258">
        <f t="shared" si="2"/>
        <v>0</v>
      </c>
      <c r="M77" s="259">
        <f t="shared" si="2"/>
        <v>0</v>
      </c>
      <c r="N77" s="281">
        <f>IF(A77&lt;&gt;"", J77 / VLOOKUP(A77, 'Курс валют'!$A:$D, 4, 0), "")</f>
        <v>123.96694214876032</v>
      </c>
      <c r="O77" s="261"/>
    </row>
    <row r="78" spans="1:15" x14ac:dyDescent="0.45">
      <c r="A78" s="264">
        <v>46074</v>
      </c>
      <c r="B78" s="263" t="s">
        <v>571</v>
      </c>
      <c r="C78" s="255" t="s">
        <v>69</v>
      </c>
      <c r="D78" s="291">
        <v>16</v>
      </c>
      <c r="E78" s="255" t="s">
        <v>533</v>
      </c>
      <c r="F78" s="256"/>
      <c r="G78" s="255" t="s">
        <v>514</v>
      </c>
      <c r="H78" s="294"/>
      <c r="I78" s="255"/>
      <c r="J78" s="297">
        <f>D78*2800000</f>
        <v>44800000</v>
      </c>
      <c r="K78" s="257"/>
      <c r="L78" s="258">
        <f t="shared" si="2"/>
        <v>0</v>
      </c>
      <c r="M78" s="259">
        <f t="shared" si="2"/>
        <v>0</v>
      </c>
      <c r="N78" s="281">
        <f>IF(A78&lt;&gt;"", J78 / VLOOKUP(A78, 'Курс валют'!$A:$D, 4, 0), "")</f>
        <v>3702.4793388429753</v>
      </c>
      <c r="O78" s="261"/>
    </row>
    <row r="79" spans="1:15" x14ac:dyDescent="0.45">
      <c r="A79" s="264">
        <v>46074</v>
      </c>
      <c r="B79" s="263" t="s">
        <v>572</v>
      </c>
      <c r="C79" s="255" t="s">
        <v>69</v>
      </c>
      <c r="D79" s="291">
        <v>2</v>
      </c>
      <c r="E79" s="255" t="s">
        <v>546</v>
      </c>
      <c r="F79" s="256"/>
      <c r="G79" s="255" t="s">
        <v>514</v>
      </c>
      <c r="H79" s="294"/>
      <c r="I79" s="255"/>
      <c r="J79" s="297">
        <f>50000*D79</f>
        <v>100000</v>
      </c>
      <c r="K79" s="257"/>
      <c r="L79" s="258">
        <f t="shared" si="2"/>
        <v>0</v>
      </c>
      <c r="M79" s="259">
        <f t="shared" si="2"/>
        <v>0</v>
      </c>
      <c r="N79" s="281">
        <f>IF(A79&lt;&gt;"", J79 / VLOOKUP(A79, 'Курс валют'!$A:$D, 4, 0), "")</f>
        <v>8.2644628099173545</v>
      </c>
      <c r="O79" s="261"/>
    </row>
    <row r="80" spans="1:15" x14ac:dyDescent="0.45">
      <c r="A80" s="264">
        <v>46074</v>
      </c>
      <c r="B80" s="263" t="s">
        <v>536</v>
      </c>
      <c r="C80" s="255" t="s">
        <v>543</v>
      </c>
      <c r="D80" s="291">
        <v>3</v>
      </c>
      <c r="E80" s="255" t="s">
        <v>546</v>
      </c>
      <c r="F80" s="256"/>
      <c r="G80" s="255" t="s">
        <v>514</v>
      </c>
      <c r="H80" s="294"/>
      <c r="I80" s="255"/>
      <c r="J80" s="297">
        <v>150000</v>
      </c>
      <c r="K80" s="257"/>
      <c r="L80" s="258">
        <f t="shared" si="2"/>
        <v>0</v>
      </c>
      <c r="M80" s="259">
        <f t="shared" si="2"/>
        <v>0</v>
      </c>
      <c r="N80" s="281">
        <f>IF(A80&lt;&gt;"", J80 / VLOOKUP(A80, 'Курс валют'!$A:$D, 4, 0), "")</f>
        <v>12.396694214876034</v>
      </c>
      <c r="O80" s="261"/>
    </row>
    <row r="81" spans="1:15" x14ac:dyDescent="0.45">
      <c r="A81" s="264">
        <v>46075</v>
      </c>
      <c r="B81" s="263" t="s">
        <v>22</v>
      </c>
      <c r="C81" s="255" t="s">
        <v>69</v>
      </c>
      <c r="D81" s="291">
        <v>1</v>
      </c>
      <c r="E81" s="255" t="s">
        <v>533</v>
      </c>
      <c r="F81" s="256"/>
      <c r="G81" s="255" t="s">
        <v>514</v>
      </c>
      <c r="H81" s="294"/>
      <c r="I81" s="255"/>
      <c r="J81" s="297">
        <v>1835000</v>
      </c>
      <c r="K81" s="257"/>
      <c r="L81" s="258">
        <f t="shared" si="2"/>
        <v>0</v>
      </c>
      <c r="M81" s="259">
        <f t="shared" si="2"/>
        <v>0</v>
      </c>
      <c r="N81" s="281">
        <f>IF(A81&lt;&gt;"", J81 / VLOOKUP(A81, 'Курс валют'!$A:$D, 4, 0), "")</f>
        <v>152.91666666666666</v>
      </c>
      <c r="O81" s="261"/>
    </row>
    <row r="82" spans="1:15" x14ac:dyDescent="0.45">
      <c r="A82" s="264">
        <v>46075</v>
      </c>
      <c r="B82" s="263" t="s">
        <v>573</v>
      </c>
      <c r="C82" s="255" t="s">
        <v>65</v>
      </c>
      <c r="D82" s="291">
        <v>1</v>
      </c>
      <c r="E82" s="255" t="s">
        <v>533</v>
      </c>
      <c r="F82" s="256"/>
      <c r="G82" s="255" t="s">
        <v>514</v>
      </c>
      <c r="H82" s="294"/>
      <c r="I82" s="255"/>
      <c r="J82" s="297">
        <v>80000</v>
      </c>
      <c r="K82" s="257"/>
      <c r="L82" s="258">
        <f t="shared" si="2"/>
        <v>0</v>
      </c>
      <c r="M82" s="259">
        <f t="shared" si="2"/>
        <v>0</v>
      </c>
      <c r="N82" s="281">
        <f>IF(A82&lt;&gt;"", J82 / VLOOKUP(A82, 'Курс валют'!$A:$D, 4, 0), "")</f>
        <v>6.666666666666667</v>
      </c>
      <c r="O82" s="261"/>
    </row>
    <row r="83" spans="1:15" x14ac:dyDescent="0.45">
      <c r="A83" s="264">
        <v>46075</v>
      </c>
      <c r="B83" s="263" t="s">
        <v>574</v>
      </c>
      <c r="C83" s="255" t="s">
        <v>69</v>
      </c>
      <c r="D83" s="291">
        <v>1</v>
      </c>
      <c r="E83" s="255" t="s">
        <v>546</v>
      </c>
      <c r="F83" s="256"/>
      <c r="G83" s="255" t="s">
        <v>514</v>
      </c>
      <c r="H83" s="294"/>
      <c r="I83" s="255"/>
      <c r="J83" s="297">
        <v>6075000</v>
      </c>
      <c r="K83" s="257"/>
      <c r="L83" s="258">
        <f t="shared" si="2"/>
        <v>0</v>
      </c>
      <c r="M83" s="259">
        <f t="shared" si="2"/>
        <v>0</v>
      </c>
      <c r="N83" s="281">
        <f>IF(A83&lt;&gt;"", J83 / VLOOKUP(A83, 'Курс валют'!$A:$D, 4, 0), "")</f>
        <v>506.25</v>
      </c>
      <c r="O83" s="261"/>
    </row>
    <row r="84" spans="1:15" x14ac:dyDescent="0.45">
      <c r="A84" s="264">
        <v>46077</v>
      </c>
      <c r="B84" s="263" t="s">
        <v>575</v>
      </c>
      <c r="C84" s="255" t="s">
        <v>65</v>
      </c>
      <c r="D84" s="291">
        <v>1</v>
      </c>
      <c r="E84" s="255" t="s">
        <v>546</v>
      </c>
      <c r="F84" s="256"/>
      <c r="G84" s="255" t="s">
        <v>514</v>
      </c>
      <c r="H84" s="294"/>
      <c r="I84" s="255"/>
      <c r="J84" s="297">
        <v>2000000</v>
      </c>
      <c r="K84" s="257"/>
      <c r="L84" s="258">
        <f t="shared" si="2"/>
        <v>0</v>
      </c>
      <c r="M84" s="259">
        <f t="shared" si="2"/>
        <v>0</v>
      </c>
      <c r="N84" s="281">
        <f>IF(A84&lt;&gt;"", J84 / VLOOKUP(A84, 'Курс валют'!$A:$D, 4, 0), "")</f>
        <v>165.28925619834712</v>
      </c>
      <c r="O84" s="261"/>
    </row>
    <row r="85" spans="1:15" x14ac:dyDescent="0.45">
      <c r="A85" s="264">
        <v>46077</v>
      </c>
      <c r="B85" s="263" t="s">
        <v>576</v>
      </c>
      <c r="C85" s="255" t="s">
        <v>69</v>
      </c>
      <c r="D85" s="291">
        <v>2</v>
      </c>
      <c r="E85" s="255" t="s">
        <v>546</v>
      </c>
      <c r="F85" s="256"/>
      <c r="G85" s="255" t="s">
        <v>514</v>
      </c>
      <c r="H85" s="294"/>
      <c r="I85" s="255"/>
      <c r="J85" s="297">
        <f>D85*100000</f>
        <v>200000</v>
      </c>
      <c r="K85" s="257"/>
      <c r="L85" s="258">
        <f t="shared" si="2"/>
        <v>0</v>
      </c>
      <c r="M85" s="259">
        <f t="shared" si="2"/>
        <v>0</v>
      </c>
      <c r="N85" s="281">
        <f>IF(A85&lt;&gt;"", J85 / VLOOKUP(A85, 'Курс валют'!$A:$D, 4, 0), "")</f>
        <v>16.528925619834709</v>
      </c>
      <c r="O85" s="261"/>
    </row>
    <row r="86" spans="1:15" x14ac:dyDescent="0.45">
      <c r="A86" s="264">
        <v>46079</v>
      </c>
      <c r="B86" s="263" t="s">
        <v>577</v>
      </c>
      <c r="C86" s="255" t="s">
        <v>65</v>
      </c>
      <c r="D86" s="291">
        <v>1</v>
      </c>
      <c r="E86" s="255" t="s">
        <v>546</v>
      </c>
      <c r="F86" s="256"/>
      <c r="G86" s="255" t="s">
        <v>514</v>
      </c>
      <c r="H86" s="294"/>
      <c r="I86" s="255"/>
      <c r="J86" s="297">
        <v>1500000</v>
      </c>
      <c r="K86" s="257"/>
      <c r="L86" s="258">
        <f t="shared" si="2"/>
        <v>0</v>
      </c>
      <c r="M86" s="259">
        <f t="shared" si="2"/>
        <v>0</v>
      </c>
      <c r="N86" s="281">
        <f>IF(A86&lt;&gt;"", J86 / VLOOKUP(A86, 'Курс валют'!$A:$D, 4, 0), "")</f>
        <v>123.96694214876032</v>
      </c>
      <c r="O86" s="261"/>
    </row>
    <row r="87" spans="1:15" x14ac:dyDescent="0.45">
      <c r="A87" s="264">
        <v>46080</v>
      </c>
      <c r="B87" s="263" t="s">
        <v>525</v>
      </c>
      <c r="C87" s="255" t="s">
        <v>69</v>
      </c>
      <c r="D87" s="291">
        <v>1</v>
      </c>
      <c r="E87" s="255" t="s">
        <v>546</v>
      </c>
      <c r="F87" s="256"/>
      <c r="G87" s="255" t="s">
        <v>514</v>
      </c>
      <c r="H87" s="294"/>
      <c r="I87" s="255"/>
      <c r="J87" s="297">
        <v>915000</v>
      </c>
      <c r="K87" s="257"/>
      <c r="L87" s="258">
        <f t="shared" si="2"/>
        <v>0</v>
      </c>
      <c r="M87" s="259">
        <f t="shared" si="2"/>
        <v>0</v>
      </c>
      <c r="N87" s="281">
        <f>IF(A87&lt;&gt;"", J87 / VLOOKUP(A87, 'Курс валют'!$A:$D, 4, 0), "")</f>
        <v>75.745033112582774</v>
      </c>
      <c r="O87" s="261"/>
    </row>
    <row r="88" spans="1:15" x14ac:dyDescent="0.45">
      <c r="A88" s="264">
        <v>46080</v>
      </c>
      <c r="B88" s="263" t="s">
        <v>82</v>
      </c>
      <c r="C88" s="255" t="s">
        <v>59</v>
      </c>
      <c r="D88" s="291">
        <v>25</v>
      </c>
      <c r="E88" s="255" t="s">
        <v>546</v>
      </c>
      <c r="F88" s="256"/>
      <c r="G88" s="255" t="s">
        <v>514</v>
      </c>
      <c r="H88" s="294"/>
      <c r="I88" s="255"/>
      <c r="J88" s="297">
        <f>D88*105000</f>
        <v>2625000</v>
      </c>
      <c r="K88" s="257"/>
      <c r="L88" s="258">
        <f t="shared" si="2"/>
        <v>0</v>
      </c>
      <c r="M88" s="259">
        <f t="shared" si="2"/>
        <v>0</v>
      </c>
      <c r="N88" s="281">
        <f>IF(A88&lt;&gt;"", J88 / VLOOKUP(A88, 'Курс валют'!$A:$D, 4, 0), "")</f>
        <v>217.30132450331126</v>
      </c>
      <c r="O88" s="261"/>
    </row>
    <row r="89" spans="1:15" x14ac:dyDescent="0.45">
      <c r="A89" s="264">
        <v>46080</v>
      </c>
      <c r="B89" s="263" t="s">
        <v>578</v>
      </c>
      <c r="C89" s="255" t="s">
        <v>65</v>
      </c>
      <c r="D89" s="291">
        <v>1</v>
      </c>
      <c r="E89" s="255" t="s">
        <v>546</v>
      </c>
      <c r="F89" s="256"/>
      <c r="G89" s="255" t="s">
        <v>514</v>
      </c>
      <c r="H89" s="294"/>
      <c r="I89" s="255"/>
      <c r="J89" s="297">
        <v>1000000</v>
      </c>
      <c r="K89" s="257"/>
      <c r="L89" s="258">
        <f t="shared" si="2"/>
        <v>0</v>
      </c>
      <c r="M89" s="259">
        <f t="shared" si="2"/>
        <v>0</v>
      </c>
      <c r="N89" s="281">
        <f>IF(A89&lt;&gt;"", J89 / VLOOKUP(A89, 'Курс валют'!$A:$D, 4, 0), "")</f>
        <v>82.78145695364239</v>
      </c>
      <c r="O89" s="261"/>
    </row>
    <row r="90" spans="1:15" x14ac:dyDescent="0.45">
      <c r="A90" s="264">
        <v>46081</v>
      </c>
      <c r="B90" s="263" t="s">
        <v>536</v>
      </c>
      <c r="C90" s="255" t="s">
        <v>69</v>
      </c>
      <c r="D90" s="291" t="s">
        <v>233</v>
      </c>
      <c r="E90" s="255" t="s">
        <v>579</v>
      </c>
      <c r="F90" s="256"/>
      <c r="G90" s="255" t="s">
        <v>514</v>
      </c>
      <c r="H90" s="294"/>
      <c r="I90" s="255"/>
      <c r="J90" s="297">
        <v>42000</v>
      </c>
      <c r="K90" s="257"/>
      <c r="L90" s="258">
        <f t="shared" si="2"/>
        <v>0</v>
      </c>
      <c r="M90" s="259">
        <f t="shared" si="2"/>
        <v>0</v>
      </c>
      <c r="N90" s="281">
        <f>IF(A90&lt;&gt;"", J90 / VLOOKUP(A90, 'Курс валют'!$A:$D, 4, 0), "")</f>
        <v>3.4768211920529803</v>
      </c>
      <c r="O90" s="261"/>
    </row>
    <row r="91" spans="1:15" x14ac:dyDescent="0.45">
      <c r="A91" s="264">
        <v>46082</v>
      </c>
      <c r="B91" s="263" t="s">
        <v>580</v>
      </c>
      <c r="C91" s="255" t="s">
        <v>65</v>
      </c>
      <c r="D91" s="291">
        <v>1</v>
      </c>
      <c r="E91" s="255" t="s">
        <v>546</v>
      </c>
      <c r="F91" s="256"/>
      <c r="G91" s="255" t="s">
        <v>514</v>
      </c>
      <c r="H91" s="294"/>
      <c r="I91" s="255"/>
      <c r="J91" s="297">
        <v>195000000</v>
      </c>
      <c r="K91" s="257"/>
      <c r="L91" s="258">
        <f t="shared" si="2"/>
        <v>0</v>
      </c>
      <c r="M91" s="259">
        <f t="shared" si="2"/>
        <v>0</v>
      </c>
      <c r="N91" s="281">
        <f>IF(A91&lt;&gt;"", J91 / VLOOKUP(A91, 'Курс валют'!$A:$D, 4, 0), "")</f>
        <v>16182.572614107883</v>
      </c>
      <c r="O91" s="261"/>
    </row>
    <row r="92" spans="1:15" x14ac:dyDescent="0.45">
      <c r="A92" s="264">
        <v>46083</v>
      </c>
      <c r="B92" s="254" t="s">
        <v>581</v>
      </c>
      <c r="C92" s="255" t="s">
        <v>69</v>
      </c>
      <c r="D92" s="291">
        <v>1</v>
      </c>
      <c r="E92" s="255" t="s">
        <v>579</v>
      </c>
      <c r="F92" s="256"/>
      <c r="G92" s="255" t="s">
        <v>514</v>
      </c>
      <c r="H92" s="294"/>
      <c r="I92" s="255"/>
      <c r="J92" s="297">
        <v>8620000</v>
      </c>
      <c r="K92" s="257"/>
      <c r="L92" s="258">
        <f t="shared" si="2"/>
        <v>0</v>
      </c>
      <c r="M92" s="259">
        <f t="shared" si="2"/>
        <v>0</v>
      </c>
      <c r="N92" s="281">
        <f>IF(A92&lt;&gt;"", J92 / VLOOKUP(A92, 'Курс валют'!$A:$D, 4, 0), "")</f>
        <v>713.57615894039736</v>
      </c>
      <c r="O92" s="261"/>
    </row>
    <row r="93" spans="1:15" x14ac:dyDescent="0.45">
      <c r="A93" s="264">
        <v>46084</v>
      </c>
      <c r="B93" s="263" t="s">
        <v>580</v>
      </c>
      <c r="C93" s="255" t="s">
        <v>65</v>
      </c>
      <c r="D93" s="291">
        <v>1</v>
      </c>
      <c r="E93" s="255" t="s">
        <v>546</v>
      </c>
      <c r="F93" s="256"/>
      <c r="G93" s="255" t="s">
        <v>514</v>
      </c>
      <c r="H93" s="294"/>
      <c r="I93" s="255"/>
      <c r="J93" s="297">
        <v>30000000</v>
      </c>
      <c r="K93" s="257"/>
      <c r="L93" s="258">
        <f t="shared" si="2"/>
        <v>0</v>
      </c>
      <c r="M93" s="259">
        <f t="shared" si="2"/>
        <v>0</v>
      </c>
      <c r="N93" s="281">
        <f>IF(A93&lt;&gt;"", J93 / VLOOKUP(A93, 'Курс валют'!$A:$D, 4, 0), "")</f>
        <v>2483.4437086092717</v>
      </c>
      <c r="O93" s="261"/>
    </row>
    <row r="94" spans="1:15" x14ac:dyDescent="0.45">
      <c r="A94" s="264">
        <v>46084</v>
      </c>
      <c r="B94" s="263" t="s">
        <v>582</v>
      </c>
      <c r="C94" s="255" t="s">
        <v>43</v>
      </c>
      <c r="D94" s="291">
        <v>1</v>
      </c>
      <c r="E94" s="255" t="s">
        <v>546</v>
      </c>
      <c r="F94" s="256"/>
      <c r="G94" s="255" t="s">
        <v>514</v>
      </c>
      <c r="H94" s="294"/>
      <c r="I94" s="255"/>
      <c r="J94" s="297">
        <v>6600000</v>
      </c>
      <c r="K94" s="257"/>
      <c r="L94" s="258">
        <f t="shared" si="2"/>
        <v>0</v>
      </c>
      <c r="M94" s="259">
        <f t="shared" si="2"/>
        <v>0</v>
      </c>
      <c r="N94" s="281">
        <f>IF(A94&lt;&gt;"", J94 / VLOOKUP(A94, 'Курс валют'!$A:$D, 4, 0), "")</f>
        <v>546.35761589403978</v>
      </c>
      <c r="O94" s="261"/>
    </row>
    <row r="95" spans="1:15" x14ac:dyDescent="0.45">
      <c r="A95" s="264">
        <v>46084</v>
      </c>
      <c r="B95" s="263" t="s">
        <v>581</v>
      </c>
      <c r="C95" s="255" t="s">
        <v>69</v>
      </c>
      <c r="D95" s="291">
        <v>1</v>
      </c>
      <c r="E95" s="255" t="s">
        <v>579</v>
      </c>
      <c r="F95" s="256"/>
      <c r="G95" s="255" t="s">
        <v>514</v>
      </c>
      <c r="H95" s="294"/>
      <c r="I95" s="255"/>
      <c r="J95" s="297">
        <v>2025000</v>
      </c>
      <c r="K95" s="257"/>
      <c r="L95" s="258">
        <f t="shared" si="2"/>
        <v>0</v>
      </c>
      <c r="M95" s="259">
        <f t="shared" si="2"/>
        <v>0</v>
      </c>
      <c r="N95" s="281">
        <f>IF(A95&lt;&gt;"", J95 / VLOOKUP(A95, 'Курс валют'!$A:$D, 4, 0), "")</f>
        <v>167.63245033112582</v>
      </c>
      <c r="O95" s="261"/>
    </row>
    <row r="96" spans="1:15" x14ac:dyDescent="0.45">
      <c r="A96" s="264">
        <v>46085</v>
      </c>
      <c r="B96" s="263" t="s">
        <v>580</v>
      </c>
      <c r="C96" s="255" t="s">
        <v>65</v>
      </c>
      <c r="D96" s="291">
        <v>1</v>
      </c>
      <c r="E96" s="255" t="s">
        <v>546</v>
      </c>
      <c r="F96" s="256"/>
      <c r="G96" s="255" t="s">
        <v>514</v>
      </c>
      <c r="H96" s="294"/>
      <c r="I96" s="255"/>
      <c r="J96" s="297">
        <v>130000000</v>
      </c>
      <c r="K96" s="257"/>
      <c r="L96" s="258">
        <f t="shared" si="2"/>
        <v>0</v>
      </c>
      <c r="M96" s="259">
        <f t="shared" si="2"/>
        <v>0</v>
      </c>
      <c r="N96" s="281">
        <f>IF(A96&lt;&gt;"", J96 / VLOOKUP(A96, 'Курс валют'!$A:$D, 4, 0), "")</f>
        <v>10761.58940397351</v>
      </c>
      <c r="O96" s="261"/>
    </row>
    <row r="97" spans="1:15" x14ac:dyDescent="0.45">
      <c r="A97" s="264">
        <v>46085</v>
      </c>
      <c r="B97" s="263" t="s">
        <v>583</v>
      </c>
      <c r="C97" s="255" t="s">
        <v>43</v>
      </c>
      <c r="D97" s="291">
        <v>1</v>
      </c>
      <c r="E97" s="255" t="s">
        <v>579</v>
      </c>
      <c r="F97" s="256"/>
      <c r="G97" s="255" t="s">
        <v>514</v>
      </c>
      <c r="H97" s="294"/>
      <c r="I97" s="255"/>
      <c r="J97" s="297">
        <v>2400000</v>
      </c>
      <c r="K97" s="257"/>
      <c r="L97" s="258">
        <f t="shared" si="2"/>
        <v>0</v>
      </c>
      <c r="M97" s="259">
        <f t="shared" si="2"/>
        <v>0</v>
      </c>
      <c r="N97" s="281">
        <f>IF(A97&lt;&gt;"", J97 / VLOOKUP(A97, 'Курс валют'!$A:$D, 4, 0), "")</f>
        <v>198.67549668874173</v>
      </c>
      <c r="O97" s="261"/>
    </row>
    <row r="98" spans="1:15" x14ac:dyDescent="0.45">
      <c r="A98" s="264">
        <v>46085</v>
      </c>
      <c r="B98" s="263" t="s">
        <v>584</v>
      </c>
      <c r="C98" s="255" t="s">
        <v>43</v>
      </c>
      <c r="D98" s="291">
        <v>2</v>
      </c>
      <c r="E98" s="255" t="s">
        <v>579</v>
      </c>
      <c r="F98" s="256"/>
      <c r="G98" s="255" t="s">
        <v>514</v>
      </c>
      <c r="H98" s="294"/>
      <c r="I98" s="255"/>
      <c r="J98" s="297">
        <f>3500000*D98</f>
        <v>7000000</v>
      </c>
      <c r="K98" s="257"/>
      <c r="L98" s="258">
        <f t="shared" si="2"/>
        <v>0</v>
      </c>
      <c r="M98" s="259">
        <f t="shared" si="2"/>
        <v>0</v>
      </c>
      <c r="N98" s="281">
        <f>IF(A98&lt;&gt;"", J98 / VLOOKUP(A98, 'Курс валют'!$A:$D, 4, 0), "")</f>
        <v>579.4701986754967</v>
      </c>
      <c r="O98" s="261"/>
    </row>
    <row r="99" spans="1:15" x14ac:dyDescent="0.45">
      <c r="A99" s="264">
        <v>46085</v>
      </c>
      <c r="B99" s="254" t="s">
        <v>585</v>
      </c>
      <c r="C99" s="255" t="s">
        <v>43</v>
      </c>
      <c r="D99" s="291">
        <v>1</v>
      </c>
      <c r="E99" s="255" t="s">
        <v>579</v>
      </c>
      <c r="F99" s="256"/>
      <c r="G99" s="255" t="s">
        <v>514</v>
      </c>
      <c r="H99" s="294"/>
      <c r="I99" s="255"/>
      <c r="J99" s="297">
        <v>5500000</v>
      </c>
      <c r="K99" s="257"/>
      <c r="L99" s="258">
        <f t="shared" ref="L99:M101" si="3">IF(G99="USD", H99*K99, H99)</f>
        <v>0</v>
      </c>
      <c r="M99" s="259">
        <f t="shared" si="3"/>
        <v>0</v>
      </c>
      <c r="N99" s="281">
        <f>IF(A99&lt;&gt;"", J99 / VLOOKUP(A99, 'Курс валют'!$A:$D, 4, 0), "")</f>
        <v>455.29801324503313</v>
      </c>
      <c r="O99" s="261"/>
    </row>
    <row r="100" spans="1:15" x14ac:dyDescent="0.45">
      <c r="A100" s="264">
        <v>46085</v>
      </c>
      <c r="B100" s="254" t="s">
        <v>51</v>
      </c>
      <c r="C100" s="255" t="s">
        <v>43</v>
      </c>
      <c r="D100" s="291">
        <v>1</v>
      </c>
      <c r="E100" s="255" t="s">
        <v>579</v>
      </c>
      <c r="F100" s="256"/>
      <c r="G100" s="255" t="s">
        <v>514</v>
      </c>
      <c r="H100" s="294"/>
      <c r="I100" s="255"/>
      <c r="J100" s="297">
        <v>5000000</v>
      </c>
      <c r="K100" s="257"/>
      <c r="L100" s="258">
        <f t="shared" si="3"/>
        <v>0</v>
      </c>
      <c r="M100" s="259">
        <f t="shared" si="3"/>
        <v>0</v>
      </c>
      <c r="N100" s="281">
        <f>IF(A100&lt;&gt;"", J100 / VLOOKUP(A100, 'Курс валют'!$A:$D, 4, 0), "")</f>
        <v>413.90728476821192</v>
      </c>
      <c r="O100" s="261"/>
    </row>
    <row r="101" spans="1:15" x14ac:dyDescent="0.45">
      <c r="A101" s="264">
        <v>46085</v>
      </c>
      <c r="B101" s="263" t="s">
        <v>82</v>
      </c>
      <c r="C101" s="255" t="s">
        <v>59</v>
      </c>
      <c r="D101" s="291">
        <v>20</v>
      </c>
      <c r="E101" s="255" t="s">
        <v>579</v>
      </c>
      <c r="F101" s="256"/>
      <c r="G101" s="255" t="s">
        <v>514</v>
      </c>
      <c r="H101" s="294"/>
      <c r="I101" s="255"/>
      <c r="J101" s="297">
        <v>2890000</v>
      </c>
      <c r="K101" s="257"/>
      <c r="L101" s="258">
        <f t="shared" si="3"/>
        <v>0</v>
      </c>
      <c r="M101" s="259">
        <f t="shared" si="3"/>
        <v>0</v>
      </c>
      <c r="N101" s="281">
        <f>IF(A101&lt;&gt;"", J101 / VLOOKUP(A101, 'Курс валют'!$A:$D, 4, 0), "")</f>
        <v>239.23841059602648</v>
      </c>
      <c r="O101" s="261"/>
    </row>
    <row r="102" spans="1:15" x14ac:dyDescent="0.45">
      <c r="A102" s="264">
        <v>46088</v>
      </c>
      <c r="B102" s="263" t="s">
        <v>537</v>
      </c>
      <c r="C102" s="255" t="s">
        <v>69</v>
      </c>
      <c r="D102" s="291">
        <v>1</v>
      </c>
      <c r="E102" s="255" t="s">
        <v>579</v>
      </c>
      <c r="F102" s="256" t="s">
        <v>175</v>
      </c>
      <c r="G102" s="255" t="s">
        <v>514</v>
      </c>
      <c r="H102" s="294">
        <v>1400000</v>
      </c>
      <c r="I102" s="255"/>
      <c r="J102" s="297">
        <v>1400000</v>
      </c>
      <c r="K102" s="257"/>
      <c r="L102" s="258">
        <f t="shared" ref="L102:L165" si="4">IF(G102="USD", H102*I102, H102)-IF(G102="USD", J102*K102, K102)</f>
        <v>1400000</v>
      </c>
      <c r="M102" s="259">
        <f t="shared" ref="M102:M140" si="5">L102-J102</f>
        <v>0</v>
      </c>
      <c r="N102" s="281">
        <f>IF(A102&lt;&gt;"", J102 / VLOOKUP(A102, 'Курс валют'!$A:$D, 4, 0), "")</f>
        <v>115.70247933884298</v>
      </c>
      <c r="O102" s="261"/>
    </row>
    <row r="103" spans="1:15" x14ac:dyDescent="0.45">
      <c r="A103" s="264">
        <v>46088</v>
      </c>
      <c r="B103" s="263" t="s">
        <v>525</v>
      </c>
      <c r="C103" s="255" t="s">
        <v>65</v>
      </c>
      <c r="D103" s="291">
        <v>1</v>
      </c>
      <c r="E103" s="255" t="s">
        <v>579</v>
      </c>
      <c r="F103" s="256" t="s">
        <v>586</v>
      </c>
      <c r="G103" s="255" t="s">
        <v>514</v>
      </c>
      <c r="H103" s="294">
        <v>2350000</v>
      </c>
      <c r="I103" s="255"/>
      <c r="J103" s="297">
        <v>2330000</v>
      </c>
      <c r="K103" s="257"/>
      <c r="L103" s="258">
        <f t="shared" si="4"/>
        <v>2350000</v>
      </c>
      <c r="M103" s="259">
        <f t="shared" si="5"/>
        <v>20000</v>
      </c>
      <c r="N103" s="281">
        <f>IF(A103&lt;&gt;"", J103 / VLOOKUP(A103, 'Курс валют'!$A:$D, 4, 0), "")</f>
        <v>192.56198347107437</v>
      </c>
      <c r="O103" s="261"/>
    </row>
    <row r="104" spans="1:15" x14ac:dyDescent="0.45">
      <c r="A104" s="264">
        <v>46088</v>
      </c>
      <c r="B104" s="263" t="s">
        <v>587</v>
      </c>
      <c r="C104" s="255" t="s">
        <v>65</v>
      </c>
      <c r="D104" s="291">
        <v>1</v>
      </c>
      <c r="E104" s="255" t="s">
        <v>579</v>
      </c>
      <c r="F104" s="256" t="s">
        <v>175</v>
      </c>
      <c r="G104" s="255" t="s">
        <v>514</v>
      </c>
      <c r="H104" s="294">
        <v>100000</v>
      </c>
      <c r="I104" s="255"/>
      <c r="J104" s="297">
        <v>120000</v>
      </c>
      <c r="K104" s="257"/>
      <c r="L104" s="258">
        <f t="shared" si="4"/>
        <v>100000</v>
      </c>
      <c r="M104" s="259">
        <f t="shared" si="5"/>
        <v>-20000</v>
      </c>
      <c r="N104" s="281">
        <f>IF(A104&lt;&gt;"", J104 / VLOOKUP(A104, 'Курс валют'!$A:$D, 4, 0), "")</f>
        <v>9.9173553719008272</v>
      </c>
      <c r="O104" s="261"/>
    </row>
    <row r="105" spans="1:15" x14ac:dyDescent="0.45">
      <c r="A105" s="264">
        <v>46088</v>
      </c>
      <c r="B105" s="263" t="s">
        <v>588</v>
      </c>
      <c r="C105" s="255" t="s">
        <v>65</v>
      </c>
      <c r="D105" s="291">
        <v>1</v>
      </c>
      <c r="E105" s="255" t="s">
        <v>579</v>
      </c>
      <c r="F105" s="256" t="s">
        <v>175</v>
      </c>
      <c r="G105" s="255" t="s">
        <v>30</v>
      </c>
      <c r="H105" s="294">
        <v>300</v>
      </c>
      <c r="I105" s="255">
        <v>12200</v>
      </c>
      <c r="J105" s="297">
        <v>300</v>
      </c>
      <c r="K105" s="257">
        <v>12200</v>
      </c>
      <c r="L105" s="258">
        <f t="shared" si="4"/>
        <v>0</v>
      </c>
      <c r="M105" s="259">
        <f t="shared" si="5"/>
        <v>-300</v>
      </c>
      <c r="N105" s="281">
        <f>IF(A105&lt;&gt;"", J105 / VLOOKUP(A105, 'Курс валют'!$A:$D, 4, 0), "")</f>
        <v>2.4793388429752067E-2</v>
      </c>
      <c r="O105" s="261"/>
    </row>
    <row r="106" spans="1:15" x14ac:dyDescent="0.45">
      <c r="A106" s="264">
        <v>46089</v>
      </c>
      <c r="B106" s="263" t="s">
        <v>576</v>
      </c>
      <c r="C106" s="255" t="s">
        <v>65</v>
      </c>
      <c r="D106" s="291">
        <v>1</v>
      </c>
      <c r="E106" s="255" t="s">
        <v>579</v>
      </c>
      <c r="F106" s="256" t="s">
        <v>175</v>
      </c>
      <c r="G106" s="255" t="s">
        <v>514</v>
      </c>
      <c r="H106" s="294">
        <v>237000</v>
      </c>
      <c r="I106" s="255"/>
      <c r="J106" s="297">
        <v>205000</v>
      </c>
      <c r="K106" s="257"/>
      <c r="L106" s="258">
        <f t="shared" si="4"/>
        <v>237000</v>
      </c>
      <c r="M106" s="259">
        <f t="shared" si="5"/>
        <v>32000</v>
      </c>
      <c r="N106" s="281">
        <f>IF(A106&lt;&gt;"", J106 / VLOOKUP(A106, 'Курс валют'!$A:$D, 4, 0), "")</f>
        <v>16.97019867549669</v>
      </c>
      <c r="O106" s="261" t="s">
        <v>589</v>
      </c>
    </row>
    <row r="107" spans="1:15" x14ac:dyDescent="0.45">
      <c r="A107" s="264">
        <v>46090</v>
      </c>
      <c r="B107" s="263" t="s">
        <v>572</v>
      </c>
      <c r="C107" s="255" t="s">
        <v>543</v>
      </c>
      <c r="D107" s="291">
        <v>10</v>
      </c>
      <c r="E107" s="255" t="s">
        <v>579</v>
      </c>
      <c r="F107" s="256" t="s">
        <v>586</v>
      </c>
      <c r="G107" s="255" t="s">
        <v>514</v>
      </c>
      <c r="H107" s="294">
        <v>1000000</v>
      </c>
      <c r="I107" s="255"/>
      <c r="J107" s="297">
        <f>100000*D107</f>
        <v>1000000</v>
      </c>
      <c r="K107" s="257"/>
      <c r="L107" s="258">
        <f t="shared" si="4"/>
        <v>1000000</v>
      </c>
      <c r="M107" s="259">
        <f t="shared" si="5"/>
        <v>0</v>
      </c>
      <c r="N107" s="281">
        <f>IF(A107&lt;&gt;"", J107 / VLOOKUP(A107, 'Курс валют'!$A:$D, 4, 0), "")</f>
        <v>82.78145695364239</v>
      </c>
      <c r="O107" s="261"/>
    </row>
    <row r="108" spans="1:15" x14ac:dyDescent="0.45">
      <c r="A108" s="264">
        <v>46090</v>
      </c>
      <c r="B108" s="263" t="s">
        <v>590</v>
      </c>
      <c r="C108" s="255" t="s">
        <v>591</v>
      </c>
      <c r="D108" s="291" t="s">
        <v>233</v>
      </c>
      <c r="E108" s="255" t="s">
        <v>233</v>
      </c>
      <c r="F108" s="256" t="s">
        <v>586</v>
      </c>
      <c r="G108" s="255" t="s">
        <v>514</v>
      </c>
      <c r="H108" s="294">
        <v>6000000</v>
      </c>
      <c r="I108" s="255"/>
      <c r="J108" s="297"/>
      <c r="K108" s="257"/>
      <c r="L108" s="258">
        <f t="shared" si="4"/>
        <v>6000000</v>
      </c>
      <c r="M108" s="259">
        <f t="shared" si="5"/>
        <v>6000000</v>
      </c>
      <c r="N108" s="281">
        <f>IF(A108&lt;&gt;"", J108 / VLOOKUP(A108, 'Курс валют'!$A:$D, 4, 0), "")</f>
        <v>0</v>
      </c>
      <c r="O108" s="261" t="s">
        <v>592</v>
      </c>
    </row>
    <row r="109" spans="1:15" x14ac:dyDescent="0.45">
      <c r="A109" s="264">
        <v>46090</v>
      </c>
      <c r="B109" s="263" t="s">
        <v>82</v>
      </c>
      <c r="C109" s="255" t="s">
        <v>59</v>
      </c>
      <c r="D109" s="291">
        <v>20</v>
      </c>
      <c r="E109" s="255" t="s">
        <v>579</v>
      </c>
      <c r="F109" s="256" t="s">
        <v>586</v>
      </c>
      <c r="G109" s="255" t="s">
        <v>514</v>
      </c>
      <c r="H109" s="294"/>
      <c r="I109" s="255"/>
      <c r="J109" s="297">
        <f>D109*100000</f>
        <v>2000000</v>
      </c>
      <c r="K109" s="257"/>
      <c r="L109" s="258">
        <f t="shared" si="4"/>
        <v>0</v>
      </c>
      <c r="M109" s="259">
        <f t="shared" si="5"/>
        <v>-2000000</v>
      </c>
      <c r="N109" s="281">
        <f>IF(A109&lt;&gt;"", J109 / VLOOKUP(A109, 'Курс валют'!$A:$D, 4, 0), "")</f>
        <v>165.56291390728478</v>
      </c>
      <c r="O109" s="261" t="s">
        <v>592</v>
      </c>
    </row>
    <row r="110" spans="1:15" x14ac:dyDescent="0.45">
      <c r="A110" s="264">
        <v>46090</v>
      </c>
      <c r="B110" s="263" t="s">
        <v>239</v>
      </c>
      <c r="C110" s="255" t="s">
        <v>97</v>
      </c>
      <c r="D110" s="291">
        <v>20</v>
      </c>
      <c r="E110" s="255" t="s">
        <v>593</v>
      </c>
      <c r="F110" s="256" t="s">
        <v>586</v>
      </c>
      <c r="G110" s="255" t="s">
        <v>514</v>
      </c>
      <c r="H110" s="294"/>
      <c r="I110" s="255"/>
      <c r="J110" s="297">
        <v>200000</v>
      </c>
      <c r="K110" s="257"/>
      <c r="L110" s="258">
        <f t="shared" si="4"/>
        <v>0</v>
      </c>
      <c r="M110" s="259">
        <f t="shared" si="5"/>
        <v>-200000</v>
      </c>
      <c r="N110" s="281">
        <f>IF(A110&lt;&gt;"", J110 / VLOOKUP(A110, 'Курс валют'!$A:$D, 4, 0), "")</f>
        <v>16.556291390728475</v>
      </c>
      <c r="O110" s="261" t="s">
        <v>592</v>
      </c>
    </row>
    <row r="111" spans="1:15" x14ac:dyDescent="0.45">
      <c r="A111" s="264">
        <v>46090</v>
      </c>
      <c r="B111" s="263" t="s">
        <v>590</v>
      </c>
      <c r="C111" s="255" t="s">
        <v>591</v>
      </c>
      <c r="D111" s="291" t="s">
        <v>233</v>
      </c>
      <c r="E111" s="255" t="s">
        <v>233</v>
      </c>
      <c r="F111" s="256" t="s">
        <v>586</v>
      </c>
      <c r="G111" s="255" t="s">
        <v>514</v>
      </c>
      <c r="H111" s="294">
        <v>3200000</v>
      </c>
      <c r="I111" s="255"/>
      <c r="J111" s="297"/>
      <c r="K111" s="257"/>
      <c r="L111" s="258">
        <f t="shared" si="4"/>
        <v>3200000</v>
      </c>
      <c r="M111" s="259">
        <f t="shared" si="5"/>
        <v>3200000</v>
      </c>
      <c r="N111" s="281">
        <f>IF(A111&lt;&gt;"", J111 / VLOOKUP(A111, 'Курс валют'!$A:$D, 4, 0), "")</f>
        <v>0</v>
      </c>
      <c r="O111" s="261" t="s">
        <v>592</v>
      </c>
    </row>
    <row r="112" spans="1:15" x14ac:dyDescent="0.45">
      <c r="A112" s="264">
        <v>46090</v>
      </c>
      <c r="B112" s="263" t="s">
        <v>266</v>
      </c>
      <c r="C112" s="255" t="s">
        <v>69</v>
      </c>
      <c r="D112" s="291">
        <v>11</v>
      </c>
      <c r="E112" s="255" t="s">
        <v>579</v>
      </c>
      <c r="F112" s="256" t="s">
        <v>586</v>
      </c>
      <c r="G112" s="255" t="s">
        <v>514</v>
      </c>
      <c r="H112" s="294"/>
      <c r="I112" s="255"/>
      <c r="J112" s="297">
        <f>D112*603684</f>
        <v>6640524</v>
      </c>
      <c r="K112" s="257"/>
      <c r="L112" s="258">
        <f t="shared" si="4"/>
        <v>0</v>
      </c>
      <c r="M112" s="259">
        <f t="shared" si="5"/>
        <v>-6640524</v>
      </c>
      <c r="N112" s="281">
        <f>IF(A112&lt;&gt;"", J112 / VLOOKUP(A112, 'Курс валют'!$A:$D, 4, 0), "")</f>
        <v>549.71225165562919</v>
      </c>
      <c r="O112" s="261"/>
    </row>
    <row r="113" spans="1:15" x14ac:dyDescent="0.45">
      <c r="A113" s="264">
        <v>46090</v>
      </c>
      <c r="B113" s="263" t="s">
        <v>569</v>
      </c>
      <c r="C113" s="255" t="s">
        <v>65</v>
      </c>
      <c r="D113" s="291">
        <v>1</v>
      </c>
      <c r="E113" s="255" t="s">
        <v>579</v>
      </c>
      <c r="F113" s="256" t="s">
        <v>586</v>
      </c>
      <c r="G113" s="255" t="s">
        <v>514</v>
      </c>
      <c r="H113" s="294"/>
      <c r="I113" s="255"/>
      <c r="J113" s="297">
        <v>250000</v>
      </c>
      <c r="K113" s="257"/>
      <c r="L113" s="258">
        <f t="shared" si="4"/>
        <v>0</v>
      </c>
      <c r="M113" s="259">
        <f t="shared" si="5"/>
        <v>-250000</v>
      </c>
      <c r="N113" s="281">
        <f>IF(A113&lt;&gt;"", J113 / VLOOKUP(A113, 'Курс валют'!$A:$D, 4, 0), "")</f>
        <v>20.695364238410598</v>
      </c>
      <c r="O113" s="261"/>
    </row>
    <row r="114" spans="1:15" x14ac:dyDescent="0.45">
      <c r="A114" s="264">
        <v>46090</v>
      </c>
      <c r="B114" s="263" t="s">
        <v>594</v>
      </c>
      <c r="C114" s="255" t="s">
        <v>65</v>
      </c>
      <c r="D114" s="291">
        <v>1</v>
      </c>
      <c r="E114" s="255" t="s">
        <v>579</v>
      </c>
      <c r="F114" s="256" t="s">
        <v>586</v>
      </c>
      <c r="G114" s="255" t="s">
        <v>514</v>
      </c>
      <c r="H114" s="294"/>
      <c r="I114" s="255"/>
      <c r="J114" s="297">
        <v>35000</v>
      </c>
      <c r="K114" s="257"/>
      <c r="L114" s="258">
        <f t="shared" si="4"/>
        <v>0</v>
      </c>
      <c r="M114" s="259">
        <f t="shared" si="5"/>
        <v>-35000</v>
      </c>
      <c r="N114" s="281">
        <f>IF(A114&lt;&gt;"", J114 / VLOOKUP(A114, 'Курс валют'!$A:$D, 4, 0), "")</f>
        <v>2.8973509933774833</v>
      </c>
      <c r="O114" s="261"/>
    </row>
    <row r="115" spans="1:15" x14ac:dyDescent="0.45">
      <c r="A115" s="264">
        <v>46092</v>
      </c>
      <c r="B115" s="263" t="s">
        <v>595</v>
      </c>
      <c r="C115" s="255" t="s">
        <v>233</v>
      </c>
      <c r="D115" s="291" t="s">
        <v>233</v>
      </c>
      <c r="E115" s="255" t="s">
        <v>233</v>
      </c>
      <c r="F115" s="256" t="s">
        <v>175</v>
      </c>
      <c r="G115" s="255" t="s">
        <v>514</v>
      </c>
      <c r="H115" s="294">
        <v>3500000</v>
      </c>
      <c r="I115" s="255"/>
      <c r="J115" s="297"/>
      <c r="K115" s="257"/>
      <c r="L115" s="258">
        <f t="shared" si="4"/>
        <v>3500000</v>
      </c>
      <c r="M115" s="259">
        <f t="shared" si="5"/>
        <v>3500000</v>
      </c>
      <c r="N115" s="281">
        <f>IF(A115&lt;&gt;"", J115 / VLOOKUP(A115, 'Курс валют'!$A:$D, 4, 0), "")</f>
        <v>0</v>
      </c>
      <c r="O115" s="261"/>
    </row>
    <row r="116" spans="1:15" x14ac:dyDescent="0.45">
      <c r="A116" s="264">
        <v>46092</v>
      </c>
      <c r="B116" s="263" t="s">
        <v>517</v>
      </c>
      <c r="C116" s="255" t="s">
        <v>512</v>
      </c>
      <c r="D116" s="291">
        <v>4</v>
      </c>
      <c r="E116" s="255" t="s">
        <v>596</v>
      </c>
      <c r="F116" s="256" t="s">
        <v>175</v>
      </c>
      <c r="G116" s="255" t="s">
        <v>514</v>
      </c>
      <c r="H116" s="294"/>
      <c r="I116" s="255"/>
      <c r="J116" s="297">
        <v>1200000</v>
      </c>
      <c r="K116" s="257"/>
      <c r="L116" s="258">
        <f t="shared" si="4"/>
        <v>0</v>
      </c>
      <c r="M116" s="259">
        <f t="shared" si="5"/>
        <v>-1200000</v>
      </c>
      <c r="N116" s="281">
        <f>IF(A116&lt;&gt;"", J116 / VLOOKUP(A116, 'Курс валют'!$A:$D, 4, 0), "")</f>
        <v>99.173553719008268</v>
      </c>
      <c r="O116" s="261"/>
    </row>
    <row r="117" spans="1:15" x14ac:dyDescent="0.45">
      <c r="A117" s="264">
        <v>46092</v>
      </c>
      <c r="B117" s="263" t="s">
        <v>559</v>
      </c>
      <c r="C117" s="255" t="s">
        <v>512</v>
      </c>
      <c r="D117" s="291">
        <v>4</v>
      </c>
      <c r="E117" s="255" t="s">
        <v>596</v>
      </c>
      <c r="F117" s="256" t="s">
        <v>175</v>
      </c>
      <c r="G117" s="255" t="s">
        <v>514</v>
      </c>
      <c r="H117" s="294"/>
      <c r="I117" s="255"/>
      <c r="J117" s="297">
        <v>1200000</v>
      </c>
      <c r="K117" s="257"/>
      <c r="L117" s="258">
        <f t="shared" si="4"/>
        <v>0</v>
      </c>
      <c r="M117" s="259">
        <f t="shared" si="5"/>
        <v>-1200000</v>
      </c>
      <c r="N117" s="281">
        <f>IF(A117&lt;&gt;"", J117 / VLOOKUP(A117, 'Курс валют'!$A:$D, 4, 0), "")</f>
        <v>99.173553719008268</v>
      </c>
      <c r="O117" s="261"/>
    </row>
    <row r="118" spans="1:15" x14ac:dyDescent="0.45">
      <c r="A118" s="264">
        <v>46092</v>
      </c>
      <c r="B118" s="263" t="s">
        <v>597</v>
      </c>
      <c r="C118" s="255" t="s">
        <v>65</v>
      </c>
      <c r="D118" s="291">
        <v>1</v>
      </c>
      <c r="E118" s="255" t="s">
        <v>598</v>
      </c>
      <c r="F118" s="256" t="s">
        <v>175</v>
      </c>
      <c r="G118" s="255" t="s">
        <v>514</v>
      </c>
      <c r="H118" s="294"/>
      <c r="I118" s="255"/>
      <c r="J118" s="297">
        <v>800000</v>
      </c>
      <c r="K118" s="257"/>
      <c r="L118" s="258">
        <f t="shared" si="4"/>
        <v>0</v>
      </c>
      <c r="M118" s="259">
        <f t="shared" si="5"/>
        <v>-800000</v>
      </c>
      <c r="N118" s="281">
        <f>IF(A118&lt;&gt;"", J118 / VLOOKUP(A118, 'Курс валют'!$A:$D, 4, 0), "")</f>
        <v>66.115702479338836</v>
      </c>
      <c r="O118" s="261"/>
    </row>
    <row r="119" spans="1:15" x14ac:dyDescent="0.45">
      <c r="A119" s="264">
        <v>46092</v>
      </c>
      <c r="B119" s="263" t="s">
        <v>590</v>
      </c>
      <c r="C119" s="255" t="s">
        <v>233</v>
      </c>
      <c r="D119" s="291" t="s">
        <v>233</v>
      </c>
      <c r="E119" s="255" t="s">
        <v>233</v>
      </c>
      <c r="F119" s="256" t="s">
        <v>175</v>
      </c>
      <c r="G119" s="255" t="s">
        <v>514</v>
      </c>
      <c r="H119" s="294">
        <v>740000</v>
      </c>
      <c r="I119" s="255"/>
      <c r="J119" s="297"/>
      <c r="K119" s="257"/>
      <c r="L119" s="258">
        <f t="shared" si="4"/>
        <v>740000</v>
      </c>
      <c r="M119" s="259">
        <f t="shared" si="5"/>
        <v>740000</v>
      </c>
      <c r="N119" s="281">
        <f>IF(A119&lt;&gt;"", J119 / VLOOKUP(A119, 'Курс валют'!$A:$D, 4, 0), "")</f>
        <v>0</v>
      </c>
      <c r="O119" s="261"/>
    </row>
    <row r="120" spans="1:15" x14ac:dyDescent="0.45">
      <c r="A120" s="264">
        <v>46092</v>
      </c>
      <c r="B120" s="263" t="s">
        <v>599</v>
      </c>
      <c r="C120" s="255" t="s">
        <v>59</v>
      </c>
      <c r="D120" s="291">
        <v>80</v>
      </c>
      <c r="E120" s="255" t="s">
        <v>525</v>
      </c>
      <c r="F120" s="256" t="s">
        <v>175</v>
      </c>
      <c r="G120" s="255" t="s">
        <v>514</v>
      </c>
      <c r="H120" s="294"/>
      <c r="I120" s="255"/>
      <c r="J120" s="297">
        <f>D120*13000</f>
        <v>1040000</v>
      </c>
      <c r="K120" s="257"/>
      <c r="L120" s="258">
        <f t="shared" si="4"/>
        <v>0</v>
      </c>
      <c r="M120" s="259">
        <f t="shared" si="5"/>
        <v>-1040000</v>
      </c>
      <c r="N120" s="281">
        <f>IF(A120&lt;&gt;"", J120 / VLOOKUP(A120, 'Курс валют'!$A:$D, 4, 0), "")</f>
        <v>85.950413223140501</v>
      </c>
      <c r="O120" s="261"/>
    </row>
    <row r="121" spans="1:15" x14ac:dyDescent="0.45">
      <c r="A121" s="264">
        <v>46095</v>
      </c>
      <c r="B121" s="263" t="s">
        <v>590</v>
      </c>
      <c r="C121" s="255" t="s">
        <v>233</v>
      </c>
      <c r="D121" s="291" t="s">
        <v>233</v>
      </c>
      <c r="E121" s="255" t="s">
        <v>233</v>
      </c>
      <c r="F121" s="256" t="s">
        <v>175</v>
      </c>
      <c r="G121" s="255" t="s">
        <v>514</v>
      </c>
      <c r="H121" s="294">
        <v>6500000</v>
      </c>
      <c r="I121" s="255"/>
      <c r="J121" s="297"/>
      <c r="K121" s="257"/>
      <c r="L121" s="258">
        <f t="shared" si="4"/>
        <v>6500000</v>
      </c>
      <c r="M121" s="259">
        <f t="shared" si="5"/>
        <v>6500000</v>
      </c>
      <c r="N121" s="281">
        <f>IF(A121&lt;&gt;"", J121 / VLOOKUP(A121, 'Курс валют'!$A:$D, 4, 0), "")</f>
        <v>0</v>
      </c>
      <c r="O121" s="261"/>
    </row>
    <row r="122" spans="1:15" x14ac:dyDescent="0.45">
      <c r="A122" s="264">
        <v>46095</v>
      </c>
      <c r="B122" s="263" t="s">
        <v>278</v>
      </c>
      <c r="C122" s="255" t="s">
        <v>69</v>
      </c>
      <c r="D122" s="291">
        <v>1</v>
      </c>
      <c r="E122" s="255" t="s">
        <v>596</v>
      </c>
      <c r="F122" s="256" t="s">
        <v>586</v>
      </c>
      <c r="G122" s="255" t="s">
        <v>514</v>
      </c>
      <c r="H122" s="294"/>
      <c r="I122" s="255"/>
      <c r="J122" s="297">
        <v>1050000</v>
      </c>
      <c r="K122" s="257"/>
      <c r="L122" s="258">
        <f t="shared" si="4"/>
        <v>0</v>
      </c>
      <c r="M122" s="259">
        <f t="shared" si="5"/>
        <v>-1050000</v>
      </c>
      <c r="N122" s="281">
        <f>IF(A122&lt;&gt;"", J122 / VLOOKUP(A122, 'Курс валют'!$A:$D, 4, 0), "")</f>
        <v>87.5</v>
      </c>
      <c r="O122" s="261"/>
    </row>
    <row r="123" spans="1:15" x14ac:dyDescent="0.45">
      <c r="A123" s="264">
        <v>46095</v>
      </c>
      <c r="B123" s="263" t="s">
        <v>279</v>
      </c>
      <c r="C123" s="255" t="s">
        <v>69</v>
      </c>
      <c r="D123" s="291">
        <v>1</v>
      </c>
      <c r="E123" s="255" t="s">
        <v>596</v>
      </c>
      <c r="F123" s="256" t="s">
        <v>175</v>
      </c>
      <c r="G123" s="255" t="s">
        <v>514</v>
      </c>
      <c r="H123" s="294"/>
      <c r="I123" s="255"/>
      <c r="J123" s="297">
        <v>2900000</v>
      </c>
      <c r="K123" s="257"/>
      <c r="L123" s="258">
        <f t="shared" si="4"/>
        <v>0</v>
      </c>
      <c r="M123" s="259">
        <f t="shared" si="5"/>
        <v>-2900000</v>
      </c>
      <c r="N123" s="281">
        <f>IF(A123&lt;&gt;"", J123 / VLOOKUP(A123, 'Курс валют'!$A:$D, 4, 0), "")</f>
        <v>241.66666666666666</v>
      </c>
      <c r="O123" s="261"/>
    </row>
    <row r="124" spans="1:15" x14ac:dyDescent="0.45">
      <c r="A124" s="264">
        <v>46095</v>
      </c>
      <c r="B124" s="263" t="s">
        <v>280</v>
      </c>
      <c r="C124" s="255" t="s">
        <v>69</v>
      </c>
      <c r="D124" s="291">
        <v>1</v>
      </c>
      <c r="E124" s="255" t="s">
        <v>596</v>
      </c>
      <c r="F124" s="256" t="s">
        <v>175</v>
      </c>
      <c r="G124" s="255" t="s">
        <v>514</v>
      </c>
      <c r="H124" s="294"/>
      <c r="I124" s="255"/>
      <c r="J124" s="297">
        <v>900000</v>
      </c>
      <c r="K124" s="257"/>
      <c r="L124" s="258">
        <f t="shared" si="4"/>
        <v>0</v>
      </c>
      <c r="M124" s="259">
        <f t="shared" si="5"/>
        <v>-900000</v>
      </c>
      <c r="N124" s="281">
        <f>IF(A124&lt;&gt;"", J124 / VLOOKUP(A124, 'Курс валют'!$A:$D, 4, 0), "")</f>
        <v>75</v>
      </c>
      <c r="O124" s="261"/>
    </row>
    <row r="125" spans="1:15" x14ac:dyDescent="0.45">
      <c r="A125" s="264">
        <v>46095</v>
      </c>
      <c r="B125" s="263" t="s">
        <v>600</v>
      </c>
      <c r="C125" s="255" t="s">
        <v>69</v>
      </c>
      <c r="D125" s="291">
        <v>1</v>
      </c>
      <c r="E125" s="255" t="s">
        <v>579</v>
      </c>
      <c r="F125" s="256" t="s">
        <v>175</v>
      </c>
      <c r="G125" s="255" t="s">
        <v>514</v>
      </c>
      <c r="H125" s="294"/>
      <c r="I125" s="255"/>
      <c r="J125" s="297">
        <v>740000</v>
      </c>
      <c r="K125" s="257"/>
      <c r="L125" s="258">
        <f t="shared" si="4"/>
        <v>0</v>
      </c>
      <c r="M125" s="259">
        <f t="shared" si="5"/>
        <v>-740000</v>
      </c>
      <c r="N125" s="281">
        <f>IF(A125&lt;&gt;"", J125 / VLOOKUP(A125, 'Курс валют'!$A:$D, 4, 0), "")</f>
        <v>61.666666666666664</v>
      </c>
      <c r="O125" s="261"/>
    </row>
    <row r="126" spans="1:15" x14ac:dyDescent="0.45">
      <c r="A126" s="264">
        <v>46095</v>
      </c>
      <c r="B126" s="263" t="s">
        <v>282</v>
      </c>
      <c r="C126" s="255" t="s">
        <v>69</v>
      </c>
      <c r="D126" s="291">
        <v>1</v>
      </c>
      <c r="E126" s="255" t="s">
        <v>579</v>
      </c>
      <c r="F126" s="256" t="s">
        <v>175</v>
      </c>
      <c r="G126" s="255" t="s">
        <v>514</v>
      </c>
      <c r="H126" s="294"/>
      <c r="I126" s="255"/>
      <c r="J126" s="297">
        <v>410000</v>
      </c>
      <c r="K126" s="257"/>
      <c r="L126" s="258">
        <f t="shared" si="4"/>
        <v>0</v>
      </c>
      <c r="M126" s="259">
        <f t="shared" si="5"/>
        <v>-410000</v>
      </c>
      <c r="N126" s="281">
        <f>IF(A126&lt;&gt;"", J126 / VLOOKUP(A126, 'Курс валют'!$A:$D, 4, 0), "")</f>
        <v>34.166666666666664</v>
      </c>
      <c r="O126" s="261"/>
    </row>
    <row r="127" spans="1:15" x14ac:dyDescent="0.45">
      <c r="A127" s="264">
        <v>46095</v>
      </c>
      <c r="B127" s="263" t="s">
        <v>601</v>
      </c>
      <c r="C127" s="255" t="s">
        <v>65</v>
      </c>
      <c r="D127" s="291">
        <v>1</v>
      </c>
      <c r="E127" s="255" t="s">
        <v>593</v>
      </c>
      <c r="F127" s="256" t="s">
        <v>175</v>
      </c>
      <c r="G127" s="255" t="s">
        <v>514</v>
      </c>
      <c r="H127" s="294"/>
      <c r="I127" s="255"/>
      <c r="J127" s="297">
        <f>200000+300000</f>
        <v>500000</v>
      </c>
      <c r="K127" s="257"/>
      <c r="L127" s="258">
        <f t="shared" si="4"/>
        <v>0</v>
      </c>
      <c r="M127" s="259">
        <f t="shared" si="5"/>
        <v>-500000</v>
      </c>
      <c r="N127" s="281">
        <f>IF(A127&lt;&gt;"", J127 / VLOOKUP(A127, 'Курс валют'!$A:$D, 4, 0), "")</f>
        <v>41.666666666666664</v>
      </c>
      <c r="O127" s="261"/>
    </row>
    <row r="128" spans="1:15" x14ac:dyDescent="0.45">
      <c r="A128" s="264">
        <v>46096</v>
      </c>
      <c r="B128" s="263" t="s">
        <v>525</v>
      </c>
      <c r="C128" s="255" t="s">
        <v>69</v>
      </c>
      <c r="D128" s="291">
        <v>1</v>
      </c>
      <c r="E128" s="255" t="s">
        <v>602</v>
      </c>
      <c r="F128" s="256" t="s">
        <v>586</v>
      </c>
      <c r="G128" s="255" t="s">
        <v>514</v>
      </c>
      <c r="H128" s="294">
        <v>2100000</v>
      </c>
      <c r="I128" s="255"/>
      <c r="J128" s="297">
        <v>2100000</v>
      </c>
      <c r="K128" s="257"/>
      <c r="L128" s="258">
        <f t="shared" si="4"/>
        <v>2100000</v>
      </c>
      <c r="M128" s="259">
        <f t="shared" si="5"/>
        <v>0</v>
      </c>
      <c r="N128" s="281">
        <f>IF(A128&lt;&gt;"", J128 / VLOOKUP(A128, 'Курс валют'!$A:$D, 4, 0), "")</f>
        <v>173.55371900826447</v>
      </c>
      <c r="O128" s="261"/>
    </row>
    <row r="129" spans="1:15" x14ac:dyDescent="0.45">
      <c r="A129" s="264">
        <v>46097</v>
      </c>
      <c r="B129" s="263" t="s">
        <v>590</v>
      </c>
      <c r="C129" s="255" t="s">
        <v>233</v>
      </c>
      <c r="D129" s="291" t="s">
        <v>233</v>
      </c>
      <c r="E129" s="255" t="s">
        <v>233</v>
      </c>
      <c r="F129" s="256" t="s">
        <v>586</v>
      </c>
      <c r="G129" s="255" t="s">
        <v>514</v>
      </c>
      <c r="H129" s="294">
        <v>768000</v>
      </c>
      <c r="I129" s="255"/>
      <c r="J129" s="297"/>
      <c r="K129" s="257"/>
      <c r="L129" s="258">
        <f t="shared" si="4"/>
        <v>768000</v>
      </c>
      <c r="M129" s="259">
        <f t="shared" si="5"/>
        <v>768000</v>
      </c>
      <c r="N129" s="281">
        <f>IF(A129&lt;&gt;"", J129 / VLOOKUP(A129, 'Курс валют'!$A:$D, 4, 0), "")</f>
        <v>0</v>
      </c>
      <c r="O129" s="261"/>
    </row>
    <row r="130" spans="1:15" x14ac:dyDescent="0.45">
      <c r="A130" s="264">
        <v>46097</v>
      </c>
      <c r="B130" s="263" t="s">
        <v>590</v>
      </c>
      <c r="C130" s="255" t="s">
        <v>233</v>
      </c>
      <c r="D130" s="291" t="s">
        <v>233</v>
      </c>
      <c r="E130" s="255" t="s">
        <v>233</v>
      </c>
      <c r="F130" s="256" t="s">
        <v>175</v>
      </c>
      <c r="G130" s="255" t="s">
        <v>514</v>
      </c>
      <c r="H130" s="294">
        <v>2400000</v>
      </c>
      <c r="I130" s="255"/>
      <c r="J130" s="297"/>
      <c r="K130" s="257"/>
      <c r="L130" s="258">
        <f t="shared" si="4"/>
        <v>2400000</v>
      </c>
      <c r="M130" s="259">
        <f t="shared" si="5"/>
        <v>2400000</v>
      </c>
      <c r="N130" s="281">
        <f>IF(A130&lt;&gt;"", J130 / VLOOKUP(A130, 'Курс валют'!$A:$D, 4, 0), "")</f>
        <v>0</v>
      </c>
      <c r="O130" s="261"/>
    </row>
    <row r="131" spans="1:15" x14ac:dyDescent="0.45">
      <c r="A131" s="264">
        <v>46097</v>
      </c>
      <c r="B131" s="263" t="s">
        <v>603</v>
      </c>
      <c r="C131" s="255" t="s">
        <v>233</v>
      </c>
      <c r="D131" s="291" t="s">
        <v>233</v>
      </c>
      <c r="E131" s="255" t="s">
        <v>233</v>
      </c>
      <c r="F131" s="256" t="s">
        <v>175</v>
      </c>
      <c r="G131" s="255" t="s">
        <v>514</v>
      </c>
      <c r="H131" s="294">
        <v>200000</v>
      </c>
      <c r="I131" s="255"/>
      <c r="J131" s="297"/>
      <c r="K131" s="257"/>
      <c r="L131" s="258">
        <f t="shared" si="4"/>
        <v>200000</v>
      </c>
      <c r="M131" s="259">
        <f t="shared" si="5"/>
        <v>200000</v>
      </c>
      <c r="N131" s="281">
        <f>IF(A131&lt;&gt;"", J131 / VLOOKUP(A131, 'Курс валют'!$A:$D, 4, 0), "")</f>
        <v>0</v>
      </c>
      <c r="O131" s="261"/>
    </row>
    <row r="132" spans="1:15" x14ac:dyDescent="0.45">
      <c r="A132" s="264">
        <v>46097</v>
      </c>
      <c r="B132" s="263" t="s">
        <v>604</v>
      </c>
      <c r="C132" s="255" t="s">
        <v>65</v>
      </c>
      <c r="D132" s="291">
        <v>4</v>
      </c>
      <c r="E132" s="255" t="s">
        <v>605</v>
      </c>
      <c r="F132" s="256" t="s">
        <v>586</v>
      </c>
      <c r="G132" s="255" t="s">
        <v>514</v>
      </c>
      <c r="H132" s="294"/>
      <c r="I132" s="255"/>
      <c r="J132" s="297">
        <v>768000</v>
      </c>
      <c r="K132" s="257"/>
      <c r="L132" s="258">
        <f t="shared" si="4"/>
        <v>0</v>
      </c>
      <c r="M132" s="259">
        <f t="shared" si="5"/>
        <v>-768000</v>
      </c>
      <c r="N132" s="281">
        <f>IF(A132&lt;&gt;"", J132 / VLOOKUP(A132, 'Курс валют'!$A:$D, 4, 0), "")</f>
        <v>64</v>
      </c>
      <c r="O132" s="261"/>
    </row>
    <row r="133" spans="1:15" x14ac:dyDescent="0.45">
      <c r="A133" s="264">
        <v>46097</v>
      </c>
      <c r="B133" s="263" t="s">
        <v>82</v>
      </c>
      <c r="C133" s="255" t="s">
        <v>59</v>
      </c>
      <c r="D133" s="291">
        <v>25</v>
      </c>
      <c r="E133" s="255" t="s">
        <v>22</v>
      </c>
      <c r="F133" s="256" t="s">
        <v>175</v>
      </c>
      <c r="G133" s="255" t="s">
        <v>514</v>
      </c>
      <c r="H133" s="294"/>
      <c r="I133" s="255"/>
      <c r="J133" s="297">
        <v>2500000</v>
      </c>
      <c r="K133" s="257"/>
      <c r="L133" s="258">
        <f t="shared" si="4"/>
        <v>0</v>
      </c>
      <c r="M133" s="259">
        <f t="shared" si="5"/>
        <v>-2500000</v>
      </c>
      <c r="N133" s="281">
        <f>IF(A133&lt;&gt;"", J133 / VLOOKUP(A133, 'Курс валют'!$A:$D, 4, 0), "")</f>
        <v>208.33333333333334</v>
      </c>
      <c r="O133" s="261"/>
    </row>
    <row r="134" spans="1:15" x14ac:dyDescent="0.45">
      <c r="A134" s="264">
        <v>46097</v>
      </c>
      <c r="B134" s="263" t="s">
        <v>239</v>
      </c>
      <c r="C134" s="255" t="s">
        <v>65</v>
      </c>
      <c r="D134" s="291">
        <v>1</v>
      </c>
      <c r="E134" s="255" t="s">
        <v>593</v>
      </c>
      <c r="F134" s="256" t="s">
        <v>175</v>
      </c>
      <c r="G134" s="255" t="s">
        <v>514</v>
      </c>
      <c r="H134" s="294"/>
      <c r="I134" s="255"/>
      <c r="J134" s="297">
        <v>200000</v>
      </c>
      <c r="K134" s="257"/>
      <c r="L134" s="258">
        <f t="shared" si="4"/>
        <v>0</v>
      </c>
      <c r="M134" s="259">
        <f t="shared" si="5"/>
        <v>-200000</v>
      </c>
      <c r="N134" s="281">
        <f>IF(A134&lt;&gt;"", J134 / VLOOKUP(A134, 'Курс валют'!$A:$D, 4, 0), "")</f>
        <v>16.666666666666668</v>
      </c>
      <c r="O134" s="261"/>
    </row>
    <row r="135" spans="1:15" x14ac:dyDescent="0.45">
      <c r="A135" s="264">
        <v>46097</v>
      </c>
      <c r="B135" s="263" t="s">
        <v>583</v>
      </c>
      <c r="C135" s="255" t="s">
        <v>606</v>
      </c>
      <c r="D135" s="291">
        <v>1</v>
      </c>
      <c r="E135" s="255" t="s">
        <v>607</v>
      </c>
      <c r="F135" s="256" t="s">
        <v>175</v>
      </c>
      <c r="G135" s="255" t="s">
        <v>514</v>
      </c>
      <c r="H135" s="294">
        <v>300000</v>
      </c>
      <c r="I135" s="255"/>
      <c r="J135" s="297">
        <v>300000</v>
      </c>
      <c r="K135" s="257"/>
      <c r="L135" s="258">
        <f t="shared" si="4"/>
        <v>300000</v>
      </c>
      <c r="M135" s="259">
        <f t="shared" si="5"/>
        <v>0</v>
      </c>
      <c r="N135" s="281">
        <f>IF(A135&lt;&gt;"", J135 / VLOOKUP(A135, 'Курс валют'!$A:$D, 4, 0), "")</f>
        <v>25</v>
      </c>
      <c r="O135" s="261"/>
    </row>
    <row r="136" spans="1:15" x14ac:dyDescent="0.45">
      <c r="A136" s="264">
        <v>46098</v>
      </c>
      <c r="B136" s="263" t="s">
        <v>590</v>
      </c>
      <c r="C136" s="255" t="s">
        <v>233</v>
      </c>
      <c r="D136" s="291" t="s">
        <v>233</v>
      </c>
      <c r="E136" s="255" t="s">
        <v>233</v>
      </c>
      <c r="F136" s="256" t="s">
        <v>175</v>
      </c>
      <c r="G136" s="255" t="s">
        <v>514</v>
      </c>
      <c r="H136" s="294">
        <v>80000</v>
      </c>
      <c r="I136" s="255"/>
      <c r="J136" s="297"/>
      <c r="K136" s="257"/>
      <c r="L136" s="258">
        <f t="shared" si="4"/>
        <v>80000</v>
      </c>
      <c r="M136" s="259">
        <f t="shared" si="5"/>
        <v>80000</v>
      </c>
      <c r="N136" s="281">
        <f>IF(A136&lt;&gt;"", J136 / VLOOKUP(A136, 'Курс валют'!$A:$D, 4, 0), "")</f>
        <v>0</v>
      </c>
      <c r="O136" s="261"/>
    </row>
    <row r="137" spans="1:15" x14ac:dyDescent="0.45">
      <c r="A137" s="264">
        <v>46098</v>
      </c>
      <c r="B137" s="263" t="s">
        <v>283</v>
      </c>
      <c r="C137" s="255" t="s">
        <v>69</v>
      </c>
      <c r="D137" s="291">
        <v>10000</v>
      </c>
      <c r="E137" s="255" t="s">
        <v>608</v>
      </c>
      <c r="F137" s="256" t="s">
        <v>586</v>
      </c>
      <c r="G137" s="255" t="s">
        <v>514</v>
      </c>
      <c r="H137" s="294">
        <v>4300000</v>
      </c>
      <c r="I137" s="255"/>
      <c r="J137" s="297">
        <f>430*D137</f>
        <v>4300000</v>
      </c>
      <c r="K137" s="257"/>
      <c r="L137" s="258">
        <f t="shared" si="4"/>
        <v>4300000</v>
      </c>
      <c r="M137" s="259">
        <f t="shared" si="5"/>
        <v>0</v>
      </c>
      <c r="N137" s="281">
        <f>IF(A137&lt;&gt;"", J137 / VLOOKUP(A137, 'Курс валют'!$A:$D, 4, 0), "")</f>
        <v>357.14285714285717</v>
      </c>
      <c r="O137" s="261"/>
    </row>
    <row r="138" spans="1:15" x14ac:dyDescent="0.45">
      <c r="A138" s="264">
        <v>46098</v>
      </c>
      <c r="B138" s="263" t="s">
        <v>609</v>
      </c>
      <c r="C138" s="255" t="s">
        <v>65</v>
      </c>
      <c r="D138" s="291">
        <v>1</v>
      </c>
      <c r="E138" s="255" t="s">
        <v>579</v>
      </c>
      <c r="F138" s="256" t="s">
        <v>175</v>
      </c>
      <c r="G138" s="255" t="s">
        <v>514</v>
      </c>
      <c r="H138" s="294"/>
      <c r="I138" s="255"/>
      <c r="J138" s="297">
        <v>80000</v>
      </c>
      <c r="K138" s="257"/>
      <c r="L138" s="258">
        <f t="shared" si="4"/>
        <v>0</v>
      </c>
      <c r="M138" s="259">
        <f t="shared" si="5"/>
        <v>-80000</v>
      </c>
      <c r="N138" s="281">
        <f>IF(A138&lt;&gt;"", J138 / VLOOKUP(A138, 'Курс валют'!$A:$D, 4, 0), "")</f>
        <v>6.6445182724252492</v>
      </c>
      <c r="O138" s="261"/>
    </row>
    <row r="139" spans="1:15" x14ac:dyDescent="0.45">
      <c r="A139" s="264">
        <v>46098</v>
      </c>
      <c r="B139" s="263" t="s">
        <v>590</v>
      </c>
      <c r="C139" s="255" t="s">
        <v>233</v>
      </c>
      <c r="D139" s="291" t="s">
        <v>233</v>
      </c>
      <c r="E139" s="255" t="s">
        <v>233</v>
      </c>
      <c r="F139" s="256" t="s">
        <v>586</v>
      </c>
      <c r="G139" s="255" t="s">
        <v>514</v>
      </c>
      <c r="H139" s="294">
        <v>3400000</v>
      </c>
      <c r="I139" s="255"/>
      <c r="J139" s="297"/>
      <c r="K139" s="257"/>
      <c r="L139" s="258">
        <f t="shared" si="4"/>
        <v>3400000</v>
      </c>
      <c r="M139" s="259">
        <f t="shared" si="5"/>
        <v>3400000</v>
      </c>
      <c r="N139" s="281">
        <f>IF(A139&lt;&gt;"", J139 / VLOOKUP(A139, 'Курс валют'!$A:$D, 4, 0), "")</f>
        <v>0</v>
      </c>
      <c r="O139" s="261"/>
    </row>
    <row r="140" spans="1:15" x14ac:dyDescent="0.45">
      <c r="A140" s="264">
        <v>46098</v>
      </c>
      <c r="B140" s="263" t="s">
        <v>610</v>
      </c>
      <c r="C140" s="255" t="s">
        <v>65</v>
      </c>
      <c r="D140" s="291">
        <v>1</v>
      </c>
      <c r="E140" s="255" t="s">
        <v>579</v>
      </c>
      <c r="F140" s="256" t="s">
        <v>586</v>
      </c>
      <c r="G140" s="255" t="s">
        <v>514</v>
      </c>
      <c r="H140" s="294"/>
      <c r="I140" s="255"/>
      <c r="J140" s="297">
        <v>3400000</v>
      </c>
      <c r="K140" s="257"/>
      <c r="L140" s="258">
        <f t="shared" si="4"/>
        <v>0</v>
      </c>
      <c r="M140" s="259">
        <f t="shared" si="5"/>
        <v>-3400000</v>
      </c>
      <c r="N140" s="281">
        <f>IF(A140&lt;&gt;"", J140 / VLOOKUP(A140, 'Курс валют'!$A:$D, 4, 0), "")</f>
        <v>282.39202657807311</v>
      </c>
      <c r="O140" s="261"/>
    </row>
    <row r="141" spans="1:15" x14ac:dyDescent="0.45">
      <c r="A141" s="264">
        <v>46100</v>
      </c>
      <c r="B141" s="263" t="s">
        <v>432</v>
      </c>
      <c r="C141" s="255" t="s">
        <v>591</v>
      </c>
      <c r="D141" s="291">
        <v>1</v>
      </c>
      <c r="E141" s="255"/>
      <c r="F141" s="256" t="s">
        <v>175</v>
      </c>
      <c r="G141" s="255" t="s">
        <v>30</v>
      </c>
      <c r="H141" s="294">
        <v>1000</v>
      </c>
      <c r="I141" s="255">
        <v>12100</v>
      </c>
      <c r="J141" s="297"/>
      <c r="K141" s="257"/>
      <c r="L141" s="258">
        <f t="shared" si="4"/>
        <v>12100000</v>
      </c>
      <c r="M141" s="259"/>
      <c r="N141" s="281">
        <f>IF(A141&lt;&gt;"", J141 / VLOOKUP(A141, 'Курс валют'!$A:$D, 4, 0), "")</f>
        <v>0</v>
      </c>
      <c r="O141" s="261"/>
    </row>
    <row r="142" spans="1:15" x14ac:dyDescent="0.45">
      <c r="A142" s="264">
        <v>46100</v>
      </c>
      <c r="B142" s="263" t="s">
        <v>581</v>
      </c>
      <c r="C142" s="255" t="s">
        <v>69</v>
      </c>
      <c r="D142" s="291">
        <v>1</v>
      </c>
      <c r="E142" s="255" t="s">
        <v>579</v>
      </c>
      <c r="F142" s="256" t="s">
        <v>175</v>
      </c>
      <c r="G142" s="255" t="s">
        <v>514</v>
      </c>
      <c r="H142" s="294"/>
      <c r="I142" s="255"/>
      <c r="J142" s="297">
        <v>6290000</v>
      </c>
      <c r="K142" s="257"/>
      <c r="L142" s="258">
        <f t="shared" si="4"/>
        <v>0</v>
      </c>
      <c r="M142" s="259">
        <f t="shared" ref="M142:M156" si="6">L142-J142</f>
        <v>-6290000</v>
      </c>
      <c r="N142" s="281">
        <f>IF(A142&lt;&gt;"", J142 / VLOOKUP(A142, 'Курс валют'!$A:$D, 4, 0), "")</f>
        <v>517.69547325102883</v>
      </c>
      <c r="O142" s="261"/>
    </row>
    <row r="143" spans="1:15" x14ac:dyDescent="0.45">
      <c r="A143" s="264">
        <v>46100</v>
      </c>
      <c r="B143" s="263" t="s">
        <v>91</v>
      </c>
      <c r="C143" s="255" t="s">
        <v>65</v>
      </c>
      <c r="D143" s="291">
        <v>1</v>
      </c>
      <c r="E143" s="255" t="s">
        <v>579</v>
      </c>
      <c r="F143" s="256" t="s">
        <v>175</v>
      </c>
      <c r="G143" s="255" t="s">
        <v>514</v>
      </c>
      <c r="H143" s="294"/>
      <c r="I143" s="255"/>
      <c r="J143" s="297">
        <v>100000</v>
      </c>
      <c r="K143" s="257"/>
      <c r="L143" s="258">
        <f t="shared" si="4"/>
        <v>0</v>
      </c>
      <c r="M143" s="259">
        <f t="shared" si="6"/>
        <v>-100000</v>
      </c>
      <c r="N143" s="281">
        <f>IF(A143&lt;&gt;"", J143 / VLOOKUP(A143, 'Курс валют'!$A:$D, 4, 0), "")</f>
        <v>8.2304526748971192</v>
      </c>
      <c r="O143" s="261"/>
    </row>
    <row r="144" spans="1:15" x14ac:dyDescent="0.45">
      <c r="A144" s="264">
        <v>46105</v>
      </c>
      <c r="B144" s="263" t="s">
        <v>239</v>
      </c>
      <c r="C144" s="255" t="s">
        <v>97</v>
      </c>
      <c r="D144" s="291">
        <v>20</v>
      </c>
      <c r="E144" s="255" t="s">
        <v>593</v>
      </c>
      <c r="F144" s="256" t="s">
        <v>175</v>
      </c>
      <c r="G144" s="255" t="s">
        <v>514</v>
      </c>
      <c r="H144" s="294"/>
      <c r="I144" s="255"/>
      <c r="J144" s="297">
        <v>250000</v>
      </c>
      <c r="K144" s="257"/>
      <c r="L144" s="258">
        <f t="shared" si="4"/>
        <v>0</v>
      </c>
      <c r="M144" s="259">
        <f t="shared" si="6"/>
        <v>-250000</v>
      </c>
      <c r="N144" s="281">
        <f>IF(A144&lt;&gt;"", J144 / VLOOKUP(A144, 'Курс валют'!$A:$D, 4, 0), "")</f>
        <v>20.66115702479339</v>
      </c>
      <c r="O144" s="261"/>
    </row>
    <row r="145" spans="1:15" x14ac:dyDescent="0.45">
      <c r="A145" s="264">
        <v>46105</v>
      </c>
      <c r="B145" s="263" t="s">
        <v>525</v>
      </c>
      <c r="C145" s="255" t="s">
        <v>65</v>
      </c>
      <c r="D145" s="291">
        <v>1</v>
      </c>
      <c r="E145" s="255" t="s">
        <v>611</v>
      </c>
      <c r="F145" s="256" t="s">
        <v>586</v>
      </c>
      <c r="G145" s="255" t="s">
        <v>514</v>
      </c>
      <c r="H145" s="294">
        <v>420000</v>
      </c>
      <c r="I145" s="255"/>
      <c r="J145" s="297">
        <v>420000</v>
      </c>
      <c r="K145" s="257"/>
      <c r="L145" s="258">
        <f t="shared" si="4"/>
        <v>420000</v>
      </c>
      <c r="M145" s="259">
        <f t="shared" si="6"/>
        <v>0</v>
      </c>
      <c r="N145" s="281">
        <f>IF(A145&lt;&gt;"", J145 / VLOOKUP(A145, 'Курс валют'!$A:$D, 4, 0), "")</f>
        <v>34.710743801652896</v>
      </c>
      <c r="O145" s="261"/>
    </row>
    <row r="146" spans="1:15" x14ac:dyDescent="0.45">
      <c r="A146" s="264">
        <v>46106</v>
      </c>
      <c r="B146" s="263" t="s">
        <v>82</v>
      </c>
      <c r="C146" s="255" t="s">
        <v>59</v>
      </c>
      <c r="D146" s="291">
        <v>25</v>
      </c>
      <c r="E146" s="255" t="s">
        <v>611</v>
      </c>
      <c r="F146" s="256" t="s">
        <v>586</v>
      </c>
      <c r="G146" s="255" t="s">
        <v>514</v>
      </c>
      <c r="H146" s="294">
        <v>2500000</v>
      </c>
      <c r="I146" s="255"/>
      <c r="J146" s="297">
        <v>2500000</v>
      </c>
      <c r="K146" s="257"/>
      <c r="L146" s="258">
        <f t="shared" si="4"/>
        <v>2500000</v>
      </c>
      <c r="M146" s="259">
        <f t="shared" si="6"/>
        <v>0</v>
      </c>
      <c r="N146" s="281">
        <f>IF(A146&lt;&gt;"", J146 / VLOOKUP(A146, 'Курс валют'!$A:$D, 4, 0), "")</f>
        <v>204.75020475020474</v>
      </c>
      <c r="O146" s="261"/>
    </row>
    <row r="147" spans="1:15" x14ac:dyDescent="0.45">
      <c r="A147" s="264">
        <v>46108</v>
      </c>
      <c r="B147" s="263" t="s">
        <v>612</v>
      </c>
      <c r="C147" s="255" t="s">
        <v>65</v>
      </c>
      <c r="D147" s="291">
        <v>1</v>
      </c>
      <c r="E147" s="255" t="s">
        <v>579</v>
      </c>
      <c r="F147" s="256" t="s">
        <v>175</v>
      </c>
      <c r="G147" s="255" t="s">
        <v>514</v>
      </c>
      <c r="H147" s="294"/>
      <c r="I147" s="255"/>
      <c r="J147" s="297">
        <v>300000</v>
      </c>
      <c r="K147" s="257"/>
      <c r="L147" s="258">
        <f t="shared" si="4"/>
        <v>0</v>
      </c>
      <c r="M147" s="259">
        <f t="shared" si="6"/>
        <v>-300000</v>
      </c>
      <c r="N147" s="281">
        <f>IF(A147&lt;&gt;"", J147 / VLOOKUP(A147, 'Курс валют'!$A:$D, 4, 0), "")</f>
        <v>24.752475247524753</v>
      </c>
      <c r="O147" s="261"/>
    </row>
    <row r="148" spans="1:15" x14ac:dyDescent="0.45">
      <c r="A148" s="264">
        <v>46109</v>
      </c>
      <c r="B148" s="263" t="s">
        <v>613</v>
      </c>
      <c r="C148" s="255" t="s">
        <v>69</v>
      </c>
      <c r="D148" s="291">
        <v>48</v>
      </c>
      <c r="E148" s="255" t="s">
        <v>579</v>
      </c>
      <c r="F148" s="256" t="s">
        <v>586</v>
      </c>
      <c r="G148" s="255" t="s">
        <v>514</v>
      </c>
      <c r="H148" s="294"/>
      <c r="I148" s="255"/>
      <c r="J148" s="297">
        <f>D148*45000+100000</f>
        <v>2260000</v>
      </c>
      <c r="K148" s="257"/>
      <c r="L148" s="258">
        <f t="shared" si="4"/>
        <v>0</v>
      </c>
      <c r="M148" s="259">
        <f t="shared" si="6"/>
        <v>-2260000</v>
      </c>
      <c r="N148" s="281">
        <f>IF(A148&lt;&gt;"", J148 / VLOOKUP(A148, 'Курс валют'!$A:$D, 4, 0), "")</f>
        <v>188.33333333333334</v>
      </c>
      <c r="O148" s="261"/>
    </row>
    <row r="149" spans="1:15" x14ac:dyDescent="0.45">
      <c r="A149" s="264">
        <v>46111</v>
      </c>
      <c r="B149" s="263" t="s">
        <v>553</v>
      </c>
      <c r="C149" s="255" t="s">
        <v>69</v>
      </c>
      <c r="D149" s="291">
        <v>1</v>
      </c>
      <c r="E149" s="255" t="s">
        <v>22</v>
      </c>
      <c r="F149" s="256" t="s">
        <v>586</v>
      </c>
      <c r="G149" s="255" t="s">
        <v>514</v>
      </c>
      <c r="H149" s="294">
        <v>3360000</v>
      </c>
      <c r="I149" s="255"/>
      <c r="J149" s="297">
        <v>3360000</v>
      </c>
      <c r="K149" s="257"/>
      <c r="L149" s="258">
        <f t="shared" si="4"/>
        <v>3360000</v>
      </c>
      <c r="M149" s="259">
        <f t="shared" si="6"/>
        <v>0</v>
      </c>
      <c r="N149" s="281">
        <f>IF(A149&lt;&gt;"", J149 / VLOOKUP(A149, 'Курс валют'!$A:$D, 4, 0), "")</f>
        <v>277.68595041322317</v>
      </c>
      <c r="O149" s="261"/>
    </row>
    <row r="150" spans="1:15" x14ac:dyDescent="0.45">
      <c r="A150" s="264">
        <v>46111</v>
      </c>
      <c r="B150" s="263" t="s">
        <v>82</v>
      </c>
      <c r="C150" s="255" t="s">
        <v>59</v>
      </c>
      <c r="D150" s="291">
        <f>J150/105000</f>
        <v>26.666666666666668</v>
      </c>
      <c r="E150" s="255" t="s">
        <v>611</v>
      </c>
      <c r="F150" s="256" t="s">
        <v>175</v>
      </c>
      <c r="G150" s="255" t="s">
        <v>514</v>
      </c>
      <c r="H150" s="294">
        <v>2700000</v>
      </c>
      <c r="I150" s="255"/>
      <c r="J150" s="297">
        <v>2800000</v>
      </c>
      <c r="K150" s="257"/>
      <c r="L150" s="258">
        <f t="shared" si="4"/>
        <v>2700000</v>
      </c>
      <c r="M150" s="259">
        <f t="shared" si="6"/>
        <v>-100000</v>
      </c>
      <c r="N150" s="281">
        <f>IF(A150&lt;&gt;"", J150 / VLOOKUP(A150, 'Курс валют'!$A:$D, 4, 0), "")</f>
        <v>231.40495867768595</v>
      </c>
      <c r="O150" s="261"/>
    </row>
    <row r="151" spans="1:15" x14ac:dyDescent="0.45">
      <c r="A151" s="264">
        <v>46111</v>
      </c>
      <c r="B151" s="263" t="s">
        <v>614</v>
      </c>
      <c r="C151" s="255" t="s">
        <v>615</v>
      </c>
      <c r="D151" s="291">
        <v>1</v>
      </c>
      <c r="E151" s="255" t="s">
        <v>173</v>
      </c>
      <c r="F151" s="256" t="s">
        <v>175</v>
      </c>
      <c r="G151" s="255" t="s">
        <v>514</v>
      </c>
      <c r="H151" s="294"/>
      <c r="I151" s="255"/>
      <c r="J151" s="297">
        <v>400000</v>
      </c>
      <c r="K151" s="257"/>
      <c r="L151" s="258">
        <f t="shared" si="4"/>
        <v>0</v>
      </c>
      <c r="M151" s="259">
        <f t="shared" si="6"/>
        <v>-400000</v>
      </c>
      <c r="N151" s="281">
        <f>IF(A151&lt;&gt;"", J151 / VLOOKUP(A151, 'Курс валют'!$A:$D, 4, 0), "")</f>
        <v>33.057851239669418</v>
      </c>
      <c r="O151" s="261"/>
    </row>
    <row r="152" spans="1:15" x14ac:dyDescent="0.45">
      <c r="A152" s="264">
        <v>46112</v>
      </c>
      <c r="B152" s="263" t="s">
        <v>616</v>
      </c>
      <c r="C152" s="255" t="s">
        <v>85</v>
      </c>
      <c r="D152" s="291">
        <v>400</v>
      </c>
      <c r="E152" s="255" t="s">
        <v>579</v>
      </c>
      <c r="F152" s="256" t="s">
        <v>586</v>
      </c>
      <c r="G152" s="255" t="s">
        <v>514</v>
      </c>
      <c r="H152" s="294"/>
      <c r="I152" s="255"/>
      <c r="J152" s="297">
        <f>D152*3000+125000</f>
        <v>1325000</v>
      </c>
      <c r="K152" s="257"/>
      <c r="L152" s="258">
        <f t="shared" si="4"/>
        <v>0</v>
      </c>
      <c r="M152" s="259">
        <f t="shared" si="6"/>
        <v>-1325000</v>
      </c>
      <c r="N152" s="281">
        <f>IF(A152&lt;&gt;"", J152 / VLOOKUP(A152, 'Курс валют'!$A:$D, 4, 0), "")</f>
        <v>109.23330585325638</v>
      </c>
      <c r="O152" s="261"/>
    </row>
    <row r="153" spans="1:15" x14ac:dyDescent="0.45">
      <c r="A153" s="264">
        <v>46112</v>
      </c>
      <c r="B153" s="263" t="s">
        <v>617</v>
      </c>
      <c r="C153" s="255" t="s">
        <v>618</v>
      </c>
      <c r="D153" s="291">
        <v>1</v>
      </c>
      <c r="E153" s="255" t="s">
        <v>579</v>
      </c>
      <c r="F153" s="256" t="s">
        <v>175</v>
      </c>
      <c r="G153" s="255" t="s">
        <v>514</v>
      </c>
      <c r="H153" s="294">
        <f>459180000-H154</f>
        <v>422730000</v>
      </c>
      <c r="I153" s="255"/>
      <c r="J153" s="297">
        <f>459180000-J154</f>
        <v>422730000</v>
      </c>
      <c r="K153" s="257"/>
      <c r="L153" s="258">
        <f t="shared" si="4"/>
        <v>422730000</v>
      </c>
      <c r="M153" s="259">
        <f t="shared" si="6"/>
        <v>0</v>
      </c>
      <c r="N153" s="281">
        <f>IF(A153&lt;&gt;"", J153 / VLOOKUP(A153, 'Курс валют'!$A:$D, 4, 0), "")</f>
        <v>34849.958779884582</v>
      </c>
      <c r="O153" s="261"/>
    </row>
    <row r="154" spans="1:15" x14ac:dyDescent="0.45">
      <c r="A154" s="264">
        <v>46112</v>
      </c>
      <c r="B154" s="263" t="s">
        <v>619</v>
      </c>
      <c r="C154" s="255" t="s">
        <v>618</v>
      </c>
      <c r="D154" s="291">
        <v>1</v>
      </c>
      <c r="E154" s="255" t="s">
        <v>579</v>
      </c>
      <c r="F154" s="256" t="s">
        <v>175</v>
      </c>
      <c r="G154" s="255" t="s">
        <v>514</v>
      </c>
      <c r="H154" s="294">
        <v>36450000</v>
      </c>
      <c r="I154" s="255"/>
      <c r="J154" s="297">
        <v>36450000</v>
      </c>
      <c r="K154" s="257"/>
      <c r="L154" s="258">
        <f t="shared" si="4"/>
        <v>36450000</v>
      </c>
      <c r="M154" s="259">
        <f t="shared" si="6"/>
        <v>0</v>
      </c>
      <c r="N154" s="281">
        <f>IF(A154&lt;&gt;"", J154 / VLOOKUP(A154, 'Курс валют'!$A:$D, 4, 0), "")</f>
        <v>3004.9464138499588</v>
      </c>
      <c r="O154" s="261"/>
    </row>
    <row r="155" spans="1:15" x14ac:dyDescent="0.45">
      <c r="A155" s="264">
        <v>46113</v>
      </c>
      <c r="B155" s="263" t="s">
        <v>583</v>
      </c>
      <c r="C155" s="255" t="s">
        <v>606</v>
      </c>
      <c r="D155" s="291">
        <v>1</v>
      </c>
      <c r="E155" s="255" t="s">
        <v>607</v>
      </c>
      <c r="F155" s="256" t="s">
        <v>175</v>
      </c>
      <c r="G155" s="255" t="s">
        <v>514</v>
      </c>
      <c r="H155" s="294"/>
      <c r="I155" s="255"/>
      <c r="J155" s="297">
        <v>200000</v>
      </c>
      <c r="K155" s="257"/>
      <c r="L155" s="258">
        <f t="shared" si="4"/>
        <v>0</v>
      </c>
      <c r="M155" s="259">
        <f t="shared" si="6"/>
        <v>-200000</v>
      </c>
      <c r="N155" s="281">
        <f>IF(A155&lt;&gt;"", J155 / VLOOKUP(A155, 'Курс валют'!$A:$D, 4, 0), "")</f>
        <v>16.528925619834709</v>
      </c>
      <c r="O155" s="261"/>
    </row>
    <row r="156" spans="1:15" x14ac:dyDescent="0.45">
      <c r="A156" s="264">
        <v>46113</v>
      </c>
      <c r="B156" s="263" t="s">
        <v>588</v>
      </c>
      <c r="C156" s="255" t="s">
        <v>620</v>
      </c>
      <c r="D156" s="291">
        <v>1</v>
      </c>
      <c r="E156" s="255" t="s">
        <v>621</v>
      </c>
      <c r="F156" s="256" t="s">
        <v>175</v>
      </c>
      <c r="G156" s="255" t="s">
        <v>514</v>
      </c>
      <c r="H156" s="294"/>
      <c r="I156" s="255"/>
      <c r="J156" s="297">
        <v>200000</v>
      </c>
      <c r="K156" s="257"/>
      <c r="L156" s="258">
        <f t="shared" si="4"/>
        <v>0</v>
      </c>
      <c r="M156" s="259">
        <f t="shared" si="6"/>
        <v>-200000</v>
      </c>
      <c r="N156" s="281">
        <f>IF(A156&lt;&gt;"", J156 / VLOOKUP(A156, 'Курс валют'!$A:$D, 4, 0), "")</f>
        <v>16.528925619834709</v>
      </c>
      <c r="O156" s="261"/>
    </row>
    <row r="157" spans="1:15" x14ac:dyDescent="0.45">
      <c r="A157" s="264">
        <v>46114</v>
      </c>
      <c r="B157" s="263" t="s">
        <v>432</v>
      </c>
      <c r="C157" s="255" t="s">
        <v>456</v>
      </c>
      <c r="D157" s="291">
        <v>8.34</v>
      </c>
      <c r="E157" s="255" t="s">
        <v>579</v>
      </c>
      <c r="F157" s="256" t="s">
        <v>175</v>
      </c>
      <c r="G157" s="255" t="s">
        <v>30</v>
      </c>
      <c r="H157" s="294">
        <v>2500</v>
      </c>
      <c r="I157" s="255">
        <v>12100</v>
      </c>
      <c r="J157" s="297">
        <v>2500</v>
      </c>
      <c r="K157" s="257">
        <v>12100</v>
      </c>
      <c r="L157" s="258">
        <f t="shared" si="4"/>
        <v>0</v>
      </c>
      <c r="M157" s="259">
        <f t="shared" ref="M157:M175" si="7">H157-J157</f>
        <v>0</v>
      </c>
      <c r="N157" s="281">
        <f>IF(A157&lt;&gt;"", J157 / VLOOKUP(A157, 'Курс валют'!$A:$D, 4, 0), "")</f>
        <v>0.20661157024793389</v>
      </c>
      <c r="O157" s="261"/>
    </row>
    <row r="158" spans="1:15" x14ac:dyDescent="0.45">
      <c r="A158" s="264">
        <v>46114</v>
      </c>
      <c r="B158" s="263" t="s">
        <v>622</v>
      </c>
      <c r="C158" s="255" t="s">
        <v>455</v>
      </c>
      <c r="D158" s="291">
        <v>1</v>
      </c>
      <c r="E158" s="255" t="s">
        <v>622</v>
      </c>
      <c r="F158" s="256" t="s">
        <v>175</v>
      </c>
      <c r="G158" s="255" t="s">
        <v>30</v>
      </c>
      <c r="H158" s="294">
        <v>1200</v>
      </c>
      <c r="I158" s="255">
        <v>12100</v>
      </c>
      <c r="J158" s="297">
        <v>1200</v>
      </c>
      <c r="K158" s="257">
        <v>12100</v>
      </c>
      <c r="L158" s="258">
        <f t="shared" si="4"/>
        <v>0</v>
      </c>
      <c r="M158" s="259">
        <f t="shared" si="7"/>
        <v>0</v>
      </c>
      <c r="N158" s="281">
        <f>IF(A158&lt;&gt;"", J158 / VLOOKUP(A158, 'Курс валют'!$A:$D, 4, 0), "")</f>
        <v>9.9173553719008267E-2</v>
      </c>
      <c r="O158" s="261"/>
    </row>
    <row r="159" spans="1:15" x14ac:dyDescent="0.45">
      <c r="A159" s="264">
        <v>46114</v>
      </c>
      <c r="B159" s="263" t="s">
        <v>581</v>
      </c>
      <c r="C159" s="255" t="s">
        <v>593</v>
      </c>
      <c r="D159" s="291">
        <v>1</v>
      </c>
      <c r="E159" s="255" t="s">
        <v>581</v>
      </c>
      <c r="F159" s="256" t="s">
        <v>175</v>
      </c>
      <c r="G159" s="255" t="s">
        <v>30</v>
      </c>
      <c r="H159" s="294">
        <v>1250</v>
      </c>
      <c r="I159" s="255">
        <v>12100</v>
      </c>
      <c r="J159" s="297"/>
      <c r="K159" s="257"/>
      <c r="L159" s="258">
        <f t="shared" si="4"/>
        <v>15125000</v>
      </c>
      <c r="M159" s="259">
        <f t="shared" si="7"/>
        <v>1250</v>
      </c>
      <c r="N159" s="281">
        <f>IF(A159&lt;&gt;"", J159 / VLOOKUP(A159, 'Курс валют'!$A:$D, 4, 0), "")</f>
        <v>0</v>
      </c>
      <c r="O159" s="261"/>
    </row>
    <row r="160" spans="1:15" x14ac:dyDescent="0.45">
      <c r="A160" s="264">
        <v>46115</v>
      </c>
      <c r="B160" s="263" t="s">
        <v>623</v>
      </c>
      <c r="C160" s="255" t="s">
        <v>624</v>
      </c>
      <c r="D160" s="291">
        <v>1</v>
      </c>
      <c r="E160" s="255" t="s">
        <v>625</v>
      </c>
      <c r="F160" s="256" t="s">
        <v>175</v>
      </c>
      <c r="G160" s="255" t="s">
        <v>514</v>
      </c>
      <c r="H160" s="294"/>
      <c r="I160" s="255"/>
      <c r="J160" s="297">
        <v>100000</v>
      </c>
      <c r="K160" s="257"/>
      <c r="L160" s="258">
        <f t="shared" si="4"/>
        <v>0</v>
      </c>
      <c r="M160" s="259">
        <f t="shared" si="7"/>
        <v>-100000</v>
      </c>
      <c r="N160" s="281">
        <f>IF(A160&lt;&gt;"", J160 / VLOOKUP(A160, 'Курс валют'!$A:$D, 4, 0), "")</f>
        <v>8.2644628099173545</v>
      </c>
      <c r="O160" s="261"/>
    </row>
    <row r="161" spans="1:15" x14ac:dyDescent="0.45">
      <c r="A161" s="264">
        <v>46115</v>
      </c>
      <c r="B161" s="263" t="s">
        <v>626</v>
      </c>
      <c r="C161" s="255" t="s">
        <v>65</v>
      </c>
      <c r="D161" s="291">
        <v>1</v>
      </c>
      <c r="E161" s="255" t="s">
        <v>625</v>
      </c>
      <c r="F161" s="256" t="s">
        <v>175</v>
      </c>
      <c r="G161" s="255" t="s">
        <v>514</v>
      </c>
      <c r="H161" s="294"/>
      <c r="I161" s="255"/>
      <c r="J161" s="297">
        <v>3200000</v>
      </c>
      <c r="K161" s="257"/>
      <c r="L161" s="258">
        <f t="shared" si="4"/>
        <v>0</v>
      </c>
      <c r="M161" s="259">
        <f t="shared" si="7"/>
        <v>-3200000</v>
      </c>
      <c r="N161" s="281">
        <f>IF(A161&lt;&gt;"", J161 / VLOOKUP(A161, 'Курс валют'!$A:$D, 4, 0), "")</f>
        <v>264.46280991735534</v>
      </c>
      <c r="O161" s="261"/>
    </row>
    <row r="162" spans="1:15" x14ac:dyDescent="0.45">
      <c r="A162" s="264">
        <v>46115</v>
      </c>
      <c r="B162" s="263" t="s">
        <v>581</v>
      </c>
      <c r="C162" s="255" t="s">
        <v>69</v>
      </c>
      <c r="D162" s="291">
        <v>1</v>
      </c>
      <c r="E162" s="255" t="s">
        <v>581</v>
      </c>
      <c r="F162" s="256" t="s">
        <v>175</v>
      </c>
      <c r="G162" s="255" t="s">
        <v>30</v>
      </c>
      <c r="H162" s="294"/>
      <c r="I162" s="255"/>
      <c r="J162" s="297">
        <v>950</v>
      </c>
      <c r="K162" s="257">
        <v>12100</v>
      </c>
      <c r="L162" s="258">
        <f t="shared" si="4"/>
        <v>-11495000</v>
      </c>
      <c r="M162" s="259">
        <f t="shared" si="7"/>
        <v>-950</v>
      </c>
      <c r="N162" s="281">
        <f>IF(A162&lt;&gt;"", J162 / VLOOKUP(A162, 'Курс валют'!$A:$D, 4, 0), "")</f>
        <v>7.8512396694214878E-2</v>
      </c>
      <c r="O162" s="261"/>
    </row>
    <row r="163" spans="1:15" x14ac:dyDescent="0.45">
      <c r="A163" s="264">
        <v>46115</v>
      </c>
      <c r="B163" s="263" t="s">
        <v>627</v>
      </c>
      <c r="C163" s="255" t="s">
        <v>611</v>
      </c>
      <c r="D163" s="291">
        <v>1</v>
      </c>
      <c r="E163" s="255" t="s">
        <v>22</v>
      </c>
      <c r="F163" s="256" t="s">
        <v>175</v>
      </c>
      <c r="G163" s="255" t="s">
        <v>514</v>
      </c>
      <c r="H163" s="294"/>
      <c r="I163" s="255"/>
      <c r="J163" s="297">
        <v>700000</v>
      </c>
      <c r="K163" s="257"/>
      <c r="L163" s="258">
        <f t="shared" si="4"/>
        <v>0</v>
      </c>
      <c r="M163" s="259">
        <f t="shared" si="7"/>
        <v>-700000</v>
      </c>
      <c r="N163" s="281">
        <f>IF(A163&lt;&gt;"", J163 / VLOOKUP(A163, 'Курс валют'!$A:$D, 4, 0), "")</f>
        <v>57.851239669421489</v>
      </c>
      <c r="O163" s="261"/>
    </row>
    <row r="164" spans="1:15" x14ac:dyDescent="0.45">
      <c r="A164" s="264">
        <v>46116</v>
      </c>
      <c r="B164" s="263" t="s">
        <v>628</v>
      </c>
      <c r="C164" s="255" t="s">
        <v>591</v>
      </c>
      <c r="D164" s="291">
        <v>1</v>
      </c>
      <c r="E164" s="255" t="s">
        <v>22</v>
      </c>
      <c r="F164" s="256" t="s">
        <v>175</v>
      </c>
      <c r="G164" s="255" t="s">
        <v>30</v>
      </c>
      <c r="H164" s="294">
        <v>400</v>
      </c>
      <c r="I164" s="255">
        <v>12100</v>
      </c>
      <c r="J164" s="297"/>
      <c r="K164" s="257"/>
      <c r="L164" s="258">
        <f t="shared" si="4"/>
        <v>4840000</v>
      </c>
      <c r="M164" s="259">
        <f t="shared" si="7"/>
        <v>400</v>
      </c>
      <c r="N164" s="281">
        <f>IF(A164&lt;&gt;"", J164 / VLOOKUP(A164, 'Курс валют'!$A:$D, 4, 0), "")</f>
        <v>0</v>
      </c>
      <c r="O164" s="261"/>
    </row>
    <row r="165" spans="1:15" x14ac:dyDescent="0.45">
      <c r="A165" s="264">
        <v>46116</v>
      </c>
      <c r="B165" s="263" t="s">
        <v>82</v>
      </c>
      <c r="C165" s="255" t="s">
        <v>59</v>
      </c>
      <c r="D165" s="291">
        <v>25</v>
      </c>
      <c r="E165" s="255" t="s">
        <v>22</v>
      </c>
      <c r="F165" s="256" t="s">
        <v>586</v>
      </c>
      <c r="G165" s="255" t="s">
        <v>514</v>
      </c>
      <c r="H165" s="294"/>
      <c r="I165" s="255"/>
      <c r="J165" s="297">
        <f>2566000</f>
        <v>2566000</v>
      </c>
      <c r="K165" s="257"/>
      <c r="L165" s="258">
        <f t="shared" si="4"/>
        <v>0</v>
      </c>
      <c r="M165" s="259">
        <f t="shared" si="7"/>
        <v>-2566000</v>
      </c>
      <c r="N165" s="281">
        <f>IF(A165&lt;&gt;"", J165 / VLOOKUP(A165, 'Курс валют'!$A:$D, 4, 0), "")</f>
        <v>213.83333333333334</v>
      </c>
      <c r="O165" s="261"/>
    </row>
    <row r="166" spans="1:15" x14ac:dyDescent="0.45">
      <c r="A166" s="264">
        <v>46116</v>
      </c>
      <c r="B166" s="263" t="s">
        <v>22</v>
      </c>
      <c r="C166" s="255" t="s">
        <v>69</v>
      </c>
      <c r="D166" s="291">
        <v>1</v>
      </c>
      <c r="E166" s="255" t="s">
        <v>22</v>
      </c>
      <c r="F166" s="256" t="s">
        <v>586</v>
      </c>
      <c r="G166" s="255" t="s">
        <v>514</v>
      </c>
      <c r="H166" s="294"/>
      <c r="I166" s="255"/>
      <c r="J166" s="297">
        <v>2024000</v>
      </c>
      <c r="K166" s="257"/>
      <c r="L166" s="258">
        <f t="shared" ref="L166:L175" si="8">IF(G166="USD", H166*I166, H166)-IF(G166="USD", J166*K166, K166)</f>
        <v>0</v>
      </c>
      <c r="M166" s="259">
        <f t="shared" si="7"/>
        <v>-2024000</v>
      </c>
      <c r="N166" s="281">
        <f>IF(A166&lt;&gt;"", J166 / VLOOKUP(A166, 'Курс валют'!$A:$D, 4, 0), "")</f>
        <v>168.66666666666666</v>
      </c>
      <c r="O166" s="261"/>
    </row>
    <row r="167" spans="1:15" x14ac:dyDescent="0.45">
      <c r="A167" s="264">
        <v>46116</v>
      </c>
      <c r="B167" s="263" t="s">
        <v>556</v>
      </c>
      <c r="C167" s="255" t="s">
        <v>65</v>
      </c>
      <c r="D167" s="291">
        <v>1</v>
      </c>
      <c r="E167" s="255" t="s">
        <v>91</v>
      </c>
      <c r="F167" s="256" t="s">
        <v>175</v>
      </c>
      <c r="G167" s="255" t="s">
        <v>514</v>
      </c>
      <c r="H167" s="294"/>
      <c r="I167" s="255"/>
      <c r="J167" s="297">
        <v>100000</v>
      </c>
      <c r="K167" s="257"/>
      <c r="L167" s="258">
        <f t="shared" si="8"/>
        <v>0</v>
      </c>
      <c r="M167" s="259">
        <f t="shared" si="7"/>
        <v>-100000</v>
      </c>
      <c r="N167" s="281">
        <f>IF(A167&lt;&gt;"", J167 / VLOOKUP(A167, 'Курс валют'!$A:$D, 4, 0), "")</f>
        <v>8.3333333333333339</v>
      </c>
      <c r="O167" s="261"/>
    </row>
    <row r="168" spans="1:15" x14ac:dyDescent="0.45">
      <c r="A168" s="264">
        <v>46116</v>
      </c>
      <c r="B168" s="263" t="s">
        <v>239</v>
      </c>
      <c r="C168" s="255" t="s">
        <v>97</v>
      </c>
      <c r="D168" s="291">
        <v>1</v>
      </c>
      <c r="E168" s="255" t="s">
        <v>593</v>
      </c>
      <c r="F168" s="256" t="s">
        <v>175</v>
      </c>
      <c r="G168" s="255" t="s">
        <v>514</v>
      </c>
      <c r="H168" s="294"/>
      <c r="I168" s="255"/>
      <c r="J168" s="297">
        <v>50000</v>
      </c>
      <c r="K168" s="257"/>
      <c r="L168" s="258">
        <f t="shared" si="8"/>
        <v>0</v>
      </c>
      <c r="M168" s="259">
        <f t="shared" si="7"/>
        <v>-50000</v>
      </c>
      <c r="N168" s="281">
        <f>IF(A168&lt;&gt;"", J168 / VLOOKUP(A168, 'Курс валют'!$A:$D, 4, 0), "")</f>
        <v>4.166666666666667</v>
      </c>
      <c r="O168" s="261"/>
    </row>
    <row r="169" spans="1:15" x14ac:dyDescent="0.45">
      <c r="A169" s="264">
        <v>46116</v>
      </c>
      <c r="B169" s="263" t="s">
        <v>576</v>
      </c>
      <c r="C169" s="255" t="s">
        <v>65</v>
      </c>
      <c r="D169" s="291">
        <v>1</v>
      </c>
      <c r="E169" s="255" t="s">
        <v>579</v>
      </c>
      <c r="F169" s="256" t="s">
        <v>586</v>
      </c>
      <c r="G169" s="255" t="s">
        <v>514</v>
      </c>
      <c r="H169" s="294"/>
      <c r="I169" s="255"/>
      <c r="J169" s="297">
        <v>412000</v>
      </c>
      <c r="K169" s="257"/>
      <c r="L169" s="258">
        <f t="shared" si="8"/>
        <v>0</v>
      </c>
      <c r="M169" s="259">
        <f t="shared" si="7"/>
        <v>-412000</v>
      </c>
      <c r="N169" s="281">
        <f>IF(A169&lt;&gt;"", J169 / VLOOKUP(A169, 'Курс валют'!$A:$D, 4, 0), "")</f>
        <v>34.333333333333336</v>
      </c>
      <c r="O169" s="261"/>
    </row>
    <row r="170" spans="1:15" x14ac:dyDescent="0.45">
      <c r="A170" s="264">
        <v>46117</v>
      </c>
      <c r="B170" s="263" t="s">
        <v>629</v>
      </c>
      <c r="C170" s="255" t="s">
        <v>69</v>
      </c>
      <c r="D170" s="291">
        <v>4</v>
      </c>
      <c r="E170" s="255" t="s">
        <v>579</v>
      </c>
      <c r="F170" s="256" t="s">
        <v>586</v>
      </c>
      <c r="G170" s="255" t="s">
        <v>514</v>
      </c>
      <c r="H170" s="294">
        <v>2060000</v>
      </c>
      <c r="I170" s="255"/>
      <c r="J170" s="297">
        <v>2060000</v>
      </c>
      <c r="K170" s="257"/>
      <c r="L170" s="258">
        <f t="shared" si="8"/>
        <v>2060000</v>
      </c>
      <c r="M170" s="259">
        <f t="shared" si="7"/>
        <v>0</v>
      </c>
      <c r="N170" s="281">
        <f>IF(A170&lt;&gt;"", J170 / VLOOKUP(A170, 'Курс валют'!$A:$D, 4, 0), "")</f>
        <v>171.66666666666666</v>
      </c>
      <c r="O170" s="261"/>
    </row>
    <row r="171" spans="1:15" x14ac:dyDescent="0.45">
      <c r="A171" s="264">
        <v>46118</v>
      </c>
      <c r="B171" s="263" t="s">
        <v>49</v>
      </c>
      <c r="C171" s="255" t="s">
        <v>69</v>
      </c>
      <c r="D171" s="291">
        <v>1</v>
      </c>
      <c r="E171" s="255" t="s">
        <v>579</v>
      </c>
      <c r="F171" s="256" t="s">
        <v>586</v>
      </c>
      <c r="G171" s="255" t="s">
        <v>514</v>
      </c>
      <c r="H171" s="294">
        <f>4880000*103%</f>
        <v>5026400</v>
      </c>
      <c r="I171" s="255"/>
      <c r="J171" s="297">
        <f>4880000*103%</f>
        <v>5026400</v>
      </c>
      <c r="K171" s="257"/>
      <c r="L171" s="258">
        <f t="shared" si="8"/>
        <v>5026400</v>
      </c>
      <c r="M171" s="259">
        <f t="shared" si="7"/>
        <v>0</v>
      </c>
      <c r="N171" s="281">
        <f>IF(A171&lt;&gt;"", J171 / VLOOKUP(A171, 'Курс валют'!$A:$D, 4, 0), "")</f>
        <v>418.86666666666667</v>
      </c>
      <c r="O171" s="261"/>
    </row>
    <row r="172" spans="1:15" x14ac:dyDescent="0.45">
      <c r="A172" s="264">
        <v>46118</v>
      </c>
      <c r="B172" s="263" t="s">
        <v>630</v>
      </c>
      <c r="C172" s="255" t="s">
        <v>65</v>
      </c>
      <c r="D172" s="291">
        <v>1</v>
      </c>
      <c r="E172" s="255" t="s">
        <v>581</v>
      </c>
      <c r="F172" s="256" t="s">
        <v>586</v>
      </c>
      <c r="G172" s="255" t="s">
        <v>514</v>
      </c>
      <c r="H172" s="294">
        <f>130000*103%</f>
        <v>133900</v>
      </c>
      <c r="I172" s="255"/>
      <c r="J172" s="297">
        <f>130000*103%</f>
        <v>133900</v>
      </c>
      <c r="K172" s="257"/>
      <c r="L172" s="258">
        <f t="shared" si="8"/>
        <v>133900</v>
      </c>
      <c r="M172" s="259">
        <f t="shared" si="7"/>
        <v>0</v>
      </c>
      <c r="N172" s="281">
        <f>IF(A172&lt;&gt;"", J172 / VLOOKUP(A172, 'Курс валют'!$A:$D, 4, 0), "")</f>
        <v>11.158333333333333</v>
      </c>
      <c r="O172" s="261"/>
    </row>
    <row r="173" spans="1:15" x14ac:dyDescent="0.45">
      <c r="A173" s="264">
        <v>46118</v>
      </c>
      <c r="B173" s="263" t="s">
        <v>581</v>
      </c>
      <c r="C173" s="255" t="s">
        <v>69</v>
      </c>
      <c r="D173" s="291">
        <v>1</v>
      </c>
      <c r="E173" s="255" t="s">
        <v>581</v>
      </c>
      <c r="F173" s="256" t="s">
        <v>586</v>
      </c>
      <c r="G173" s="255" t="s">
        <v>514</v>
      </c>
      <c r="H173" s="294">
        <f>7116000*103%</f>
        <v>7329480</v>
      </c>
      <c r="I173" s="255"/>
      <c r="J173" s="297">
        <f>7116000*103%</f>
        <v>7329480</v>
      </c>
      <c r="K173" s="257"/>
      <c r="L173" s="258">
        <f t="shared" si="8"/>
        <v>7329480</v>
      </c>
      <c r="M173" s="259">
        <f t="shared" si="7"/>
        <v>0</v>
      </c>
      <c r="N173" s="281">
        <f>IF(A173&lt;&gt;"", J173 / VLOOKUP(A173, 'Курс валют'!$A:$D, 4, 0), "")</f>
        <v>610.79</v>
      </c>
      <c r="O173" s="261"/>
    </row>
    <row r="174" spans="1:15" x14ac:dyDescent="0.45">
      <c r="A174" s="264">
        <v>46120</v>
      </c>
      <c r="B174" s="263" t="s">
        <v>325</v>
      </c>
      <c r="C174" s="255" t="s">
        <v>69</v>
      </c>
      <c r="D174" s="291">
        <v>1</v>
      </c>
      <c r="E174" s="255" t="s">
        <v>581</v>
      </c>
      <c r="F174" s="256" t="s">
        <v>586</v>
      </c>
      <c r="G174" s="255" t="s">
        <v>514</v>
      </c>
      <c r="H174" s="294">
        <f>346500*103%</f>
        <v>356895</v>
      </c>
      <c r="I174" s="255"/>
      <c r="J174" s="297">
        <f>346500*103%</f>
        <v>356895</v>
      </c>
      <c r="K174" s="257"/>
      <c r="L174" s="258">
        <f t="shared" si="8"/>
        <v>356895</v>
      </c>
      <c r="M174" s="259">
        <f t="shared" si="7"/>
        <v>0</v>
      </c>
      <c r="N174" s="281">
        <f>IF(A174&lt;&gt;"", J174 / VLOOKUP(A174, 'Курс валют'!$A:$D, 4, 0), "")</f>
        <v>29.374074074074073</v>
      </c>
      <c r="O174" s="261"/>
    </row>
    <row r="175" spans="1:15" x14ac:dyDescent="0.45">
      <c r="A175" s="264">
        <v>46121</v>
      </c>
      <c r="B175" s="263" t="s">
        <v>559</v>
      </c>
      <c r="C175" s="255" t="s">
        <v>65</v>
      </c>
      <c r="D175" s="291">
        <v>1</v>
      </c>
      <c r="E175" s="255" t="s">
        <v>631</v>
      </c>
      <c r="F175" s="256" t="s">
        <v>175</v>
      </c>
      <c r="G175" s="255" t="s">
        <v>514</v>
      </c>
      <c r="H175" s="294">
        <v>2000000</v>
      </c>
      <c r="I175" s="255"/>
      <c r="J175" s="297">
        <v>2000000</v>
      </c>
      <c r="K175" s="257"/>
      <c r="L175" s="258">
        <f t="shared" si="8"/>
        <v>2000000</v>
      </c>
      <c r="M175" s="259">
        <f t="shared" si="7"/>
        <v>0</v>
      </c>
      <c r="N175" s="281">
        <f>IF(A175&lt;&gt;"", J175 / VLOOKUP(A175, 'Курс валют'!$A:$D, 4, 0), "")</f>
        <v>164.6090534979424</v>
      </c>
      <c r="O175" s="261"/>
    </row>
    <row r="176" spans="1:15" x14ac:dyDescent="0.45">
      <c r="A176" s="264">
        <v>46122</v>
      </c>
      <c r="B176" s="263" t="s">
        <v>628</v>
      </c>
      <c r="C176" s="255"/>
      <c r="D176" s="291"/>
      <c r="E176" s="255" t="s">
        <v>145</v>
      </c>
      <c r="F176" s="256" t="s">
        <v>586</v>
      </c>
      <c r="G176" s="255" t="s">
        <v>514</v>
      </c>
      <c r="H176" s="294">
        <v>12000000</v>
      </c>
      <c r="I176" s="255"/>
      <c r="J176" s="297"/>
      <c r="K176" s="257"/>
      <c r="L176" s="258"/>
      <c r="M176" s="259"/>
      <c r="N176" s="281">
        <f>IF(A176&lt;&gt;"", J176 / VLOOKUP(A176, 'Курс валют'!$A:$D, 4, 0), "")</f>
        <v>0</v>
      </c>
      <c r="O176" s="261"/>
    </row>
    <row r="177" spans="1:15" x14ac:dyDescent="0.45">
      <c r="A177" s="264">
        <v>46122</v>
      </c>
      <c r="B177" s="263" t="s">
        <v>632</v>
      </c>
      <c r="C177" s="255" t="s">
        <v>69</v>
      </c>
      <c r="D177" s="291">
        <v>1</v>
      </c>
      <c r="E177" s="255" t="s">
        <v>559</v>
      </c>
      <c r="F177" s="256" t="s">
        <v>586</v>
      </c>
      <c r="G177" s="255" t="s">
        <v>514</v>
      </c>
      <c r="H177" s="294"/>
      <c r="I177" s="255"/>
      <c r="J177" s="297">
        <v>620000</v>
      </c>
      <c r="K177" s="257"/>
      <c r="L177" s="258">
        <f t="shared" ref="L177:L208" si="9">IF(G177="USD", H177*I177, H177)-IF(G177="USD", J177*K177, K177)</f>
        <v>0</v>
      </c>
      <c r="M177" s="259">
        <f t="shared" ref="M177:M208" si="10">H177-J177</f>
        <v>-620000</v>
      </c>
      <c r="N177" s="281">
        <f>IF(A177&lt;&gt;"", J177 / VLOOKUP(A177, 'Курс валют'!$A:$D, 4, 0), "")</f>
        <v>50.819672131147541</v>
      </c>
      <c r="O177" s="261"/>
    </row>
    <row r="178" spans="1:15" x14ac:dyDescent="0.45">
      <c r="A178" s="264">
        <v>46122</v>
      </c>
      <c r="B178" s="263" t="s">
        <v>633</v>
      </c>
      <c r="C178" s="255" t="s">
        <v>85</v>
      </c>
      <c r="D178" s="291">
        <v>108</v>
      </c>
      <c r="E178" s="255" t="s">
        <v>579</v>
      </c>
      <c r="F178" s="256" t="s">
        <v>175</v>
      </c>
      <c r="G178" s="255" t="s">
        <v>514</v>
      </c>
      <c r="H178" s="294"/>
      <c r="I178" s="255"/>
      <c r="J178" s="297">
        <f>Таблица3[[#This Row],[К-во]]*61000+112000</f>
        <v>6700000</v>
      </c>
      <c r="K178" s="257"/>
      <c r="L178" s="258">
        <f t="shared" si="9"/>
        <v>0</v>
      </c>
      <c r="M178" s="259">
        <f t="shared" si="10"/>
        <v>-6700000</v>
      </c>
      <c r="N178" s="281">
        <f>IF(A178&lt;&gt;"", J178 / VLOOKUP(A178, 'Курс валют'!$A:$D, 4, 0), "")</f>
        <v>549.18032786885249</v>
      </c>
      <c r="O178" s="261"/>
    </row>
    <row r="179" spans="1:15" x14ac:dyDescent="0.45">
      <c r="A179" s="264">
        <v>46122</v>
      </c>
      <c r="B179" s="263" t="s">
        <v>634</v>
      </c>
      <c r="C179" s="255" t="s">
        <v>65</v>
      </c>
      <c r="D179" s="291">
        <v>1</v>
      </c>
      <c r="E179" s="255" t="s">
        <v>635</v>
      </c>
      <c r="F179" s="256" t="s">
        <v>586</v>
      </c>
      <c r="G179" s="255" t="s">
        <v>514</v>
      </c>
      <c r="H179" s="294"/>
      <c r="I179" s="255"/>
      <c r="J179" s="297">
        <v>601500</v>
      </c>
      <c r="K179" s="257"/>
      <c r="L179" s="258">
        <f t="shared" si="9"/>
        <v>0</v>
      </c>
      <c r="M179" s="259">
        <f t="shared" si="10"/>
        <v>-601500</v>
      </c>
      <c r="N179" s="281">
        <f>IF(A179&lt;&gt;"", J179 / VLOOKUP(A179, 'Курс валют'!$A:$D, 4, 0), "")</f>
        <v>49.303278688524593</v>
      </c>
      <c r="O179" s="261"/>
    </row>
    <row r="180" spans="1:15" x14ac:dyDescent="0.45">
      <c r="A180" s="264">
        <v>46123</v>
      </c>
      <c r="B180" s="263" t="s">
        <v>82</v>
      </c>
      <c r="C180" s="255" t="s">
        <v>59</v>
      </c>
      <c r="D180" s="291">
        <v>25</v>
      </c>
      <c r="E180" s="255" t="s">
        <v>22</v>
      </c>
      <c r="F180" s="256" t="s">
        <v>586</v>
      </c>
      <c r="G180" s="255" t="s">
        <v>514</v>
      </c>
      <c r="H180" s="294"/>
      <c r="I180" s="255"/>
      <c r="J180" s="297">
        <v>2737000</v>
      </c>
      <c r="K180" s="257"/>
      <c r="L180" s="258">
        <f t="shared" si="9"/>
        <v>0</v>
      </c>
      <c r="M180" s="259">
        <f t="shared" si="10"/>
        <v>-2737000</v>
      </c>
      <c r="N180" s="281">
        <f>IF(A180&lt;&gt;"", J180 / VLOOKUP(A180, 'Курс валют'!$A:$D, 4, 0), "")</f>
        <v>224.34426229508196</v>
      </c>
      <c r="O180" s="261"/>
    </row>
    <row r="181" spans="1:15" x14ac:dyDescent="0.45">
      <c r="A181" s="264">
        <v>46123</v>
      </c>
      <c r="B181" s="263" t="s">
        <v>525</v>
      </c>
      <c r="C181" s="255" t="s">
        <v>69</v>
      </c>
      <c r="D181" s="291">
        <v>1</v>
      </c>
      <c r="E181" s="255" t="s">
        <v>22</v>
      </c>
      <c r="F181" s="256" t="s">
        <v>586</v>
      </c>
      <c r="G181" s="255" t="s">
        <v>514</v>
      </c>
      <c r="H181" s="294"/>
      <c r="I181" s="255"/>
      <c r="J181" s="297">
        <f>3440000*103%</f>
        <v>3543200</v>
      </c>
      <c r="K181" s="257"/>
      <c r="L181" s="258">
        <f t="shared" si="9"/>
        <v>0</v>
      </c>
      <c r="M181" s="259">
        <f t="shared" si="10"/>
        <v>-3543200</v>
      </c>
      <c r="N181" s="281">
        <f>IF(A181&lt;&gt;"", J181 / VLOOKUP(A181, 'Курс валют'!$A:$D, 4, 0), "")</f>
        <v>290.42622950819674</v>
      </c>
      <c r="O181" s="261"/>
    </row>
    <row r="182" spans="1:15" x14ac:dyDescent="0.45">
      <c r="A182" s="264">
        <v>46125</v>
      </c>
      <c r="B182" s="263" t="s">
        <v>554</v>
      </c>
      <c r="C182" s="255" t="s">
        <v>97</v>
      </c>
      <c r="D182" s="291">
        <v>320</v>
      </c>
      <c r="E182" s="255" t="s">
        <v>581</v>
      </c>
      <c r="F182" s="256" t="s">
        <v>586</v>
      </c>
      <c r="G182" s="255" t="s">
        <v>514</v>
      </c>
      <c r="H182" s="294"/>
      <c r="I182" s="255"/>
      <c r="J182" s="297">
        <f>3840000*103%</f>
        <v>3955200</v>
      </c>
      <c r="K182" s="257"/>
      <c r="L182" s="258">
        <f t="shared" si="9"/>
        <v>0</v>
      </c>
      <c r="M182" s="259">
        <f t="shared" si="10"/>
        <v>-3955200</v>
      </c>
      <c r="N182" s="281">
        <f>IF(A182&lt;&gt;"", J182 / VLOOKUP(A182, 'Курс валют'!$A:$D, 4, 0), "")</f>
        <v>325.53086419753089</v>
      </c>
      <c r="O182" s="261"/>
    </row>
    <row r="183" spans="1:15" x14ac:dyDescent="0.45">
      <c r="A183" s="264">
        <v>46125</v>
      </c>
      <c r="B183" s="263" t="s">
        <v>636</v>
      </c>
      <c r="C183" s="255" t="s">
        <v>65</v>
      </c>
      <c r="D183" s="291">
        <v>1</v>
      </c>
      <c r="E183" s="255" t="s">
        <v>91</v>
      </c>
      <c r="F183" s="256" t="s">
        <v>175</v>
      </c>
      <c r="G183" s="255" t="s">
        <v>514</v>
      </c>
      <c r="H183" s="294"/>
      <c r="I183" s="255"/>
      <c r="J183" s="297">
        <v>180000</v>
      </c>
      <c r="K183" s="257"/>
      <c r="L183" s="258">
        <f t="shared" si="9"/>
        <v>0</v>
      </c>
      <c r="M183" s="259">
        <f t="shared" si="10"/>
        <v>-180000</v>
      </c>
      <c r="N183" s="281">
        <f>IF(A183&lt;&gt;"", J183 / VLOOKUP(A183, 'Курс валют'!$A:$D, 4, 0), "")</f>
        <v>14.814814814814815</v>
      </c>
      <c r="O183" s="261"/>
    </row>
    <row r="184" spans="1:15" x14ac:dyDescent="0.45">
      <c r="A184" s="264">
        <v>46125</v>
      </c>
      <c r="B184" s="263" t="s">
        <v>567</v>
      </c>
      <c r="C184" s="255" t="s">
        <v>69</v>
      </c>
      <c r="D184" s="291">
        <v>1</v>
      </c>
      <c r="E184" s="255" t="s">
        <v>581</v>
      </c>
      <c r="F184" s="256" t="s">
        <v>586</v>
      </c>
      <c r="G184" s="255" t="s">
        <v>514</v>
      </c>
      <c r="H184" s="294"/>
      <c r="I184" s="255"/>
      <c r="J184" s="297">
        <f>3900000*103%</f>
        <v>4017000</v>
      </c>
      <c r="K184" s="257"/>
      <c r="L184" s="258">
        <f t="shared" si="9"/>
        <v>0</v>
      </c>
      <c r="M184" s="259">
        <f t="shared" si="10"/>
        <v>-4017000</v>
      </c>
      <c r="N184" s="281">
        <f>IF(A184&lt;&gt;"", J184 / VLOOKUP(A184, 'Курс валют'!$A:$D, 4, 0), "")</f>
        <v>330.61728395061726</v>
      </c>
      <c r="O184" s="261"/>
    </row>
    <row r="185" spans="1:15" x14ac:dyDescent="0.45">
      <c r="A185" s="264">
        <v>46127</v>
      </c>
      <c r="B185" s="263" t="s">
        <v>595</v>
      </c>
      <c r="C185" s="255" t="s">
        <v>591</v>
      </c>
      <c r="D185" s="291">
        <v>1</v>
      </c>
      <c r="E185" s="255" t="s">
        <v>145</v>
      </c>
      <c r="F185" s="256" t="s">
        <v>175</v>
      </c>
      <c r="G185" s="255" t="s">
        <v>514</v>
      </c>
      <c r="H185" s="294">
        <v>11500000</v>
      </c>
      <c r="I185" s="255"/>
      <c r="J185" s="297">
        <v>1145000</v>
      </c>
      <c r="K185" s="257"/>
      <c r="L185" s="258">
        <f t="shared" si="9"/>
        <v>11500000</v>
      </c>
      <c r="M185" s="259">
        <f t="shared" si="10"/>
        <v>10355000</v>
      </c>
      <c r="N185" s="281">
        <f>IF(A185&lt;&gt;"", J185 / VLOOKUP(A185, 'Курс валют'!$A:$D, 4, 0), "")</f>
        <v>95.416666666666671</v>
      </c>
      <c r="O185" s="261"/>
    </row>
    <row r="186" spans="1:15" x14ac:dyDescent="0.45">
      <c r="A186" s="264">
        <v>46129</v>
      </c>
      <c r="B186" s="263" t="s">
        <v>637</v>
      </c>
      <c r="C186" s="255" t="s">
        <v>65</v>
      </c>
      <c r="D186" s="291">
        <v>1</v>
      </c>
      <c r="E186" s="255" t="s">
        <v>91</v>
      </c>
      <c r="F186" s="256" t="s">
        <v>175</v>
      </c>
      <c r="G186" s="255" t="s">
        <v>514</v>
      </c>
      <c r="H186" s="294">
        <v>1800000</v>
      </c>
      <c r="I186" s="255"/>
      <c r="J186" s="297">
        <v>1800000</v>
      </c>
      <c r="K186" s="257"/>
      <c r="L186" s="258">
        <f t="shared" si="9"/>
        <v>1800000</v>
      </c>
      <c r="M186" s="259">
        <f t="shared" si="10"/>
        <v>0</v>
      </c>
      <c r="N186" s="281">
        <f>IF(A186&lt;&gt;"", J186 / VLOOKUP(A186, 'Курс валют'!$A:$D, 4, 0), "")</f>
        <v>147.54098360655738</v>
      </c>
      <c r="O186" s="261"/>
    </row>
    <row r="187" spans="1:15" x14ac:dyDescent="0.45">
      <c r="A187" s="264">
        <v>46129</v>
      </c>
      <c r="B187" s="263" t="s">
        <v>82</v>
      </c>
      <c r="C187" s="255" t="s">
        <v>611</v>
      </c>
      <c r="D187" s="291">
        <v>1</v>
      </c>
      <c r="E187" s="255" t="s">
        <v>22</v>
      </c>
      <c r="F187" s="256" t="s">
        <v>586</v>
      </c>
      <c r="G187" s="255" t="s">
        <v>514</v>
      </c>
      <c r="H187" s="294"/>
      <c r="I187" s="255"/>
      <c r="J187" s="297">
        <f>2957000*103%</f>
        <v>3045710</v>
      </c>
      <c r="K187" s="257"/>
      <c r="L187" s="258">
        <f t="shared" si="9"/>
        <v>0</v>
      </c>
      <c r="M187" s="259">
        <f t="shared" si="10"/>
        <v>-3045710</v>
      </c>
      <c r="N187" s="281">
        <f>IF(A187&lt;&gt;"", J187 / VLOOKUP(A187, 'Курс валют'!$A:$D, 4, 0), "")</f>
        <v>249.64836065573772</v>
      </c>
      <c r="O187" s="261"/>
    </row>
    <row r="188" spans="1:15" x14ac:dyDescent="0.45">
      <c r="A188" s="264">
        <v>46129</v>
      </c>
      <c r="B188" s="263" t="s">
        <v>525</v>
      </c>
      <c r="C188" s="255" t="s">
        <v>69</v>
      </c>
      <c r="D188" s="291">
        <v>1</v>
      </c>
      <c r="E188" s="255" t="s">
        <v>22</v>
      </c>
      <c r="F188" s="256" t="s">
        <v>586</v>
      </c>
      <c r="G188" s="255" t="s">
        <v>514</v>
      </c>
      <c r="H188" s="294">
        <v>80000</v>
      </c>
      <c r="I188" s="255"/>
      <c r="J188" s="297">
        <f>4290000*103%+80000</f>
        <v>4498700</v>
      </c>
      <c r="K188" s="257"/>
      <c r="L188" s="258">
        <f t="shared" si="9"/>
        <v>80000</v>
      </c>
      <c r="M188" s="259">
        <f t="shared" si="10"/>
        <v>-4418700</v>
      </c>
      <c r="N188" s="281">
        <f>IF(A188&lt;&gt;"", J188 / VLOOKUP(A188, 'Курс валют'!$A:$D, 4, 0), "")</f>
        <v>368.74590163934425</v>
      </c>
      <c r="O188" s="261"/>
    </row>
    <row r="189" spans="1:15" x14ac:dyDescent="0.45">
      <c r="A189" s="264">
        <v>46129</v>
      </c>
      <c r="B189" s="263" t="s">
        <v>616</v>
      </c>
      <c r="C189" s="255" t="s">
        <v>85</v>
      </c>
      <c r="D189" s="291">
        <v>500</v>
      </c>
      <c r="E189" s="255" t="s">
        <v>581</v>
      </c>
      <c r="F189" s="256" t="s">
        <v>586</v>
      </c>
      <c r="G189" s="255" t="s">
        <v>514</v>
      </c>
      <c r="H189" s="294"/>
      <c r="I189" s="255"/>
      <c r="J189" s="297">
        <f>((Таблица3[[#This Row],[К-во]]*3000)+125000)*103%</f>
        <v>1673750</v>
      </c>
      <c r="K189" s="257"/>
      <c r="L189" s="258">
        <f t="shared" si="9"/>
        <v>0</v>
      </c>
      <c r="M189" s="259">
        <f t="shared" si="10"/>
        <v>-1673750</v>
      </c>
      <c r="N189" s="281">
        <f>IF(A189&lt;&gt;"", J189 / VLOOKUP(A189, 'Курс валют'!$A:$D, 4, 0), "")</f>
        <v>137.19262295081967</v>
      </c>
      <c r="O189" s="261"/>
    </row>
    <row r="190" spans="1:15" x14ac:dyDescent="0.45">
      <c r="A190" s="264">
        <v>46132</v>
      </c>
      <c r="B190" s="263" t="s">
        <v>623</v>
      </c>
      <c r="C190" s="255" t="s">
        <v>543</v>
      </c>
      <c r="D190" s="291">
        <v>3</v>
      </c>
      <c r="E190" s="255" t="s">
        <v>624</v>
      </c>
      <c r="F190" s="256" t="s">
        <v>175</v>
      </c>
      <c r="G190" s="255" t="s">
        <v>514</v>
      </c>
      <c r="H190" s="294"/>
      <c r="I190" s="255"/>
      <c r="J190" s="297">
        <v>150000</v>
      </c>
      <c r="K190" s="257"/>
      <c r="L190" s="258">
        <f t="shared" si="9"/>
        <v>0</v>
      </c>
      <c r="M190" s="259">
        <f t="shared" si="10"/>
        <v>-150000</v>
      </c>
      <c r="N190" s="281">
        <f>IF(A190&lt;&gt;"", J190 / VLOOKUP(A190, 'Курс валют'!$A:$D, 4, 0), "")</f>
        <v>12.458471760797343</v>
      </c>
      <c r="O190" s="261"/>
    </row>
    <row r="191" spans="1:15" x14ac:dyDescent="0.45">
      <c r="A191" s="264">
        <v>46132</v>
      </c>
      <c r="B191" s="263" t="s">
        <v>590</v>
      </c>
      <c r="C191" s="255" t="s">
        <v>591</v>
      </c>
      <c r="D191" s="291">
        <v>1</v>
      </c>
      <c r="E191" s="255" t="s">
        <v>145</v>
      </c>
      <c r="F191" s="256" t="s">
        <v>175</v>
      </c>
      <c r="G191" s="255" t="s">
        <v>30</v>
      </c>
      <c r="H191" s="294">
        <v>1700</v>
      </c>
      <c r="I191" s="255">
        <v>12040</v>
      </c>
      <c r="J191" s="297"/>
      <c r="K191" s="257"/>
      <c r="L191" s="258">
        <f t="shared" si="9"/>
        <v>20468000</v>
      </c>
      <c r="M191" s="259">
        <f t="shared" si="10"/>
        <v>1700</v>
      </c>
      <c r="N191" s="281">
        <f>IF(A191&lt;&gt;"", J191 / VLOOKUP(A191, 'Курс валют'!$A:$D, 4, 0), "")</f>
        <v>0</v>
      </c>
      <c r="O191" s="261"/>
    </row>
    <row r="192" spans="1:15" x14ac:dyDescent="0.45">
      <c r="A192" s="264">
        <v>46132</v>
      </c>
      <c r="B192" s="263" t="s">
        <v>228</v>
      </c>
      <c r="C192" s="255" t="s">
        <v>59</v>
      </c>
      <c r="D192" s="291">
        <v>1011</v>
      </c>
      <c r="E192" s="255" t="s">
        <v>581</v>
      </c>
      <c r="F192" s="256" t="s">
        <v>175</v>
      </c>
      <c r="G192" s="255" t="s">
        <v>514</v>
      </c>
      <c r="H192" s="294"/>
      <c r="I192" s="255"/>
      <c r="J192" s="297">
        <f>Таблица3[[#This Row],[К-во]]*9500+300000</f>
        <v>9904500</v>
      </c>
      <c r="K192" s="257"/>
      <c r="L192" s="258">
        <f t="shared" si="9"/>
        <v>0</v>
      </c>
      <c r="M192" s="259">
        <f t="shared" si="10"/>
        <v>-9904500</v>
      </c>
      <c r="N192" s="281">
        <f>IF(A192&lt;&gt;"", J192 / VLOOKUP(A192, 'Курс валют'!$A:$D, 4, 0), "")</f>
        <v>822.63289036544847</v>
      </c>
      <c r="O192" s="261"/>
    </row>
    <row r="193" spans="1:15" x14ac:dyDescent="0.45">
      <c r="A193" s="264">
        <v>46132</v>
      </c>
      <c r="B193" s="263" t="s">
        <v>613</v>
      </c>
      <c r="C193" s="255" t="s">
        <v>69</v>
      </c>
      <c r="D193" s="291">
        <v>24</v>
      </c>
      <c r="E193" s="255" t="s">
        <v>581</v>
      </c>
      <c r="F193" s="256" t="s">
        <v>586</v>
      </c>
      <c r="G193" s="255" t="s">
        <v>514</v>
      </c>
      <c r="H193" s="294"/>
      <c r="I193" s="255"/>
      <c r="J193" s="297">
        <f>45000*Таблица3[[#This Row],[К-во]]</f>
        <v>1080000</v>
      </c>
      <c r="K193" s="257"/>
      <c r="L193" s="258">
        <f t="shared" si="9"/>
        <v>0</v>
      </c>
      <c r="M193" s="259">
        <f t="shared" si="10"/>
        <v>-1080000</v>
      </c>
      <c r="N193" s="281">
        <f>IF(A193&lt;&gt;"", J193 / VLOOKUP(A193, 'Курс валют'!$A:$D, 4, 0), "")</f>
        <v>89.700996677740861</v>
      </c>
      <c r="O193" s="261"/>
    </row>
    <row r="194" spans="1:15" x14ac:dyDescent="0.45">
      <c r="A194" s="264">
        <v>46132</v>
      </c>
      <c r="B194" s="263" t="s">
        <v>534</v>
      </c>
      <c r="C194" s="255" t="s">
        <v>69</v>
      </c>
      <c r="D194" s="291">
        <v>1</v>
      </c>
      <c r="E194" s="255" t="s">
        <v>638</v>
      </c>
      <c r="F194" s="256" t="s">
        <v>586</v>
      </c>
      <c r="G194" s="255" t="s">
        <v>514</v>
      </c>
      <c r="H194" s="294"/>
      <c r="I194" s="255"/>
      <c r="J194" s="297">
        <v>244000</v>
      </c>
      <c r="K194" s="257"/>
      <c r="L194" s="258">
        <f t="shared" si="9"/>
        <v>0</v>
      </c>
      <c r="M194" s="259">
        <f t="shared" si="10"/>
        <v>-244000</v>
      </c>
      <c r="N194" s="281">
        <f>IF(A194&lt;&gt;"", J194 / VLOOKUP(A194, 'Курс валют'!$A:$D, 4, 0), "")</f>
        <v>20.26578073089701</v>
      </c>
      <c r="O194" s="261"/>
    </row>
    <row r="195" spans="1:15" x14ac:dyDescent="0.45">
      <c r="A195" s="264">
        <v>46132</v>
      </c>
      <c r="B195" s="263" t="s">
        <v>614</v>
      </c>
      <c r="C195" s="255" t="s">
        <v>69</v>
      </c>
      <c r="D195" s="291">
        <v>1</v>
      </c>
      <c r="E195" s="255" t="s">
        <v>581</v>
      </c>
      <c r="F195" s="256" t="s">
        <v>175</v>
      </c>
      <c r="G195" s="255" t="s">
        <v>514</v>
      </c>
      <c r="H195" s="294"/>
      <c r="I195" s="255"/>
      <c r="J195" s="297">
        <v>400000</v>
      </c>
      <c r="K195" s="257"/>
      <c r="L195" s="258">
        <f t="shared" si="9"/>
        <v>0</v>
      </c>
      <c r="M195" s="259">
        <f t="shared" si="10"/>
        <v>-400000</v>
      </c>
      <c r="N195" s="281">
        <f>IF(A195&lt;&gt;"", J195 / VLOOKUP(A195, 'Курс валют'!$A:$D, 4, 0), "")</f>
        <v>33.222591362126245</v>
      </c>
      <c r="O195" s="261"/>
    </row>
    <row r="196" spans="1:15" x14ac:dyDescent="0.45">
      <c r="A196" s="264">
        <v>46132</v>
      </c>
      <c r="B196" s="263" t="s">
        <v>639</v>
      </c>
      <c r="C196" s="255" t="s">
        <v>69</v>
      </c>
      <c r="D196" s="291">
        <v>1</v>
      </c>
      <c r="E196" s="255" t="s">
        <v>625</v>
      </c>
      <c r="F196" s="256" t="s">
        <v>175</v>
      </c>
      <c r="G196" s="255" t="s">
        <v>514</v>
      </c>
      <c r="H196" s="294"/>
      <c r="I196" s="255"/>
      <c r="J196" s="297">
        <v>60000</v>
      </c>
      <c r="K196" s="257"/>
      <c r="L196" s="258">
        <f t="shared" si="9"/>
        <v>0</v>
      </c>
      <c r="M196" s="259">
        <f t="shared" si="10"/>
        <v>-60000</v>
      </c>
      <c r="N196" s="281">
        <f>IF(A196&lt;&gt;"", J196 / VLOOKUP(A196, 'Курс валют'!$A:$D, 4, 0), "")</f>
        <v>4.9833887043189371</v>
      </c>
      <c r="O196" s="261"/>
    </row>
    <row r="197" spans="1:15" x14ac:dyDescent="0.45">
      <c r="A197" s="264">
        <v>46132</v>
      </c>
      <c r="B197" s="263" t="s">
        <v>640</v>
      </c>
      <c r="C197" s="255" t="s">
        <v>69</v>
      </c>
      <c r="D197" s="291">
        <v>1</v>
      </c>
      <c r="E197" s="255" t="s">
        <v>581</v>
      </c>
      <c r="F197" s="256" t="s">
        <v>586</v>
      </c>
      <c r="G197" s="255" t="s">
        <v>514</v>
      </c>
      <c r="H197" s="294"/>
      <c r="I197" s="255"/>
      <c r="J197" s="297">
        <f>4176500*103%</f>
        <v>4301795</v>
      </c>
      <c r="K197" s="257"/>
      <c r="L197" s="258">
        <f t="shared" si="9"/>
        <v>0</v>
      </c>
      <c r="M197" s="259">
        <f t="shared" si="10"/>
        <v>-4301795</v>
      </c>
      <c r="N197" s="281">
        <f>IF(A197&lt;&gt;"", J197 / VLOOKUP(A197, 'Курс валют'!$A:$D, 4, 0), "")</f>
        <v>357.2919435215947</v>
      </c>
      <c r="O197" s="261"/>
    </row>
    <row r="198" spans="1:15" x14ac:dyDescent="0.45">
      <c r="A198" s="264">
        <v>46132</v>
      </c>
      <c r="B198" s="263" t="s">
        <v>595</v>
      </c>
      <c r="C198" s="255" t="s">
        <v>591</v>
      </c>
      <c r="D198" s="291">
        <v>1</v>
      </c>
      <c r="E198" s="255" t="s">
        <v>145</v>
      </c>
      <c r="F198" s="256" t="s">
        <v>175</v>
      </c>
      <c r="G198" s="255" t="s">
        <v>514</v>
      </c>
      <c r="H198" s="294">
        <v>4444000</v>
      </c>
      <c r="I198" s="255"/>
      <c r="J198" s="297"/>
      <c r="K198" s="257"/>
      <c r="L198" s="258">
        <f t="shared" si="9"/>
        <v>4444000</v>
      </c>
      <c r="M198" s="259">
        <f t="shared" si="10"/>
        <v>4444000</v>
      </c>
      <c r="N198" s="281">
        <f>IF(A198&lt;&gt;"", J198 / VLOOKUP(A198, 'Курс валют'!$A:$D, 4, 0), "")</f>
        <v>0</v>
      </c>
      <c r="O198" s="261"/>
    </row>
    <row r="199" spans="1:15" x14ac:dyDescent="0.45">
      <c r="A199" s="264">
        <v>46134</v>
      </c>
      <c r="B199" s="263" t="s">
        <v>576</v>
      </c>
      <c r="C199" s="255" t="s">
        <v>65</v>
      </c>
      <c r="D199" s="291">
        <v>1</v>
      </c>
      <c r="E199" s="255" t="s">
        <v>641</v>
      </c>
      <c r="F199" s="256" t="s">
        <v>586</v>
      </c>
      <c r="G199" s="255" t="s">
        <v>514</v>
      </c>
      <c r="H199" s="294">
        <v>230000</v>
      </c>
      <c r="I199" s="255"/>
      <c r="J199" s="297">
        <v>230000</v>
      </c>
      <c r="K199" s="257"/>
      <c r="L199" s="258">
        <f t="shared" si="9"/>
        <v>230000</v>
      </c>
      <c r="M199" s="259">
        <f t="shared" si="10"/>
        <v>0</v>
      </c>
      <c r="N199" s="281">
        <f>IF(A199&lt;&gt;"", J199 / VLOOKUP(A199, 'Курс валют'!$A:$D, 4, 0), "")</f>
        <v>18.961253091508656</v>
      </c>
      <c r="O199" s="261"/>
    </row>
    <row r="200" spans="1:15" x14ac:dyDescent="0.45">
      <c r="A200" s="264">
        <v>46134</v>
      </c>
      <c r="B200" s="263" t="s">
        <v>642</v>
      </c>
      <c r="C200" s="255" t="s">
        <v>69</v>
      </c>
      <c r="D200" s="291">
        <v>38</v>
      </c>
      <c r="E200" s="255" t="s">
        <v>641</v>
      </c>
      <c r="F200" s="256" t="s">
        <v>175</v>
      </c>
      <c r="G200" s="255" t="s">
        <v>30</v>
      </c>
      <c r="H200" s="294">
        <v>800</v>
      </c>
      <c r="I200" s="255">
        <v>12000</v>
      </c>
      <c r="J200" s="297">
        <v>800</v>
      </c>
      <c r="K200" s="257">
        <v>12000</v>
      </c>
      <c r="L200" s="258">
        <f t="shared" si="9"/>
        <v>0</v>
      </c>
      <c r="M200" s="259">
        <f t="shared" si="10"/>
        <v>0</v>
      </c>
      <c r="N200" s="281">
        <f>IF(A200&lt;&gt;"", J200 / VLOOKUP(A200, 'Курс валют'!$A:$D, 4, 0), "")</f>
        <v>6.5952184666117061E-2</v>
      </c>
      <c r="O200" s="261"/>
    </row>
    <row r="201" spans="1:15" x14ac:dyDescent="0.45">
      <c r="A201" s="264">
        <v>46136</v>
      </c>
      <c r="B201" s="263" t="s">
        <v>82</v>
      </c>
      <c r="C201" s="255" t="s">
        <v>611</v>
      </c>
      <c r="D201" s="291">
        <v>30</v>
      </c>
      <c r="E201" s="255" t="s">
        <v>611</v>
      </c>
      <c r="F201" s="256" t="s">
        <v>586</v>
      </c>
      <c r="G201" s="255" t="s">
        <v>514</v>
      </c>
      <c r="H201" s="294"/>
      <c r="I201" s="255"/>
      <c r="J201" s="297">
        <f>3452000*103%</f>
        <v>3555560</v>
      </c>
      <c r="K201" s="257"/>
      <c r="L201" s="258">
        <f t="shared" si="9"/>
        <v>0</v>
      </c>
      <c r="M201" s="259">
        <f t="shared" si="10"/>
        <v>-3555560</v>
      </c>
      <c r="N201" s="281">
        <f>IF(A201&lt;&gt;"", J201 / VLOOKUP(A201, 'Курс валют'!$A:$D, 4, 0), "")</f>
        <v>295.06721991701244</v>
      </c>
      <c r="O201" s="261"/>
    </row>
    <row r="202" spans="1:15" x14ac:dyDescent="0.45">
      <c r="A202" s="264">
        <v>46136</v>
      </c>
      <c r="B202" s="263" t="s">
        <v>22</v>
      </c>
      <c r="C202" s="255" t="s">
        <v>611</v>
      </c>
      <c r="D202" s="291">
        <v>1</v>
      </c>
      <c r="E202" s="255" t="s">
        <v>611</v>
      </c>
      <c r="F202" s="256" t="s">
        <v>586</v>
      </c>
      <c r="G202" s="255" t="s">
        <v>514</v>
      </c>
      <c r="H202" s="294"/>
      <c r="I202" s="255"/>
      <c r="J202" s="297">
        <f>4035000*103%</f>
        <v>4156050</v>
      </c>
      <c r="K202" s="257"/>
      <c r="L202" s="258">
        <f t="shared" si="9"/>
        <v>0</v>
      </c>
      <c r="M202" s="259">
        <f t="shared" si="10"/>
        <v>-4156050</v>
      </c>
      <c r="N202" s="281">
        <f>IF(A202&lt;&gt;"", J202 / VLOOKUP(A202, 'Курс валют'!$A:$D, 4, 0), "")</f>
        <v>344.90041493775931</v>
      </c>
      <c r="O202" s="261"/>
    </row>
    <row r="203" spans="1:15" x14ac:dyDescent="0.45">
      <c r="A203" s="264">
        <v>46136</v>
      </c>
      <c r="B203" s="263"/>
      <c r="C203" s="255"/>
      <c r="D203" s="291"/>
      <c r="E203" s="255"/>
      <c r="F203" s="256"/>
      <c r="G203" s="255" t="s">
        <v>30</v>
      </c>
      <c r="H203" s="294">
        <v>200</v>
      </c>
      <c r="I203" s="255">
        <v>12070</v>
      </c>
      <c r="J203" s="297"/>
      <c r="K203" s="257"/>
      <c r="L203" s="258">
        <f t="shared" si="9"/>
        <v>2414000</v>
      </c>
      <c r="M203" s="259">
        <f t="shared" si="10"/>
        <v>200</v>
      </c>
      <c r="N203" s="281">
        <f>IF(A203&lt;&gt;"", J203 / VLOOKUP(A203, 'Курс валют'!$A:$D, 4, 0), "")</f>
        <v>0</v>
      </c>
      <c r="O203" s="261"/>
    </row>
    <row r="204" spans="1:15" x14ac:dyDescent="0.45">
      <c r="A204" s="264">
        <v>46136</v>
      </c>
      <c r="B204" s="263"/>
      <c r="C204" s="255"/>
      <c r="D204" s="291"/>
      <c r="E204" s="255"/>
      <c r="F204" s="256"/>
      <c r="G204" s="255" t="s">
        <v>514</v>
      </c>
      <c r="H204" s="294">
        <v>7617000</v>
      </c>
      <c r="I204" s="255"/>
      <c r="J204" s="297"/>
      <c r="K204" s="257"/>
      <c r="L204" s="258">
        <f t="shared" si="9"/>
        <v>7617000</v>
      </c>
      <c r="M204" s="259">
        <f t="shared" si="10"/>
        <v>7617000</v>
      </c>
      <c r="N204" s="281">
        <f>IF(A204&lt;&gt;"", J204 / VLOOKUP(A204, 'Курс валют'!$A:$D, 4, 0), "")</f>
        <v>0</v>
      </c>
      <c r="O204" s="261"/>
    </row>
    <row r="205" spans="1:15" x14ac:dyDescent="0.45">
      <c r="A205" s="264">
        <v>46136</v>
      </c>
      <c r="B205" s="263"/>
      <c r="C205" s="255"/>
      <c r="D205" s="291"/>
      <c r="E205" s="255"/>
      <c r="F205" s="256"/>
      <c r="G205" s="255" t="s">
        <v>514</v>
      </c>
      <c r="H205" s="294">
        <v>12000000</v>
      </c>
      <c r="I205" s="255"/>
      <c r="J205" s="297">
        <v>12000000</v>
      </c>
      <c r="K205" s="257"/>
      <c r="L205" s="258">
        <f t="shared" si="9"/>
        <v>12000000</v>
      </c>
      <c r="M205" s="259">
        <f t="shared" si="10"/>
        <v>0</v>
      </c>
      <c r="N205" s="281">
        <f>IF(A205&lt;&gt;"", J205 / VLOOKUP(A205, 'Курс валют'!$A:$D, 4, 0), "")</f>
        <v>995.85062240663899</v>
      </c>
      <c r="O205" s="261"/>
    </row>
    <row r="206" spans="1:15" x14ac:dyDescent="0.45">
      <c r="A206" s="264">
        <v>46143</v>
      </c>
      <c r="B206" s="263" t="s">
        <v>590</v>
      </c>
      <c r="C206" s="255" t="s">
        <v>591</v>
      </c>
      <c r="D206" s="291">
        <v>1</v>
      </c>
      <c r="E206" s="255" t="s">
        <v>625</v>
      </c>
      <c r="F206" s="256" t="s">
        <v>175</v>
      </c>
      <c r="G206" s="255" t="s">
        <v>30</v>
      </c>
      <c r="H206" s="294">
        <v>600</v>
      </c>
      <c r="I206" s="255">
        <v>12100</v>
      </c>
      <c r="J206" s="297"/>
      <c r="K206" s="257"/>
      <c r="L206" s="258">
        <f t="shared" si="9"/>
        <v>7260000</v>
      </c>
      <c r="M206" s="259">
        <f t="shared" si="10"/>
        <v>600</v>
      </c>
      <c r="N206" s="281">
        <f>IF(A206&lt;&gt;"", J206 / VLOOKUP(A206, 'Курс валют'!$A:$D, 4, 0), "")</f>
        <v>0</v>
      </c>
      <c r="O206" s="261"/>
    </row>
    <row r="207" spans="1:15" x14ac:dyDescent="0.45">
      <c r="A207" s="264">
        <v>46143</v>
      </c>
      <c r="B207" s="263" t="s">
        <v>590</v>
      </c>
      <c r="C207" s="255" t="s">
        <v>591</v>
      </c>
      <c r="D207" s="291">
        <v>1</v>
      </c>
      <c r="E207" s="255" t="s">
        <v>625</v>
      </c>
      <c r="F207" s="256" t="s">
        <v>175</v>
      </c>
      <c r="G207" s="255" t="s">
        <v>514</v>
      </c>
      <c r="H207" s="294">
        <v>800000</v>
      </c>
      <c r="I207" s="255"/>
      <c r="J207" s="297"/>
      <c r="K207" s="257"/>
      <c r="L207" s="258">
        <f t="shared" si="9"/>
        <v>800000</v>
      </c>
      <c r="M207" s="259">
        <f t="shared" si="10"/>
        <v>800000</v>
      </c>
      <c r="N207" s="281">
        <f>IF(A207&lt;&gt;"", J207 / VLOOKUP(A207, 'Курс валют'!$A:$D, 4, 0), "")</f>
        <v>0</v>
      </c>
      <c r="O207" s="261"/>
    </row>
    <row r="208" spans="1:15" x14ac:dyDescent="0.45">
      <c r="A208" s="264">
        <v>46143</v>
      </c>
      <c r="B208" s="263" t="s">
        <v>82</v>
      </c>
      <c r="C208" s="255" t="s">
        <v>59</v>
      </c>
      <c r="D208" s="291">
        <v>30</v>
      </c>
      <c r="E208" s="255" t="s">
        <v>22</v>
      </c>
      <c r="F208" s="256" t="s">
        <v>175</v>
      </c>
      <c r="G208" s="255" t="s">
        <v>514</v>
      </c>
      <c r="H208" s="294"/>
      <c r="I208" s="255"/>
      <c r="J208" s="297">
        <f>4575000*103%</f>
        <v>4712250</v>
      </c>
      <c r="K208" s="257"/>
      <c r="L208" s="258">
        <f t="shared" si="9"/>
        <v>0</v>
      </c>
      <c r="M208" s="259">
        <f t="shared" si="10"/>
        <v>-4712250</v>
      </c>
      <c r="N208" s="281">
        <f>IF(A208&lt;&gt;"", J208 / VLOOKUP(A208, 'Курс валют'!$A:$D, 4, 0), "")</f>
        <v>389.44214876033055</v>
      </c>
      <c r="O208" s="261"/>
    </row>
    <row r="209" spans="1:15" x14ac:dyDescent="0.45">
      <c r="A209" s="264">
        <v>46143</v>
      </c>
      <c r="B209" s="263" t="s">
        <v>91</v>
      </c>
      <c r="C209" s="255" t="s">
        <v>65</v>
      </c>
      <c r="D209" s="291">
        <v>1</v>
      </c>
      <c r="E209" s="255" t="s">
        <v>22</v>
      </c>
      <c r="F209" s="256" t="s">
        <v>175</v>
      </c>
      <c r="G209" s="255" t="s">
        <v>514</v>
      </c>
      <c r="H209" s="294"/>
      <c r="I209" s="255"/>
      <c r="J209" s="297">
        <v>100000</v>
      </c>
      <c r="K209" s="257"/>
      <c r="L209" s="258"/>
      <c r="M209" s="259"/>
      <c r="N209" s="281">
        <f>IF(A209&lt;&gt;"", J209 / VLOOKUP(A209, 'Курс валют'!$A:$D, 4, 0), "")</f>
        <v>8.2644628099173545</v>
      </c>
      <c r="O209" s="261"/>
    </row>
    <row r="210" spans="1:15" x14ac:dyDescent="0.45">
      <c r="A210" s="264">
        <v>46143</v>
      </c>
      <c r="B210" s="263" t="s">
        <v>22</v>
      </c>
      <c r="C210" s="255" t="s">
        <v>69</v>
      </c>
      <c r="D210" s="291">
        <v>1</v>
      </c>
      <c r="E210" s="255" t="s">
        <v>22</v>
      </c>
      <c r="F210" s="256" t="s">
        <v>586</v>
      </c>
      <c r="G210" s="255" t="s">
        <v>514</v>
      </c>
      <c r="H210" s="294"/>
      <c r="I210" s="255"/>
      <c r="J210" s="297">
        <v>3250000</v>
      </c>
      <c r="K210" s="257"/>
      <c r="L210" s="258"/>
      <c r="M210" s="259"/>
      <c r="N210" s="281">
        <f>IF(A210&lt;&gt;"", J210 / VLOOKUP(A210, 'Курс валют'!$A:$D, 4, 0), "")</f>
        <v>268.59504132231405</v>
      </c>
      <c r="O210" s="261"/>
    </row>
    <row r="211" spans="1:15" x14ac:dyDescent="0.45">
      <c r="A211" s="264">
        <v>46144</v>
      </c>
      <c r="B211" s="263" t="s">
        <v>643</v>
      </c>
      <c r="C211" s="255" t="s">
        <v>59</v>
      </c>
      <c r="D211" s="291">
        <v>200</v>
      </c>
      <c r="E211" s="255" t="s">
        <v>581</v>
      </c>
      <c r="F211" s="256" t="s">
        <v>175</v>
      </c>
      <c r="G211" s="255" t="s">
        <v>514</v>
      </c>
      <c r="H211" s="294"/>
      <c r="I211" s="255"/>
      <c r="J211" s="297">
        <f>Таблица3[[#This Row],[К-во]]*9500+300000</f>
        <v>2200000</v>
      </c>
      <c r="K211" s="257"/>
      <c r="L211" s="258"/>
      <c r="M211" s="259"/>
      <c r="N211" s="281">
        <f>IF(A211&lt;&gt;"", J211 / VLOOKUP(A211, 'Курс валют'!$A:$D, 4, 0), "")</f>
        <v>183.33333333333334</v>
      </c>
      <c r="O211" s="261"/>
    </row>
    <row r="212" spans="1:15" x14ac:dyDescent="0.45">
      <c r="A212" s="264">
        <v>46145</v>
      </c>
      <c r="B212" s="263" t="s">
        <v>640</v>
      </c>
      <c r="C212" s="255" t="s">
        <v>69</v>
      </c>
      <c r="D212" s="291">
        <v>1</v>
      </c>
      <c r="E212" s="255" t="s">
        <v>581</v>
      </c>
      <c r="F212" s="256" t="s">
        <v>586</v>
      </c>
      <c r="G212" s="255" t="s">
        <v>514</v>
      </c>
      <c r="H212" s="294">
        <v>4958000</v>
      </c>
      <c r="I212" s="255"/>
      <c r="J212" s="297">
        <v>4958000</v>
      </c>
      <c r="K212" s="257"/>
      <c r="L212" s="258"/>
      <c r="M212" s="259"/>
      <c r="N212" s="281">
        <f>IF(A212&lt;&gt;"", J212 / VLOOKUP(A212, 'Курс валют'!$A:$D, 4, 0), "")</f>
        <v>413.16666666666669</v>
      </c>
      <c r="O212" s="261"/>
    </row>
    <row r="213" spans="1:15" x14ac:dyDescent="0.45">
      <c r="A213" s="264">
        <v>46149</v>
      </c>
      <c r="B213" s="263" t="s">
        <v>644</v>
      </c>
      <c r="C213" s="255" t="s">
        <v>59</v>
      </c>
      <c r="D213" s="291">
        <v>994</v>
      </c>
      <c r="E213" s="255" t="s">
        <v>581</v>
      </c>
      <c r="F213" s="256" t="s">
        <v>175</v>
      </c>
      <c r="G213" s="255" t="s">
        <v>514</v>
      </c>
      <c r="H213" s="294">
        <v>10285290</v>
      </c>
      <c r="I213" s="255"/>
      <c r="J213" s="297">
        <v>10285290</v>
      </c>
      <c r="K213" s="257"/>
      <c r="L213" s="258"/>
      <c r="M213" s="259"/>
      <c r="N213" s="281">
        <f>IF(A213&lt;&gt;"", J213 / VLOOKUP(A213, 'Курс валют'!$A:$D, 4, 0), "")</f>
        <v>845.13475760065739</v>
      </c>
      <c r="O213" s="261"/>
    </row>
    <row r="214" spans="1:15" x14ac:dyDescent="0.45">
      <c r="A214" s="264">
        <v>46150</v>
      </c>
      <c r="B214" s="263" t="s">
        <v>22</v>
      </c>
      <c r="C214" s="255" t="s">
        <v>69</v>
      </c>
      <c r="D214" s="291">
        <v>1</v>
      </c>
      <c r="E214" s="255" t="s">
        <v>22</v>
      </c>
      <c r="F214" s="256" t="s">
        <v>586</v>
      </c>
      <c r="G214" s="255" t="s">
        <v>514</v>
      </c>
      <c r="H214" s="294">
        <f>3805000*103%</f>
        <v>3919150</v>
      </c>
      <c r="I214" s="255"/>
      <c r="J214" s="297">
        <f>3805000*103%</f>
        <v>3919150</v>
      </c>
      <c r="K214" s="257"/>
      <c r="L214" s="258"/>
      <c r="M214" s="259"/>
      <c r="N214" s="281">
        <f>IF(A214&lt;&gt;"", J214 / VLOOKUP(A214, 'Курс валют'!$A:$D, 4, 0), "")</f>
        <v>323.89669421487605</v>
      </c>
      <c r="O214" s="261"/>
    </row>
    <row r="215" spans="1:15" x14ac:dyDescent="0.45">
      <c r="A215" s="264">
        <v>46150</v>
      </c>
      <c r="B215" s="263" t="s">
        <v>82</v>
      </c>
      <c r="C215" s="255" t="s">
        <v>59</v>
      </c>
      <c r="D215" s="291">
        <v>30</v>
      </c>
      <c r="E215" s="255" t="s">
        <v>22</v>
      </c>
      <c r="F215" s="256" t="s">
        <v>586</v>
      </c>
      <c r="G215" s="255" t="s">
        <v>514</v>
      </c>
      <c r="H215" s="294">
        <f>3300000*103%</f>
        <v>3399000</v>
      </c>
      <c r="I215" s="255"/>
      <c r="J215" s="297">
        <v>3399000</v>
      </c>
      <c r="K215" s="257"/>
      <c r="L215" s="258"/>
      <c r="M215" s="259"/>
      <c r="N215" s="281">
        <f>IF(A215&lt;&gt;"", J215 / VLOOKUP(A215, 'Курс валют'!$A:$D, 4, 0), "")</f>
        <v>280.90909090909093</v>
      </c>
      <c r="O215" s="261"/>
    </row>
    <row r="216" spans="1:15" x14ac:dyDescent="0.45">
      <c r="A216" s="264">
        <v>46153</v>
      </c>
      <c r="B216" s="263" t="s">
        <v>616</v>
      </c>
      <c r="C216" s="255" t="s">
        <v>85</v>
      </c>
      <c r="D216" s="291">
        <v>500</v>
      </c>
      <c r="E216" s="255" t="s">
        <v>581</v>
      </c>
      <c r="F216" s="256" t="s">
        <v>586</v>
      </c>
      <c r="G216" s="255" t="s">
        <v>514</v>
      </c>
      <c r="H216" s="294">
        <v>1610000</v>
      </c>
      <c r="I216" s="255"/>
      <c r="J216" s="297">
        <f>(Таблица3[[#This Row],[К-во]]*3000+110000)</f>
        <v>1610000</v>
      </c>
      <c r="K216" s="257"/>
      <c r="L216" s="258"/>
      <c r="M216" s="259"/>
      <c r="N216" s="281">
        <f>IF(A216&lt;&gt;"", J216 / VLOOKUP(A216, 'Курс валют'!$A:$D, 4, 0), "")</f>
        <v>131.96721311475409</v>
      </c>
      <c r="O216" s="261"/>
    </row>
    <row r="217" spans="1:15" x14ac:dyDescent="0.45">
      <c r="A217" s="264">
        <v>46153</v>
      </c>
      <c r="B217" s="263" t="s">
        <v>581</v>
      </c>
      <c r="C217" s="255" t="s">
        <v>69</v>
      </c>
      <c r="D217" s="291">
        <v>1</v>
      </c>
      <c r="E217" s="255" t="s">
        <v>581</v>
      </c>
      <c r="F217" s="256" t="s">
        <v>586</v>
      </c>
      <c r="G217" s="255" t="s">
        <v>514</v>
      </c>
      <c r="H217" s="294">
        <v>3574100</v>
      </c>
      <c r="I217" s="255"/>
      <c r="J217" s="297">
        <f>(3330000+140000)*103%</f>
        <v>3574100</v>
      </c>
      <c r="K217" s="257"/>
      <c r="L217" s="258"/>
      <c r="M217" s="259"/>
      <c r="N217" s="281">
        <f>IF(A217&lt;&gt;"", J217 / VLOOKUP(A217, 'Курс валют'!$A:$D, 4, 0), "")</f>
        <v>292.9590163934426</v>
      </c>
      <c r="O217" s="261"/>
    </row>
    <row r="218" spans="1:15" x14ac:dyDescent="0.45">
      <c r="A218" s="264">
        <v>46155</v>
      </c>
      <c r="B218" s="263" t="s">
        <v>554</v>
      </c>
      <c r="C218" s="255" t="s">
        <v>97</v>
      </c>
      <c r="D218" s="291">
        <v>360</v>
      </c>
      <c r="E218" s="255" t="s">
        <v>581</v>
      </c>
      <c r="F218" s="256" t="s">
        <v>586</v>
      </c>
      <c r="G218" s="255" t="s">
        <v>514</v>
      </c>
      <c r="H218" s="294">
        <v>4025000</v>
      </c>
      <c r="I218" s="255"/>
      <c r="J218" s="297">
        <f>3840000+185000</f>
        <v>4025000</v>
      </c>
      <c r="K218" s="257"/>
      <c r="L218" s="258"/>
      <c r="M218" s="259"/>
      <c r="N218" s="281">
        <f>IF(A218&lt;&gt;"", J218 / VLOOKUP(A218, 'Курс валют'!$A:$D, 4, 0), "")</f>
        <v>331.27572016460903</v>
      </c>
      <c r="O218" s="261"/>
    </row>
    <row r="219" spans="1:15" x14ac:dyDescent="0.45">
      <c r="A219" s="264">
        <v>46155</v>
      </c>
      <c r="B219" s="263" t="s">
        <v>645</v>
      </c>
      <c r="C219" s="255" t="s">
        <v>85</v>
      </c>
      <c r="D219" s="291">
        <v>400</v>
      </c>
      <c r="E219" s="255" t="s">
        <v>581</v>
      </c>
      <c r="F219" s="256" t="s">
        <v>586</v>
      </c>
      <c r="G219" s="255" t="s">
        <v>514</v>
      </c>
      <c r="H219" s="294">
        <v>2400000</v>
      </c>
      <c r="I219" s="255"/>
      <c r="J219" s="297">
        <v>2400000</v>
      </c>
      <c r="K219" s="257"/>
      <c r="L219" s="258"/>
      <c r="M219" s="259"/>
      <c r="N219" s="281">
        <f>IF(A219&lt;&gt;"", J219 / VLOOKUP(A219, 'Курс валют'!$A:$D, 4, 0), "")</f>
        <v>197.53086419753086</v>
      </c>
      <c r="O219" s="261"/>
    </row>
    <row r="220" spans="1:15" x14ac:dyDescent="0.45">
      <c r="A220" s="264">
        <v>46156</v>
      </c>
      <c r="B220" s="263" t="s">
        <v>22</v>
      </c>
      <c r="C220" s="255" t="s">
        <v>69</v>
      </c>
      <c r="D220" s="291">
        <v>1</v>
      </c>
      <c r="E220" s="255" t="s">
        <v>22</v>
      </c>
      <c r="F220" s="256" t="s">
        <v>175</v>
      </c>
      <c r="G220" s="255" t="s">
        <v>514</v>
      </c>
      <c r="H220" s="294">
        <v>4330000</v>
      </c>
      <c r="I220" s="255"/>
      <c r="J220" s="297">
        <v>4330000</v>
      </c>
      <c r="K220" s="257"/>
      <c r="L220" s="258"/>
      <c r="M220" s="259"/>
      <c r="N220" s="281">
        <f>IF(A220&lt;&gt;"", J220 / VLOOKUP(A220, 'Курс валют'!$A:$D, 4, 0), "")</f>
        <v>356.96619950535859</v>
      </c>
      <c r="O220" s="261"/>
    </row>
    <row r="221" spans="1:15" x14ac:dyDescent="0.45">
      <c r="A221" s="264">
        <v>46156</v>
      </c>
      <c r="B221" s="263" t="s">
        <v>82</v>
      </c>
      <c r="C221" s="255" t="s">
        <v>59</v>
      </c>
      <c r="D221" s="291">
        <v>31</v>
      </c>
      <c r="E221" s="255" t="s">
        <v>22</v>
      </c>
      <c r="F221" s="256" t="s">
        <v>175</v>
      </c>
      <c r="G221" s="255" t="s">
        <v>514</v>
      </c>
      <c r="H221" s="294">
        <v>3300000</v>
      </c>
      <c r="I221" s="255"/>
      <c r="J221" s="297">
        <v>3300000</v>
      </c>
      <c r="K221" s="257"/>
      <c r="L221" s="258"/>
      <c r="M221" s="259"/>
      <c r="N221" s="281">
        <f>IF(A221&lt;&gt;"", J221 / VLOOKUP(A221, 'Курс валют'!$A:$D, 4, 0), "")</f>
        <v>272.05276174773292</v>
      </c>
      <c r="O221" s="261"/>
    </row>
    <row r="222" spans="1:15" x14ac:dyDescent="0.45">
      <c r="A222" s="264">
        <v>46159</v>
      </c>
      <c r="B222" s="263" t="s">
        <v>646</v>
      </c>
      <c r="C222" s="255" t="s">
        <v>69</v>
      </c>
      <c r="D222" s="291">
        <v>2</v>
      </c>
      <c r="E222" s="255" t="s">
        <v>647</v>
      </c>
      <c r="F222" s="256" t="s">
        <v>175</v>
      </c>
      <c r="G222" s="255" t="s">
        <v>30</v>
      </c>
      <c r="H222" s="294">
        <v>400</v>
      </c>
      <c r="I222" s="255">
        <v>12000</v>
      </c>
      <c r="J222" s="297">
        <v>400</v>
      </c>
      <c r="K222" s="257">
        <v>12000</v>
      </c>
      <c r="L222" s="258"/>
      <c r="M222" s="259"/>
      <c r="N222" s="281">
        <f>IF(A222&lt;&gt;"", J222 / VLOOKUP(A222, 'Курс валют'!$A:$D, 4, 0), "")</f>
        <v>3.3416875522138678E-2</v>
      </c>
      <c r="O222" s="261"/>
    </row>
    <row r="223" spans="1:15" x14ac:dyDescent="0.45">
      <c r="A223" s="264">
        <v>46160</v>
      </c>
      <c r="B223" s="263" t="s">
        <v>432</v>
      </c>
      <c r="C223" s="255" t="s">
        <v>69</v>
      </c>
      <c r="D223" s="291">
        <v>1</v>
      </c>
      <c r="E223" s="255" t="s">
        <v>648</v>
      </c>
      <c r="F223" s="256" t="s">
        <v>175</v>
      </c>
      <c r="G223" s="255" t="s">
        <v>30</v>
      </c>
      <c r="H223" s="294">
        <v>10000</v>
      </c>
      <c r="I223" s="255">
        <v>12000</v>
      </c>
      <c r="J223" s="297">
        <v>10000</v>
      </c>
      <c r="K223" s="257">
        <v>12000</v>
      </c>
      <c r="L223" s="258"/>
      <c r="M223" s="259"/>
      <c r="N223" s="281">
        <f>IF(A223&lt;&gt;"", J223 / VLOOKUP(A223, 'Курс валют'!$A:$D, 4, 0), "")</f>
        <v>0.8340283569641368</v>
      </c>
      <c r="O223" s="261"/>
    </row>
    <row r="224" spans="1:15" x14ac:dyDescent="0.45">
      <c r="A224" s="264">
        <v>46160</v>
      </c>
      <c r="B224" s="263" t="s">
        <v>432</v>
      </c>
      <c r="C224" s="255" t="s">
        <v>69</v>
      </c>
      <c r="D224" s="291">
        <v>1</v>
      </c>
      <c r="E224" s="255" t="s">
        <v>649</v>
      </c>
      <c r="F224" s="256" t="s">
        <v>175</v>
      </c>
      <c r="G224" s="255" t="s">
        <v>30</v>
      </c>
      <c r="H224" s="294">
        <v>2500</v>
      </c>
      <c r="I224" s="255">
        <v>12000</v>
      </c>
      <c r="J224" s="297">
        <v>2500</v>
      </c>
      <c r="K224" s="257">
        <v>12000</v>
      </c>
      <c r="L224" s="258"/>
      <c r="M224" s="259"/>
      <c r="N224" s="260" t="e">
        <f>IF(A224&lt;&gt;"", J224 / VLOOKUP(A224, '[1]Курс валют'!$A:$D, 4, 0), "")</f>
        <v>#DIV/0!</v>
      </c>
      <c r="O224" s="261"/>
    </row>
    <row r="225" spans="1:15" x14ac:dyDescent="0.45">
      <c r="A225" s="264">
        <v>46163</v>
      </c>
      <c r="B225" s="263" t="s">
        <v>82</v>
      </c>
      <c r="C225" s="255" t="s">
        <v>59</v>
      </c>
      <c r="D225" s="291">
        <v>30</v>
      </c>
      <c r="E225" s="255" t="s">
        <v>22</v>
      </c>
      <c r="F225" s="256" t="s">
        <v>175</v>
      </c>
      <c r="G225" s="255" t="s">
        <v>514</v>
      </c>
      <c r="H225" s="294">
        <v>3600000</v>
      </c>
      <c r="I225" s="255"/>
      <c r="J225" s="297">
        <v>3576400</v>
      </c>
      <c r="K225" s="257"/>
      <c r="L225" s="258"/>
      <c r="M225" s="259"/>
      <c r="N225" s="260" t="e">
        <f>IF(A225&lt;&gt;"", J225 / VLOOKUP(A225, '[1]Курс валют'!$A:$D, 4, 0), "")</f>
        <v>#DIV/0!</v>
      </c>
      <c r="O225" s="261"/>
    </row>
    <row r="226" spans="1:15" x14ac:dyDescent="0.45">
      <c r="A226" s="264">
        <v>46163</v>
      </c>
      <c r="B226" s="263" t="s">
        <v>22</v>
      </c>
      <c r="C226" s="255" t="s">
        <v>69</v>
      </c>
      <c r="D226" s="291">
        <v>1</v>
      </c>
      <c r="E226" s="255" t="s">
        <v>22</v>
      </c>
      <c r="F226" s="256" t="s">
        <v>586</v>
      </c>
      <c r="G226" s="255" t="s">
        <v>514</v>
      </c>
      <c r="H226" s="294">
        <v>3800000</v>
      </c>
      <c r="I226" s="255"/>
      <c r="J226" s="297">
        <f>3600000*103%+100000</f>
        <v>3808000</v>
      </c>
      <c r="K226" s="257"/>
      <c r="L226" s="258"/>
      <c r="M226" s="259"/>
      <c r="N226" s="260" t="e">
        <f>IF(A226&lt;&gt;"", J226 / VLOOKUP(A226, '[1]Курс валют'!$A:$D, 4, 0), "")</f>
        <v>#DIV/0!</v>
      </c>
      <c r="O226" s="261"/>
    </row>
    <row r="227" spans="1:15" x14ac:dyDescent="0.45">
      <c r="A227" s="264">
        <v>46167</v>
      </c>
      <c r="B227" s="263" t="s">
        <v>810</v>
      </c>
      <c r="C227" s="255" t="s">
        <v>69</v>
      </c>
      <c r="D227" s="291">
        <v>1</v>
      </c>
      <c r="E227" s="255" t="s">
        <v>204</v>
      </c>
      <c r="F227" s="256" t="s">
        <v>175</v>
      </c>
      <c r="G227" s="255" t="s">
        <v>514</v>
      </c>
      <c r="H227" s="294">
        <v>19900000</v>
      </c>
      <c r="I227" s="255"/>
      <c r="J227" s="297">
        <v>19900000</v>
      </c>
      <c r="K227" s="257"/>
      <c r="L227" s="258"/>
      <c r="M227" s="259"/>
      <c r="N227" s="260" t="e">
        <f>IF(A227&lt;&gt;"", J227 / VLOOKUP(A227, '[1]Курс валют'!$A:$D, 4, 0), "")</f>
        <v>#DIV/0!</v>
      </c>
      <c r="O227" s="261"/>
    </row>
    <row r="228" spans="1:15" x14ac:dyDescent="0.45">
      <c r="A228" s="264">
        <v>46198</v>
      </c>
      <c r="B228" s="263" t="s">
        <v>799</v>
      </c>
      <c r="C228" s="255" t="s">
        <v>69</v>
      </c>
      <c r="D228" s="291">
        <v>1</v>
      </c>
      <c r="E228" s="255" t="s">
        <v>846</v>
      </c>
      <c r="F228" s="256" t="s">
        <v>175</v>
      </c>
      <c r="G228" s="255" t="s">
        <v>514</v>
      </c>
      <c r="H228" s="294">
        <v>495000</v>
      </c>
      <c r="I228" s="255"/>
      <c r="J228" s="297">
        <v>495000</v>
      </c>
      <c r="K228" s="257"/>
      <c r="L228" s="258"/>
      <c r="M228" s="259"/>
      <c r="N228" s="260" t="e">
        <f>IF(A228&lt;&gt;"", J228 / VLOOKUP(A228, '[1]Курс валют'!$A:$D, 4, 0), "")</f>
        <v>#N/A</v>
      </c>
      <c r="O228" s="261"/>
    </row>
    <row r="229" spans="1:15" x14ac:dyDescent="0.45">
      <c r="A229" s="264">
        <v>46168</v>
      </c>
      <c r="B229" s="263" t="s">
        <v>799</v>
      </c>
      <c r="C229" s="255" t="s">
        <v>69</v>
      </c>
      <c r="D229" s="291">
        <v>30</v>
      </c>
      <c r="E229" s="255" t="s">
        <v>847</v>
      </c>
      <c r="F229" s="256" t="s">
        <v>175</v>
      </c>
      <c r="G229" s="255" t="s">
        <v>514</v>
      </c>
      <c r="H229" s="294">
        <v>1000000</v>
      </c>
      <c r="I229" s="255"/>
      <c r="J229" s="297">
        <v>570000</v>
      </c>
      <c r="K229" s="257"/>
      <c r="L229" s="258"/>
      <c r="M229" s="259"/>
      <c r="N229" s="260" t="e">
        <f>IF(A229&lt;&gt;"", J229 / VLOOKUP(A229, '[1]Курс валют'!$A:$D, 4, 0), "")</f>
        <v>#DIV/0!</v>
      </c>
      <c r="O229" s="261"/>
    </row>
    <row r="230" spans="1:15" x14ac:dyDescent="0.45">
      <c r="A230" s="264">
        <v>46168</v>
      </c>
      <c r="B230" s="263" t="s">
        <v>799</v>
      </c>
      <c r="C230" s="255" t="s">
        <v>69</v>
      </c>
      <c r="D230" s="291">
        <v>50</v>
      </c>
      <c r="E230" s="255" t="s">
        <v>848</v>
      </c>
      <c r="F230" s="256" t="s">
        <v>175</v>
      </c>
      <c r="G230" s="255" t="s">
        <v>514</v>
      </c>
      <c r="H230" s="294"/>
      <c r="I230" s="255"/>
      <c r="J230" s="297">
        <v>435000</v>
      </c>
      <c r="K230" s="257"/>
      <c r="L230" s="258"/>
      <c r="M230" s="259"/>
      <c r="N230" s="260" t="e">
        <f>IF(A230&lt;&gt;"", J230 / VLOOKUP(A230, '[1]Курс валют'!$A:$D, 4, 0), "")</f>
        <v>#DIV/0!</v>
      </c>
      <c r="O230" s="261"/>
    </row>
    <row r="231" spans="1:15" x14ac:dyDescent="0.45">
      <c r="A231" s="264">
        <v>46172</v>
      </c>
      <c r="B231" s="263" t="s">
        <v>862</v>
      </c>
      <c r="C231" s="255" t="s">
        <v>39</v>
      </c>
      <c r="D231" s="291">
        <v>24</v>
      </c>
      <c r="E231" s="255" t="s">
        <v>863</v>
      </c>
      <c r="F231" s="256" t="s">
        <v>175</v>
      </c>
      <c r="G231" s="255" t="s">
        <v>514</v>
      </c>
      <c r="H231" s="294"/>
      <c r="I231" s="255"/>
      <c r="J231" s="297">
        <v>1300000</v>
      </c>
      <c r="K231" s="257"/>
      <c r="L231" s="258"/>
      <c r="M231" s="259"/>
      <c r="N231" s="260" t="e">
        <f>IF(A231&lt;&gt;"", J231 / VLOOKUP(A231, '[1]Курс валют'!$A:$D, 4, 0), "")</f>
        <v>#DIV/0!</v>
      </c>
      <c r="O231" s="261"/>
    </row>
    <row r="232" spans="1:15" x14ac:dyDescent="0.45">
      <c r="A232" s="264">
        <v>46172</v>
      </c>
      <c r="B232" s="263" t="s">
        <v>864</v>
      </c>
      <c r="C232" s="255" t="s">
        <v>69</v>
      </c>
      <c r="D232" s="291">
        <v>7</v>
      </c>
      <c r="E232" s="255"/>
      <c r="F232" s="256" t="s">
        <v>175</v>
      </c>
      <c r="G232" s="255" t="s">
        <v>514</v>
      </c>
      <c r="H232" s="294"/>
      <c r="I232" s="255"/>
      <c r="J232" s="297">
        <v>2480000</v>
      </c>
      <c r="K232" s="257"/>
      <c r="L232" s="258"/>
      <c r="M232" s="259"/>
      <c r="N232" s="260" t="e">
        <f>IF(A232&lt;&gt;"", J232 / VLOOKUP(A232, '[1]Курс валют'!$A:$D, 4, 0), "")</f>
        <v>#DIV/0!</v>
      </c>
      <c r="O232" s="261"/>
    </row>
    <row r="233" spans="1:15" x14ac:dyDescent="0.45">
      <c r="A233" s="264">
        <v>46172</v>
      </c>
      <c r="B233" s="263" t="s">
        <v>865</v>
      </c>
      <c r="C233" s="255" t="s">
        <v>69</v>
      </c>
      <c r="D233" s="291">
        <v>2</v>
      </c>
      <c r="E233" s="255" t="s">
        <v>559</v>
      </c>
      <c r="F233" s="256" t="s">
        <v>586</v>
      </c>
      <c r="G233" s="255" t="s">
        <v>514</v>
      </c>
      <c r="H233" s="294">
        <v>580000</v>
      </c>
      <c r="I233" s="255"/>
      <c r="J233" s="297">
        <v>580000</v>
      </c>
      <c r="K233" s="257"/>
      <c r="L233" s="258"/>
      <c r="M233" s="259"/>
      <c r="N233" s="260" t="e">
        <f>IF(A233&lt;&gt;"", J233 / VLOOKUP(A233, '[1]Курс валют'!$A:$D, 4, 0), "")</f>
        <v>#DIV/0!</v>
      </c>
      <c r="O233" s="261"/>
    </row>
    <row r="234" spans="1:15" x14ac:dyDescent="0.45">
      <c r="A234" s="264">
        <v>46172</v>
      </c>
      <c r="B234" s="263" t="s">
        <v>866</v>
      </c>
      <c r="C234" s="255" t="s">
        <v>543</v>
      </c>
      <c r="D234" s="291">
        <v>2</v>
      </c>
      <c r="E234" s="255" t="s">
        <v>863</v>
      </c>
      <c r="F234" s="256" t="s">
        <v>175</v>
      </c>
      <c r="G234" s="255" t="s">
        <v>514</v>
      </c>
      <c r="H234" s="294">
        <v>100000</v>
      </c>
      <c r="I234" s="255"/>
      <c r="J234" s="297">
        <v>100000</v>
      </c>
      <c r="K234" s="257"/>
      <c r="L234" s="258"/>
      <c r="M234" s="259"/>
      <c r="N234" s="260" t="e">
        <f>IF(A234&lt;&gt;"", J234 / VLOOKUP(A234, '[1]Курс валют'!$A:$D, 4, 0), "")</f>
        <v>#DIV/0!</v>
      </c>
      <c r="O234" s="261"/>
    </row>
    <row r="235" spans="1:15" x14ac:dyDescent="0.45">
      <c r="A235" s="264">
        <v>46173</v>
      </c>
      <c r="B235" s="263" t="s">
        <v>885</v>
      </c>
      <c r="C235" s="255" t="s">
        <v>69</v>
      </c>
      <c r="D235" s="291">
        <v>4</v>
      </c>
      <c r="E235" s="255" t="s">
        <v>886</v>
      </c>
      <c r="F235" s="256" t="s">
        <v>586</v>
      </c>
      <c r="G235" s="255" t="s">
        <v>514</v>
      </c>
      <c r="H235" s="294">
        <v>1700000</v>
      </c>
      <c r="I235" s="255"/>
      <c r="J235" s="297">
        <v>1700000</v>
      </c>
      <c r="K235" s="257"/>
      <c r="L235" s="258"/>
      <c r="M235" s="259"/>
      <c r="N235" s="260" t="e">
        <f>IF(A235&lt;&gt;"", J235 / VLOOKUP(A235, '[1]Курс валют'!$A:$D, 4, 0), "")</f>
        <v>#DIV/0!</v>
      </c>
      <c r="O235" s="261"/>
    </row>
    <row r="236" spans="1:15" x14ac:dyDescent="0.45">
      <c r="A236" s="264">
        <v>46173</v>
      </c>
      <c r="B236" s="263" t="s">
        <v>887</v>
      </c>
      <c r="C236" s="255" t="s">
        <v>69</v>
      </c>
      <c r="D236" s="291">
        <v>6</v>
      </c>
      <c r="E236" s="255" t="s">
        <v>886</v>
      </c>
      <c r="F236" s="256" t="s">
        <v>175</v>
      </c>
      <c r="G236" s="255" t="s">
        <v>514</v>
      </c>
      <c r="H236" s="294"/>
      <c r="I236" s="255"/>
      <c r="J236" s="297"/>
      <c r="K236" s="257"/>
      <c r="L236" s="258"/>
      <c r="M236" s="259"/>
      <c r="N236" s="260" t="e">
        <f>IF(A236&lt;&gt;"", J236 / VLOOKUP(A236, '[1]Курс валют'!$A:$D, 4, 0), "")</f>
        <v>#DIV/0!</v>
      </c>
      <c r="O236" s="261"/>
    </row>
    <row r="237" spans="1:15" x14ac:dyDescent="0.45">
      <c r="A237" s="264">
        <v>46174</v>
      </c>
      <c r="B237" s="263"/>
      <c r="C237" s="255"/>
      <c r="D237" s="291"/>
      <c r="E237" s="255"/>
      <c r="F237" s="256"/>
      <c r="G237" s="255" t="s">
        <v>30</v>
      </c>
      <c r="H237" s="294">
        <v>236</v>
      </c>
      <c r="I237" s="255">
        <v>12000</v>
      </c>
      <c r="J237" s="297">
        <v>236</v>
      </c>
      <c r="K237" s="257">
        <v>12000</v>
      </c>
      <c r="L237" s="258"/>
      <c r="M237" s="259"/>
      <c r="N237" s="260" t="e">
        <f>IF(A237&lt;&gt;"", J237 / VLOOKUP(A237, '[1]Курс валют'!$A:$D, 4, 0), "")</f>
        <v>#DIV/0!</v>
      </c>
      <c r="O237" s="261"/>
    </row>
    <row r="238" spans="1:15" x14ac:dyDescent="0.45">
      <c r="A238" s="264">
        <v>46174</v>
      </c>
      <c r="B238" s="263" t="s">
        <v>576</v>
      </c>
      <c r="C238" s="255" t="s">
        <v>65</v>
      </c>
      <c r="D238" s="291">
        <v>1</v>
      </c>
      <c r="E238" s="255" t="s">
        <v>889</v>
      </c>
      <c r="F238" s="256" t="s">
        <v>175</v>
      </c>
      <c r="G238" s="255" t="s">
        <v>514</v>
      </c>
      <c r="H238" s="294">
        <v>2700000</v>
      </c>
      <c r="I238" s="255"/>
      <c r="J238" s="297">
        <v>2700000</v>
      </c>
      <c r="K238" s="257"/>
      <c r="L238" s="258"/>
      <c r="M238" s="259"/>
      <c r="N238" s="260" t="e">
        <f>IF(A238&lt;&gt;"", J238 / VLOOKUP(A238, '[1]Курс валют'!$A:$D, 4, 0), "")</f>
        <v>#DIV/0!</v>
      </c>
      <c r="O238" s="261"/>
    </row>
    <row r="239" spans="1:15" x14ac:dyDescent="0.45">
      <c r="A239" s="264">
        <v>46174</v>
      </c>
      <c r="B239" s="263" t="s">
        <v>891</v>
      </c>
      <c r="C239" s="255" t="s">
        <v>69</v>
      </c>
      <c r="D239" s="291">
        <v>1</v>
      </c>
      <c r="E239" s="255" t="s">
        <v>890</v>
      </c>
      <c r="F239" s="256" t="s">
        <v>175</v>
      </c>
      <c r="G239" s="255" t="s">
        <v>514</v>
      </c>
      <c r="H239" s="294">
        <v>980000</v>
      </c>
      <c r="I239" s="255"/>
      <c r="J239" s="297">
        <v>980000</v>
      </c>
      <c r="K239" s="257"/>
      <c r="L239" s="258"/>
      <c r="M239" s="259"/>
      <c r="N239" s="260" t="e">
        <f>IF(A239&lt;&gt;"", J239 / VLOOKUP(A239, '[1]Курс валют'!$A:$D, 4, 0), "")</f>
        <v>#DIV/0!</v>
      </c>
      <c r="O239" s="261"/>
    </row>
    <row r="240" spans="1:15" x14ac:dyDescent="0.45">
      <c r="A240" s="264">
        <v>46174</v>
      </c>
      <c r="B240" s="263" t="s">
        <v>645</v>
      </c>
      <c r="C240" s="255" t="s">
        <v>85</v>
      </c>
      <c r="D240" s="291">
        <v>200</v>
      </c>
      <c r="E240" s="255" t="s">
        <v>892</v>
      </c>
      <c r="F240" s="256" t="s">
        <v>586</v>
      </c>
      <c r="G240" s="255" t="s">
        <v>514</v>
      </c>
      <c r="H240" s="294">
        <v>1000000</v>
      </c>
      <c r="I240" s="255"/>
      <c r="J240" s="297">
        <v>1000000</v>
      </c>
      <c r="K240" s="257"/>
      <c r="L240" s="258"/>
      <c r="M240" s="259"/>
      <c r="N240" s="260" t="e">
        <f>IF(A240&lt;&gt;"", J240 / VLOOKUP(A240, '[1]Курс валют'!$A:$D, 4, 0), "")</f>
        <v>#DIV/0!</v>
      </c>
      <c r="O240" s="261"/>
    </row>
    <row r="241" spans="1:15" x14ac:dyDescent="0.45">
      <c r="A241" s="264">
        <v>46177</v>
      </c>
      <c r="B241" s="263"/>
      <c r="C241" s="255"/>
      <c r="D241" s="291"/>
      <c r="E241" s="255"/>
      <c r="F241" s="256"/>
      <c r="G241" s="255" t="s">
        <v>514</v>
      </c>
      <c r="H241" s="294"/>
      <c r="I241" s="255"/>
      <c r="J241" s="297">
        <v>180000</v>
      </c>
      <c r="K241" s="257"/>
      <c r="L241" s="258"/>
      <c r="M241" s="259"/>
      <c r="N241" s="260" t="e">
        <f>IF(A241&lt;&gt;"", J241 / VLOOKUP(A241, '[1]Курс валют'!$A:$D, 4, 0), "")</f>
        <v>#DIV/0!</v>
      </c>
      <c r="O241" s="261"/>
    </row>
    <row r="242" spans="1:15" x14ac:dyDescent="0.45">
      <c r="A242" s="264"/>
      <c r="B242" s="263"/>
      <c r="C242" s="255"/>
      <c r="D242" s="291"/>
      <c r="E242" s="255"/>
      <c r="F242" s="256"/>
      <c r="G242" s="255" t="s">
        <v>514</v>
      </c>
      <c r="H242" s="294"/>
      <c r="I242" s="255"/>
      <c r="J242" s="297">
        <v>90000</v>
      </c>
      <c r="K242" s="257"/>
      <c r="L242" s="258"/>
      <c r="M242" s="259"/>
      <c r="N242" s="260" t="str">
        <f>IF(A242&lt;&gt;"", J242 / VLOOKUP(A242, '[1]Курс валют'!$A:$D, 4, 0), "")</f>
        <v/>
      </c>
      <c r="O242" s="261"/>
    </row>
    <row r="243" spans="1:15" x14ac:dyDescent="0.45">
      <c r="A243" s="264"/>
      <c r="B243" s="263"/>
      <c r="C243" s="255"/>
      <c r="D243" s="291"/>
      <c r="E243" s="255"/>
      <c r="F243" s="256"/>
      <c r="G243" s="255" t="s">
        <v>514</v>
      </c>
      <c r="H243" s="294"/>
      <c r="I243" s="255"/>
      <c r="J243" s="297"/>
      <c r="K243" s="257"/>
      <c r="L243" s="258"/>
      <c r="M243" s="259"/>
      <c r="N243" s="260" t="str">
        <f>IF(A243&lt;&gt;"", J243 / VLOOKUP(A243, '[1]Курс валют'!$A:$D, 4, 0), "")</f>
        <v/>
      </c>
      <c r="O243" s="261"/>
    </row>
    <row r="244" spans="1:15" x14ac:dyDescent="0.45">
      <c r="A244" s="264"/>
      <c r="B244" s="263"/>
      <c r="C244" s="255"/>
      <c r="D244" s="291"/>
      <c r="E244" s="255"/>
      <c r="F244" s="256"/>
      <c r="G244" s="255" t="s">
        <v>514</v>
      </c>
      <c r="H244" s="294"/>
      <c r="I244" s="255"/>
      <c r="J244" s="297"/>
      <c r="K244" s="257"/>
      <c r="L244" s="258"/>
      <c r="M244" s="259"/>
      <c r="N244" s="260" t="str">
        <f>IF(A244&lt;&gt;"", J244 / VLOOKUP(A244, '[1]Курс валют'!$A:$D, 4, 0), "")</f>
        <v/>
      </c>
      <c r="O244" s="261"/>
    </row>
    <row r="245" spans="1:15" x14ac:dyDescent="0.45">
      <c r="A245" s="264"/>
      <c r="B245" s="263"/>
      <c r="C245" s="255"/>
      <c r="D245" s="291"/>
      <c r="E245" s="255"/>
      <c r="F245" s="256"/>
      <c r="G245" s="255" t="s">
        <v>514</v>
      </c>
      <c r="H245" s="294"/>
      <c r="I245" s="255"/>
      <c r="J245" s="297"/>
      <c r="K245" s="257"/>
      <c r="L245" s="258"/>
      <c r="M245" s="259"/>
      <c r="N245" s="260" t="str">
        <f>IF(A245&lt;&gt;"", J245 / VLOOKUP(A245, '[1]Курс валют'!$A:$D, 4, 0), "")</f>
        <v/>
      </c>
      <c r="O245" s="261"/>
    </row>
    <row r="246" spans="1:15" x14ac:dyDescent="0.45">
      <c r="A246" s="264"/>
      <c r="B246" s="263"/>
      <c r="C246" s="255"/>
      <c r="D246" s="291"/>
      <c r="E246" s="255"/>
      <c r="F246" s="256"/>
      <c r="G246" s="255" t="s">
        <v>514</v>
      </c>
      <c r="H246" s="294"/>
      <c r="I246" s="255"/>
      <c r="J246" s="297"/>
      <c r="K246" s="257"/>
      <c r="L246" s="258"/>
      <c r="M246" s="259"/>
      <c r="N246" s="260" t="str">
        <f>IF(A246&lt;&gt;"", J246 / VLOOKUP(A246, '[1]Курс валют'!$A:$D, 4, 0), "")</f>
        <v/>
      </c>
      <c r="O246" s="261"/>
    </row>
    <row r="247" spans="1:15" x14ac:dyDescent="0.45">
      <c r="A247" s="264"/>
      <c r="B247" s="263"/>
      <c r="C247" s="255"/>
      <c r="D247" s="291"/>
      <c r="E247" s="255"/>
      <c r="F247" s="256"/>
      <c r="G247" s="255" t="s">
        <v>514</v>
      </c>
      <c r="H247" s="294"/>
      <c r="I247" s="255"/>
      <c r="J247" s="297"/>
      <c r="K247" s="257"/>
      <c r="L247" s="258"/>
      <c r="M247" s="259"/>
      <c r="N247" s="260" t="str">
        <f>IF(A247&lt;&gt;"", J247 / VLOOKUP(A247, '[1]Курс валют'!$A:$D, 4, 0), "")</f>
        <v/>
      </c>
      <c r="O247" s="261"/>
    </row>
    <row r="248" spans="1:15" x14ac:dyDescent="0.45">
      <c r="A248" s="264"/>
      <c r="B248" s="263"/>
      <c r="C248" s="255"/>
      <c r="D248" s="291"/>
      <c r="E248" s="255"/>
      <c r="F248" s="256"/>
      <c r="G248" s="255" t="s">
        <v>514</v>
      </c>
      <c r="H248" s="294"/>
      <c r="I248" s="255"/>
      <c r="J248" s="297"/>
      <c r="K248" s="257"/>
      <c r="L248" s="258"/>
      <c r="M248" s="259"/>
      <c r="N248" s="260" t="str">
        <f>IF(A248&lt;&gt;"", J248 / VLOOKUP(A248, '[1]Курс валют'!$A:$D, 4, 0), "")</f>
        <v/>
      </c>
      <c r="O248" s="261"/>
    </row>
    <row r="249" spans="1:15" x14ac:dyDescent="0.45">
      <c r="A249" s="264"/>
      <c r="B249" s="263"/>
      <c r="C249" s="255"/>
      <c r="D249" s="291"/>
      <c r="E249" s="255"/>
      <c r="F249" s="256"/>
      <c r="G249" s="255" t="s">
        <v>514</v>
      </c>
      <c r="H249" s="294"/>
      <c r="I249" s="255"/>
      <c r="J249" s="297"/>
      <c r="K249" s="257"/>
      <c r="L249" s="258"/>
      <c r="M249" s="259"/>
      <c r="N249" s="260" t="str">
        <f>IF(A249&lt;&gt;"", J249 / VLOOKUP(A249, '[1]Курс валют'!$A:$D, 4, 0), "")</f>
        <v/>
      </c>
      <c r="O249" s="261"/>
    </row>
    <row r="250" spans="1:15" x14ac:dyDescent="0.45">
      <c r="A250" s="264"/>
      <c r="B250" s="263"/>
      <c r="C250" s="255"/>
      <c r="D250" s="291"/>
      <c r="E250" s="255"/>
      <c r="F250" s="256"/>
      <c r="G250" s="255" t="s">
        <v>514</v>
      </c>
      <c r="H250" s="294"/>
      <c r="I250" s="255"/>
      <c r="J250" s="297"/>
      <c r="K250" s="257"/>
      <c r="L250" s="258"/>
      <c r="M250" s="259"/>
      <c r="N250" s="260" t="str">
        <f>IF(A250&lt;&gt;"", J250 / VLOOKUP(A250, '[1]Курс валют'!$A:$D, 4, 0), "")</f>
        <v/>
      </c>
      <c r="O250" s="261"/>
    </row>
    <row r="251" spans="1:15" x14ac:dyDescent="0.45">
      <c r="A251" s="264"/>
      <c r="B251" s="263"/>
      <c r="C251" s="255"/>
      <c r="D251" s="291"/>
      <c r="E251" s="255"/>
      <c r="F251" s="256"/>
      <c r="G251" s="255" t="s">
        <v>514</v>
      </c>
      <c r="H251" s="294"/>
      <c r="I251" s="255"/>
      <c r="J251" s="297"/>
      <c r="K251" s="257"/>
      <c r="L251" s="258"/>
      <c r="M251" s="259"/>
      <c r="N251" s="260" t="str">
        <f>IF(A251&lt;&gt;"", J251 / VLOOKUP(A251, '[1]Курс валют'!$A:$D, 4, 0), "")</f>
        <v/>
      </c>
      <c r="O251" s="261"/>
    </row>
    <row r="252" spans="1:15" x14ac:dyDescent="0.45">
      <c r="A252" s="264"/>
      <c r="B252" s="263"/>
      <c r="C252" s="255"/>
      <c r="D252" s="291"/>
      <c r="E252" s="255"/>
      <c r="F252" s="256"/>
      <c r="G252" s="255" t="s">
        <v>514</v>
      </c>
      <c r="H252" s="294"/>
      <c r="I252" s="255"/>
      <c r="J252" s="297"/>
      <c r="K252" s="257"/>
      <c r="L252" s="258"/>
      <c r="M252" s="259"/>
      <c r="N252" s="260" t="str">
        <f>IF(A252&lt;&gt;"", J252 / VLOOKUP(A252, '[1]Курс валют'!$A:$D, 4, 0), "")</f>
        <v/>
      </c>
      <c r="O252" s="261"/>
    </row>
    <row r="253" spans="1:15" x14ac:dyDescent="0.45">
      <c r="A253" s="264"/>
      <c r="B253" s="263"/>
      <c r="C253" s="255"/>
      <c r="D253" s="291"/>
      <c r="E253" s="255"/>
      <c r="F253" s="256"/>
      <c r="G253" s="255" t="s">
        <v>514</v>
      </c>
      <c r="H253" s="294"/>
      <c r="I253" s="255"/>
      <c r="J253" s="297"/>
      <c r="K253" s="257"/>
      <c r="L253" s="258"/>
      <c r="M253" s="259"/>
      <c r="N253" s="260" t="str">
        <f>IF(A253&lt;&gt;"", J253 / VLOOKUP(A253, '[1]Курс валют'!$A:$D, 4, 0), "")</f>
        <v/>
      </c>
      <c r="O253" s="261"/>
    </row>
    <row r="254" spans="1:15" x14ac:dyDescent="0.45">
      <c r="A254" s="264"/>
      <c r="B254" s="263"/>
      <c r="C254" s="255"/>
      <c r="D254" s="291"/>
      <c r="E254" s="255"/>
      <c r="F254" s="256"/>
      <c r="G254" s="255" t="s">
        <v>514</v>
      </c>
      <c r="H254" s="294"/>
      <c r="I254" s="255"/>
      <c r="J254" s="297"/>
      <c r="K254" s="257"/>
      <c r="L254" s="258"/>
      <c r="M254" s="259"/>
      <c r="N254" s="260" t="str">
        <f>IF(A254&lt;&gt;"", J254 / VLOOKUP(A254, '[1]Курс валют'!$A:$D, 4, 0), "")</f>
        <v/>
      </c>
      <c r="O254" s="261"/>
    </row>
    <row r="255" spans="1:15" x14ac:dyDescent="0.45">
      <c r="A255" s="264"/>
      <c r="B255" s="263"/>
      <c r="C255" s="255"/>
      <c r="D255" s="291"/>
      <c r="E255" s="255"/>
      <c r="F255" s="256"/>
      <c r="G255" s="255" t="s">
        <v>514</v>
      </c>
      <c r="H255" s="294"/>
      <c r="I255" s="255"/>
      <c r="J255" s="297"/>
      <c r="K255" s="257"/>
      <c r="L255" s="258"/>
      <c r="M255" s="259"/>
      <c r="N255" s="260" t="str">
        <f>IF(A255&lt;&gt;"", J255 / VLOOKUP(A255, '[1]Курс валют'!$A:$D, 4, 0), "")</f>
        <v/>
      </c>
      <c r="O255" s="261"/>
    </row>
    <row r="256" spans="1:15" x14ac:dyDescent="0.45">
      <c r="A256" s="264"/>
      <c r="B256" s="263"/>
      <c r="C256" s="255"/>
      <c r="D256" s="291"/>
      <c r="E256" s="255"/>
      <c r="F256" s="256"/>
      <c r="G256" s="255" t="s">
        <v>514</v>
      </c>
      <c r="H256" s="294"/>
      <c r="I256" s="255"/>
      <c r="J256" s="297"/>
      <c r="K256" s="257"/>
      <c r="L256" s="258"/>
      <c r="M256" s="259"/>
      <c r="N256" s="260" t="str">
        <f>IF(A256&lt;&gt;"", J256 / VLOOKUP(A256, '[1]Курс валют'!$A:$D, 4, 0), "")</f>
        <v/>
      </c>
      <c r="O256" s="261"/>
    </row>
    <row r="257" spans="1:15" x14ac:dyDescent="0.45">
      <c r="A257" s="264"/>
      <c r="B257" s="263"/>
      <c r="C257" s="255"/>
      <c r="D257" s="291"/>
      <c r="E257" s="255"/>
      <c r="F257" s="256"/>
      <c r="G257" s="255" t="s">
        <v>514</v>
      </c>
      <c r="H257" s="294"/>
      <c r="I257" s="255"/>
      <c r="J257" s="297"/>
      <c r="K257" s="257"/>
      <c r="L257" s="258"/>
      <c r="M257" s="259"/>
      <c r="N257" s="260" t="str">
        <f>IF(A257&lt;&gt;"", J257 / VLOOKUP(A257, '[1]Курс валют'!$A:$D, 4, 0), "")</f>
        <v/>
      </c>
      <c r="O257" s="261"/>
    </row>
    <row r="258" spans="1:15" x14ac:dyDescent="0.45">
      <c r="A258" s="264"/>
      <c r="B258" s="263"/>
      <c r="C258" s="255"/>
      <c r="D258" s="291"/>
      <c r="E258" s="255"/>
      <c r="F258" s="256"/>
      <c r="G258" s="255" t="s">
        <v>514</v>
      </c>
      <c r="H258" s="294"/>
      <c r="I258" s="255"/>
      <c r="J258" s="297"/>
      <c r="K258" s="257"/>
      <c r="L258" s="258"/>
      <c r="M258" s="259"/>
      <c r="N258" s="260" t="str">
        <f>IF(A258&lt;&gt;"", J258 / VLOOKUP(A258, '[1]Курс валют'!$A:$D, 4, 0), "")</f>
        <v/>
      </c>
      <c r="O258" s="261"/>
    </row>
    <row r="259" spans="1:15" x14ac:dyDescent="0.45">
      <c r="A259" s="264"/>
      <c r="B259" s="263"/>
      <c r="C259" s="255"/>
      <c r="D259" s="291"/>
      <c r="E259" s="255"/>
      <c r="F259" s="256"/>
      <c r="G259" s="255" t="s">
        <v>514</v>
      </c>
      <c r="H259" s="294"/>
      <c r="I259" s="255"/>
      <c r="J259" s="297"/>
      <c r="K259" s="257"/>
      <c r="L259" s="258"/>
      <c r="M259" s="259"/>
      <c r="N259" s="260" t="str">
        <f>IF(A259&lt;&gt;"", J259 / VLOOKUP(A259, '[1]Курс валют'!$A:$D, 4, 0), "")</f>
        <v/>
      </c>
      <c r="O259" s="261"/>
    </row>
    <row r="260" spans="1:15" x14ac:dyDescent="0.45">
      <c r="A260" s="264"/>
      <c r="B260" s="263"/>
      <c r="C260" s="255"/>
      <c r="D260" s="291"/>
      <c r="E260" s="255"/>
      <c r="F260" s="256"/>
      <c r="G260" s="255" t="s">
        <v>514</v>
      </c>
      <c r="H260" s="294"/>
      <c r="I260" s="255"/>
      <c r="J260" s="297"/>
      <c r="K260" s="257"/>
      <c r="L260" s="258"/>
      <c r="M260" s="259"/>
      <c r="N260" s="260" t="str">
        <f>IF(A260&lt;&gt;"", J260 / VLOOKUP(A260, '[1]Курс валют'!$A:$D, 4, 0), "")</f>
        <v/>
      </c>
      <c r="O260" s="261"/>
    </row>
    <row r="261" spans="1:15" x14ac:dyDescent="0.45">
      <c r="A261" s="264"/>
      <c r="B261" s="263"/>
      <c r="C261" s="255"/>
      <c r="D261" s="291"/>
      <c r="E261" s="255"/>
      <c r="F261" s="256"/>
      <c r="G261" s="255" t="s">
        <v>514</v>
      </c>
      <c r="H261" s="294"/>
      <c r="I261" s="255"/>
      <c r="J261" s="297"/>
      <c r="K261" s="257"/>
      <c r="L261" s="258"/>
      <c r="M261" s="259"/>
      <c r="N261" s="260" t="str">
        <f>IF(A261&lt;&gt;"", J261 / VLOOKUP(A261, '[1]Курс валют'!$A:$D, 4, 0), "")</f>
        <v/>
      </c>
      <c r="O261" s="261"/>
    </row>
    <row r="262" spans="1:15" x14ac:dyDescent="0.45">
      <c r="A262" s="264"/>
      <c r="B262" s="263"/>
      <c r="C262" s="255"/>
      <c r="D262" s="291"/>
      <c r="E262" s="255"/>
      <c r="F262" s="256"/>
      <c r="G262" s="255" t="s">
        <v>514</v>
      </c>
      <c r="H262" s="294"/>
      <c r="I262" s="255"/>
      <c r="J262" s="297"/>
      <c r="K262" s="257"/>
      <c r="L262" s="258"/>
      <c r="M262" s="259"/>
      <c r="N262" s="260" t="str">
        <f>IF(A262&lt;&gt;"", J262 / VLOOKUP(A262, '[1]Курс валют'!$A:$D, 4, 0), "")</f>
        <v/>
      </c>
      <c r="O262" s="261"/>
    </row>
    <row r="263" spans="1:15" x14ac:dyDescent="0.45">
      <c r="A263" s="264"/>
      <c r="B263" s="263"/>
      <c r="C263" s="255"/>
      <c r="D263" s="291"/>
      <c r="E263" s="255"/>
      <c r="F263" s="256"/>
      <c r="G263" s="255" t="s">
        <v>514</v>
      </c>
      <c r="H263" s="294"/>
      <c r="I263" s="255"/>
      <c r="J263" s="297"/>
      <c r="K263" s="257"/>
      <c r="L263" s="258"/>
      <c r="M263" s="259"/>
      <c r="N263" s="260" t="str">
        <f>IF(A263&lt;&gt;"", J263 / VLOOKUP(A263, '[1]Курс валют'!$A:$D, 4, 0), "")</f>
        <v/>
      </c>
      <c r="O263" s="261"/>
    </row>
    <row r="264" spans="1:15" x14ac:dyDescent="0.45">
      <c r="A264" s="264"/>
      <c r="B264" s="263"/>
      <c r="C264" s="255"/>
      <c r="D264" s="291"/>
      <c r="E264" s="255"/>
      <c r="F264" s="256"/>
      <c r="G264" s="255" t="s">
        <v>514</v>
      </c>
      <c r="H264" s="294"/>
      <c r="I264" s="255"/>
      <c r="J264" s="297"/>
      <c r="K264" s="257"/>
      <c r="L264" s="258"/>
      <c r="M264" s="259"/>
      <c r="N264" s="260" t="str">
        <f>IF(A264&lt;&gt;"", J264 / VLOOKUP(A264, '[1]Курс валют'!$A:$D, 4, 0), "")</f>
        <v/>
      </c>
      <c r="O264" s="261"/>
    </row>
    <row r="265" spans="1:15" x14ac:dyDescent="0.45">
      <c r="A265" s="264"/>
      <c r="B265" s="263"/>
      <c r="C265" s="255"/>
      <c r="D265" s="291"/>
      <c r="E265" s="255"/>
      <c r="F265" s="256"/>
      <c r="G265" s="255" t="s">
        <v>514</v>
      </c>
      <c r="H265" s="294"/>
      <c r="I265" s="255"/>
      <c r="J265" s="297"/>
      <c r="K265" s="257"/>
      <c r="L265" s="258"/>
      <c r="M265" s="259"/>
      <c r="N265" s="260" t="str">
        <f>IF(A265&lt;&gt;"", J265 / VLOOKUP(A265, '[1]Курс валют'!$A:$D, 4, 0), "")</f>
        <v/>
      </c>
      <c r="O265" s="261"/>
    </row>
    <row r="266" spans="1:15" x14ac:dyDescent="0.45">
      <c r="A266" s="264"/>
      <c r="B266" s="263"/>
      <c r="C266" s="255"/>
      <c r="D266" s="291"/>
      <c r="E266" s="255"/>
      <c r="F266" s="256"/>
      <c r="G266" s="255" t="s">
        <v>514</v>
      </c>
      <c r="H266" s="294"/>
      <c r="I266" s="255"/>
      <c r="J266" s="297"/>
      <c r="K266" s="257"/>
      <c r="L266" s="258"/>
      <c r="M266" s="259"/>
      <c r="N266" s="260" t="str">
        <f>IF(A266&lt;&gt;"", J266 / VLOOKUP(A266, '[1]Курс валют'!$A:$D, 4, 0), "")</f>
        <v/>
      </c>
      <c r="O266" s="261"/>
    </row>
    <row r="267" spans="1:15" x14ac:dyDescent="0.45">
      <c r="A267" s="264"/>
      <c r="B267" s="263"/>
      <c r="C267" s="255"/>
      <c r="D267" s="291"/>
      <c r="E267" s="255"/>
      <c r="F267" s="256"/>
      <c r="G267" s="255" t="s">
        <v>514</v>
      </c>
      <c r="H267" s="294"/>
      <c r="I267" s="255"/>
      <c r="J267" s="297"/>
      <c r="K267" s="257"/>
      <c r="L267" s="258"/>
      <c r="M267" s="259"/>
      <c r="N267" s="260" t="str">
        <f>IF(A267&lt;&gt;"", J267 / VLOOKUP(A267, '[1]Курс валют'!$A:$D, 4, 0), "")</f>
        <v/>
      </c>
      <c r="O267" s="261"/>
    </row>
    <row r="268" spans="1:15" x14ac:dyDescent="0.45">
      <c r="A268" s="264"/>
      <c r="B268" s="263"/>
      <c r="C268" s="255"/>
      <c r="D268" s="291"/>
      <c r="E268" s="255"/>
      <c r="F268" s="256"/>
      <c r="G268" s="255" t="s">
        <v>514</v>
      </c>
      <c r="H268" s="294"/>
      <c r="I268" s="255"/>
      <c r="J268" s="297"/>
      <c r="K268" s="257"/>
      <c r="L268" s="258"/>
      <c r="M268" s="259"/>
      <c r="N268" s="260" t="str">
        <f>IF(A268&lt;&gt;"", J268 / VLOOKUP(A268, '[1]Курс валют'!$A:$D, 4, 0), "")</f>
        <v/>
      </c>
      <c r="O268" s="261"/>
    </row>
    <row r="269" spans="1:15" x14ac:dyDescent="0.45">
      <c r="A269" s="264"/>
      <c r="B269" s="263"/>
      <c r="C269" s="255"/>
      <c r="D269" s="291"/>
      <c r="E269" s="255"/>
      <c r="F269" s="256"/>
      <c r="G269" s="255" t="s">
        <v>514</v>
      </c>
      <c r="H269" s="294"/>
      <c r="I269" s="255"/>
      <c r="J269" s="297"/>
      <c r="K269" s="257"/>
      <c r="L269" s="258"/>
      <c r="M269" s="259"/>
      <c r="N269" s="260" t="str">
        <f>IF(A269&lt;&gt;"", J269 / VLOOKUP(A269, '[1]Курс валют'!$A:$D, 4, 0), "")</f>
        <v/>
      </c>
      <c r="O269" s="261"/>
    </row>
    <row r="270" spans="1:15" x14ac:dyDescent="0.45">
      <c r="A270" s="264"/>
      <c r="B270" s="263"/>
      <c r="C270" s="255"/>
      <c r="D270" s="291"/>
      <c r="E270" s="255"/>
      <c r="F270" s="256"/>
      <c r="G270" s="255" t="s">
        <v>514</v>
      </c>
      <c r="H270" s="294"/>
      <c r="I270" s="255"/>
      <c r="J270" s="297"/>
      <c r="K270" s="257"/>
      <c r="L270" s="258"/>
      <c r="M270" s="259"/>
      <c r="N270" s="260" t="str">
        <f>IF(A270&lt;&gt;"", J270 / VLOOKUP(A270, '[1]Курс валют'!$A:$D, 4, 0), "")</f>
        <v/>
      </c>
      <c r="O270" s="261"/>
    </row>
    <row r="271" spans="1:15" x14ac:dyDescent="0.45">
      <c r="A271" s="264"/>
      <c r="B271" s="263"/>
      <c r="C271" s="255"/>
      <c r="D271" s="291"/>
      <c r="E271" s="255"/>
      <c r="F271" s="256"/>
      <c r="G271" s="255" t="s">
        <v>514</v>
      </c>
      <c r="H271" s="294"/>
      <c r="I271" s="255"/>
      <c r="J271" s="297"/>
      <c r="K271" s="257"/>
      <c r="L271" s="258"/>
      <c r="M271" s="259"/>
      <c r="N271" s="260" t="str">
        <f>IF(A271&lt;&gt;"", J271 / VLOOKUP(A271, '[1]Курс валют'!$A:$D, 4, 0), "")</f>
        <v/>
      </c>
      <c r="O271" s="261"/>
    </row>
    <row r="272" spans="1:15" x14ac:dyDescent="0.45">
      <c r="A272" s="264"/>
      <c r="B272" s="263"/>
      <c r="C272" s="255"/>
      <c r="D272" s="291"/>
      <c r="E272" s="255"/>
      <c r="F272" s="256"/>
      <c r="G272" s="255" t="s">
        <v>514</v>
      </c>
      <c r="H272" s="294"/>
      <c r="I272" s="255"/>
      <c r="J272" s="297"/>
      <c r="K272" s="257"/>
      <c r="L272" s="258"/>
      <c r="M272" s="259"/>
      <c r="N272" s="260" t="str">
        <f>IF(A272&lt;&gt;"", J272 / VLOOKUP(A272, '[1]Курс валют'!$A:$D, 4, 0), "")</f>
        <v/>
      </c>
      <c r="O272" s="261"/>
    </row>
    <row r="273" spans="1:15" x14ac:dyDescent="0.45">
      <c r="A273" s="264"/>
      <c r="B273" s="263"/>
      <c r="C273" s="255"/>
      <c r="D273" s="291"/>
      <c r="E273" s="255"/>
      <c r="F273" s="256"/>
      <c r="G273" s="255" t="s">
        <v>514</v>
      </c>
      <c r="H273" s="294"/>
      <c r="I273" s="255"/>
      <c r="J273" s="297"/>
      <c r="K273" s="257"/>
      <c r="L273" s="258"/>
      <c r="M273" s="259"/>
      <c r="N273" s="260" t="str">
        <f>IF(A273&lt;&gt;"", J273 / VLOOKUP(A273, '[1]Курс валют'!$A:$D, 4, 0), "")</f>
        <v/>
      </c>
      <c r="O273" s="261"/>
    </row>
    <row r="274" spans="1:15" x14ac:dyDescent="0.45">
      <c r="A274" s="264"/>
      <c r="B274" s="263"/>
      <c r="C274" s="255"/>
      <c r="D274" s="291"/>
      <c r="E274" s="255"/>
      <c r="F274" s="256"/>
      <c r="G274" s="255" t="s">
        <v>514</v>
      </c>
      <c r="H274" s="294"/>
      <c r="I274" s="255"/>
      <c r="J274" s="297"/>
      <c r="K274" s="257"/>
      <c r="L274" s="258"/>
      <c r="M274" s="259"/>
      <c r="N274" s="260" t="str">
        <f>IF(A274&lt;&gt;"", J274 / VLOOKUP(A274, '[1]Курс валют'!$A:$D, 4, 0), "")</f>
        <v/>
      </c>
      <c r="O274" s="261"/>
    </row>
    <row r="275" spans="1:15" x14ac:dyDescent="0.45">
      <c r="A275" s="264"/>
      <c r="B275" s="263"/>
      <c r="C275" s="255"/>
      <c r="D275" s="291"/>
      <c r="E275" s="255"/>
      <c r="F275" s="256"/>
      <c r="G275" s="255" t="s">
        <v>514</v>
      </c>
      <c r="H275" s="294"/>
      <c r="I275" s="255"/>
      <c r="J275" s="297"/>
      <c r="K275" s="257"/>
      <c r="L275" s="258"/>
      <c r="M275" s="259"/>
      <c r="N275" s="260" t="str">
        <f>IF(A275&lt;&gt;"", J275 / VLOOKUP(A275, '[1]Курс валют'!$A:$D, 4, 0), "")</f>
        <v/>
      </c>
      <c r="O275" s="261"/>
    </row>
    <row r="276" spans="1:15" x14ac:dyDescent="0.45">
      <c r="A276" s="264"/>
      <c r="B276" s="263"/>
      <c r="C276" s="255"/>
      <c r="D276" s="291"/>
      <c r="E276" s="255"/>
      <c r="F276" s="256"/>
      <c r="G276" s="255" t="s">
        <v>514</v>
      </c>
      <c r="H276" s="294"/>
      <c r="I276" s="255"/>
      <c r="J276" s="297"/>
      <c r="K276" s="257"/>
      <c r="L276" s="258"/>
      <c r="M276" s="259"/>
      <c r="N276" s="260" t="str">
        <f>IF(A276&lt;&gt;"", J276 / VLOOKUP(A276, '[1]Курс валют'!$A:$D, 4, 0), "")</f>
        <v/>
      </c>
      <c r="O276" s="261"/>
    </row>
    <row r="277" spans="1:15" x14ac:dyDescent="0.45">
      <c r="A277" s="264"/>
      <c r="B277" s="263"/>
      <c r="C277" s="255"/>
      <c r="D277" s="291"/>
      <c r="E277" s="255"/>
      <c r="F277" s="256"/>
      <c r="G277" s="255" t="s">
        <v>514</v>
      </c>
      <c r="H277" s="294"/>
      <c r="I277" s="255"/>
      <c r="J277" s="297"/>
      <c r="K277" s="257"/>
      <c r="L277" s="258"/>
      <c r="M277" s="259"/>
      <c r="N277" s="260" t="str">
        <f>IF(A277&lt;&gt;"", J277 / VLOOKUP(A277, '[1]Курс валют'!$A:$D, 4, 0), "")</f>
        <v/>
      </c>
      <c r="O277" s="261"/>
    </row>
    <row r="278" spans="1:15" x14ac:dyDescent="0.45">
      <c r="A278" s="264"/>
      <c r="B278" s="263"/>
      <c r="C278" s="255"/>
      <c r="D278" s="291"/>
      <c r="E278" s="255"/>
      <c r="F278" s="256"/>
      <c r="G278" s="255" t="s">
        <v>514</v>
      </c>
      <c r="H278" s="294"/>
      <c r="I278" s="255"/>
      <c r="J278" s="297"/>
      <c r="K278" s="257"/>
      <c r="L278" s="258"/>
      <c r="M278" s="259"/>
      <c r="N278" s="260" t="str">
        <f>IF(A278&lt;&gt;"", J278 / VLOOKUP(A278, '[1]Курс валют'!$A:$D, 4, 0), "")</f>
        <v/>
      </c>
      <c r="O278" s="261"/>
    </row>
    <row r="279" spans="1:15" x14ac:dyDescent="0.45">
      <c r="A279" s="264"/>
      <c r="B279" s="263"/>
      <c r="C279" s="255"/>
      <c r="D279" s="291"/>
      <c r="E279" s="255"/>
      <c r="F279" s="256"/>
      <c r="G279" s="255" t="s">
        <v>514</v>
      </c>
      <c r="H279" s="294"/>
      <c r="I279" s="255"/>
      <c r="J279" s="297"/>
      <c r="K279" s="257"/>
      <c r="L279" s="258"/>
      <c r="M279" s="259"/>
      <c r="N279" s="260" t="str">
        <f>IF(A279&lt;&gt;"", J279 / VLOOKUP(A279, '[1]Курс валют'!$A:$D, 4, 0), "")</f>
        <v/>
      </c>
      <c r="O279" s="261"/>
    </row>
    <row r="280" spans="1:15" x14ac:dyDescent="0.45">
      <c r="A280" s="264"/>
      <c r="B280" s="263"/>
      <c r="C280" s="255"/>
      <c r="D280" s="291"/>
      <c r="E280" s="255"/>
      <c r="F280" s="256"/>
      <c r="G280" s="255" t="s">
        <v>514</v>
      </c>
      <c r="H280" s="294"/>
      <c r="I280" s="255"/>
      <c r="J280" s="297"/>
      <c r="K280" s="257"/>
      <c r="L280" s="258"/>
      <c r="M280" s="259"/>
      <c r="N280" s="260" t="str">
        <f>IF(A280&lt;&gt;"", J280 / VLOOKUP(A280, '[1]Курс валют'!$A:$D, 4, 0), "")</f>
        <v/>
      </c>
      <c r="O280" s="261"/>
    </row>
    <row r="281" spans="1:15" x14ac:dyDescent="0.45">
      <c r="A281" s="264"/>
      <c r="B281" s="263"/>
      <c r="C281" s="255"/>
      <c r="D281" s="291"/>
      <c r="E281" s="255"/>
      <c r="F281" s="256"/>
      <c r="G281" s="255" t="s">
        <v>514</v>
      </c>
      <c r="H281" s="294"/>
      <c r="I281" s="255"/>
      <c r="J281" s="297"/>
      <c r="K281" s="257"/>
      <c r="L281" s="258"/>
      <c r="M281" s="259"/>
      <c r="N281" s="260" t="str">
        <f>IF(A281&lt;&gt;"", J281 / VLOOKUP(A281, '[1]Курс валют'!$A:$D, 4, 0), "")</f>
        <v/>
      </c>
      <c r="O281" s="261"/>
    </row>
    <row r="282" spans="1:15" x14ac:dyDescent="0.45">
      <c r="A282" s="264"/>
      <c r="B282" s="263"/>
      <c r="C282" s="255"/>
      <c r="D282" s="291"/>
      <c r="E282" s="255"/>
      <c r="F282" s="256"/>
      <c r="G282" s="255" t="s">
        <v>514</v>
      </c>
      <c r="H282" s="294"/>
      <c r="I282" s="255"/>
      <c r="J282" s="297"/>
      <c r="K282" s="257"/>
      <c r="L282" s="258"/>
      <c r="M282" s="259"/>
      <c r="N282" s="260" t="str">
        <f>IF(A282&lt;&gt;"", J282 / VLOOKUP(A282, '[1]Курс валют'!$A:$D, 4, 0), "")</f>
        <v/>
      </c>
      <c r="O282" s="261"/>
    </row>
    <row r="283" spans="1:15" x14ac:dyDescent="0.45">
      <c r="A283" s="264"/>
      <c r="B283" s="263"/>
      <c r="C283" s="255"/>
      <c r="D283" s="291"/>
      <c r="E283" s="255"/>
      <c r="F283" s="256"/>
      <c r="G283" s="255" t="s">
        <v>514</v>
      </c>
      <c r="H283" s="294"/>
      <c r="I283" s="255"/>
      <c r="J283" s="297"/>
      <c r="K283" s="257"/>
      <c r="L283" s="258"/>
      <c r="M283" s="259"/>
      <c r="N283" s="260" t="str">
        <f>IF(A283&lt;&gt;"", J283 / VLOOKUP(A283, '[1]Курс валют'!$A:$D, 4, 0), "")</f>
        <v/>
      </c>
      <c r="O283" s="261"/>
    </row>
    <row r="284" spans="1:15" x14ac:dyDescent="0.45">
      <c r="A284" s="264"/>
      <c r="B284" s="263"/>
      <c r="C284" s="255"/>
      <c r="D284" s="291"/>
      <c r="E284" s="255"/>
      <c r="F284" s="256"/>
      <c r="G284" s="255" t="s">
        <v>514</v>
      </c>
      <c r="H284" s="294"/>
      <c r="I284" s="255"/>
      <c r="J284" s="297"/>
      <c r="K284" s="257"/>
      <c r="L284" s="258"/>
      <c r="M284" s="259"/>
      <c r="N284" s="260" t="str">
        <f>IF(A284&lt;&gt;"", J284 / VLOOKUP(A284, '[1]Курс валют'!$A:$D, 4, 0), "")</f>
        <v/>
      </c>
      <c r="O284" s="261"/>
    </row>
    <row r="285" spans="1:15" x14ac:dyDescent="0.45">
      <c r="A285" s="264"/>
      <c r="B285" s="263"/>
      <c r="C285" s="255"/>
      <c r="D285" s="291"/>
      <c r="E285" s="255"/>
      <c r="F285" s="256"/>
      <c r="G285" s="255" t="s">
        <v>514</v>
      </c>
      <c r="H285" s="294"/>
      <c r="I285" s="255"/>
      <c r="J285" s="297"/>
      <c r="K285" s="257"/>
      <c r="L285" s="258"/>
      <c r="M285" s="259"/>
      <c r="N285" s="260" t="str">
        <f>IF(A285&lt;&gt;"", J285 / VLOOKUP(A285, '[1]Курс валют'!$A:$D, 4, 0), "")</f>
        <v/>
      </c>
      <c r="O285" s="261"/>
    </row>
    <row r="286" spans="1:15" x14ac:dyDescent="0.45">
      <c r="A286" s="264"/>
      <c r="B286" s="263"/>
      <c r="C286" s="255"/>
      <c r="D286" s="291"/>
      <c r="E286" s="255"/>
      <c r="F286" s="256"/>
      <c r="G286" s="255" t="s">
        <v>514</v>
      </c>
      <c r="H286" s="294"/>
      <c r="I286" s="255"/>
      <c r="J286" s="297"/>
      <c r="K286" s="257"/>
      <c r="L286" s="258"/>
      <c r="M286" s="259"/>
      <c r="N286" s="260" t="str">
        <f>IF(A286&lt;&gt;"", J286 / VLOOKUP(A286, '[1]Курс валют'!$A:$D, 4, 0), "")</f>
        <v/>
      </c>
      <c r="O286" s="261"/>
    </row>
    <row r="287" spans="1:15" x14ac:dyDescent="0.45">
      <c r="A287" s="264"/>
      <c r="B287" s="263"/>
      <c r="C287" s="255"/>
      <c r="D287" s="291"/>
      <c r="E287" s="255"/>
      <c r="F287" s="256"/>
      <c r="G287" s="255" t="s">
        <v>514</v>
      </c>
      <c r="H287" s="294"/>
      <c r="I287" s="255"/>
      <c r="J287" s="297"/>
      <c r="K287" s="257"/>
      <c r="L287" s="258"/>
      <c r="M287" s="259"/>
      <c r="N287" s="260" t="str">
        <f>IF(A287&lt;&gt;"", J287 / VLOOKUP(A287, '[1]Курс валют'!$A:$D, 4, 0), "")</f>
        <v/>
      </c>
      <c r="O287" s="261"/>
    </row>
    <row r="288" spans="1:15" x14ac:dyDescent="0.45">
      <c r="A288" s="264"/>
      <c r="B288" s="263"/>
      <c r="C288" s="255"/>
      <c r="D288" s="291"/>
      <c r="E288" s="255"/>
      <c r="F288" s="256"/>
      <c r="G288" s="255" t="s">
        <v>514</v>
      </c>
      <c r="H288" s="294"/>
      <c r="I288" s="255"/>
      <c r="J288" s="297"/>
      <c r="K288" s="257"/>
      <c r="L288" s="258"/>
      <c r="M288" s="259"/>
      <c r="N288" s="260" t="str">
        <f>IF(A288&lt;&gt;"", J288 / VLOOKUP(A288, '[1]Курс валют'!$A:$D, 4, 0), "")</f>
        <v/>
      </c>
      <c r="O288" s="261"/>
    </row>
    <row r="289" spans="1:15" x14ac:dyDescent="0.45">
      <c r="A289" s="264"/>
      <c r="B289" s="263"/>
      <c r="C289" s="255"/>
      <c r="D289" s="291"/>
      <c r="E289" s="255"/>
      <c r="F289" s="256"/>
      <c r="G289" s="255" t="s">
        <v>514</v>
      </c>
      <c r="H289" s="294"/>
      <c r="I289" s="255"/>
      <c r="J289" s="297"/>
      <c r="K289" s="257"/>
      <c r="L289" s="258"/>
      <c r="M289" s="259"/>
      <c r="N289" s="260" t="str">
        <f>IF(A289&lt;&gt;"", J289 / VLOOKUP(A289, '[1]Курс валют'!$A:$D, 4, 0), "")</f>
        <v/>
      </c>
      <c r="O289" s="261"/>
    </row>
    <row r="290" spans="1:15" x14ac:dyDescent="0.45">
      <c r="A290" s="264"/>
      <c r="B290" s="263"/>
      <c r="C290" s="255"/>
      <c r="D290" s="291"/>
      <c r="E290" s="255"/>
      <c r="F290" s="256"/>
      <c r="G290" s="255" t="s">
        <v>514</v>
      </c>
      <c r="H290" s="294"/>
      <c r="I290" s="255"/>
      <c r="J290" s="297"/>
      <c r="K290" s="257"/>
      <c r="L290" s="258"/>
      <c r="M290" s="259"/>
      <c r="N290" s="260" t="str">
        <f>IF(A290&lt;&gt;"", J290 / VLOOKUP(A290, '[1]Курс валют'!$A:$D, 4, 0), "")</f>
        <v/>
      </c>
      <c r="O290" s="261"/>
    </row>
    <row r="291" spans="1:15" x14ac:dyDescent="0.45">
      <c r="A291" s="264"/>
      <c r="B291" s="263"/>
      <c r="C291" s="255"/>
      <c r="D291" s="291"/>
      <c r="E291" s="255"/>
      <c r="F291" s="256"/>
      <c r="G291" s="255" t="s">
        <v>514</v>
      </c>
      <c r="H291" s="294"/>
      <c r="I291" s="255"/>
      <c r="J291" s="297"/>
      <c r="K291" s="257"/>
      <c r="L291" s="258"/>
      <c r="M291" s="259"/>
      <c r="N291" s="260" t="str">
        <f>IF(A291&lt;&gt;"", J291 / VLOOKUP(A291, '[1]Курс валют'!$A:$D, 4, 0), "")</f>
        <v/>
      </c>
      <c r="O291" s="261"/>
    </row>
    <row r="292" spans="1:15" x14ac:dyDescent="0.45">
      <c r="A292" s="264"/>
      <c r="B292" s="263"/>
      <c r="C292" s="255"/>
      <c r="D292" s="291"/>
      <c r="E292" s="255"/>
      <c r="F292" s="256"/>
      <c r="G292" s="255" t="s">
        <v>514</v>
      </c>
      <c r="H292" s="294"/>
      <c r="I292" s="255"/>
      <c r="J292" s="297"/>
      <c r="K292" s="257"/>
      <c r="L292" s="258"/>
      <c r="M292" s="259"/>
      <c r="N292" s="260" t="str">
        <f>IF(A292&lt;&gt;"", J292 / VLOOKUP(A292, '[1]Курс валют'!$A:$D, 4, 0), "")</f>
        <v/>
      </c>
      <c r="O292" s="261"/>
    </row>
    <row r="293" spans="1:15" x14ac:dyDescent="0.45">
      <c r="A293" s="264"/>
      <c r="B293" s="263"/>
      <c r="C293" s="255"/>
      <c r="D293" s="291"/>
      <c r="E293" s="255"/>
      <c r="F293" s="256"/>
      <c r="G293" s="255" t="s">
        <v>514</v>
      </c>
      <c r="H293" s="294"/>
      <c r="I293" s="255"/>
      <c r="J293" s="297"/>
      <c r="K293" s="257"/>
      <c r="L293" s="258"/>
      <c r="M293" s="259"/>
      <c r="N293" s="260" t="str">
        <f>IF(A293&lt;&gt;"", J293 / VLOOKUP(A293, '[1]Курс валют'!$A:$D, 4, 0), "")</f>
        <v/>
      </c>
      <c r="O293" s="261"/>
    </row>
    <row r="294" spans="1:15" x14ac:dyDescent="0.45">
      <c r="A294" s="264"/>
      <c r="B294" s="263"/>
      <c r="C294" s="255"/>
      <c r="D294" s="291"/>
      <c r="E294" s="255"/>
      <c r="F294" s="256"/>
      <c r="G294" s="255" t="s">
        <v>514</v>
      </c>
      <c r="H294" s="294"/>
      <c r="I294" s="255"/>
      <c r="J294" s="297"/>
      <c r="K294" s="257"/>
      <c r="L294" s="258"/>
      <c r="M294" s="259"/>
      <c r="N294" s="260" t="str">
        <f>IF(A294&lt;&gt;"", J294 / VLOOKUP(A294, '[1]Курс валют'!$A:$D, 4, 0), "")</f>
        <v/>
      </c>
      <c r="O294" s="261"/>
    </row>
    <row r="295" spans="1:15" x14ac:dyDescent="0.45">
      <c r="A295" s="264"/>
      <c r="B295" s="263"/>
      <c r="C295" s="255"/>
      <c r="D295" s="291"/>
      <c r="E295" s="255"/>
      <c r="F295" s="256"/>
      <c r="G295" s="255" t="s">
        <v>514</v>
      </c>
      <c r="H295" s="294"/>
      <c r="I295" s="255"/>
      <c r="J295" s="297"/>
      <c r="K295" s="257"/>
      <c r="L295" s="258"/>
      <c r="M295" s="259"/>
      <c r="N295" s="260" t="str">
        <f>IF(A295&lt;&gt;"", J295 / VLOOKUP(A295, '[1]Курс валют'!$A:$D, 4, 0), "")</f>
        <v/>
      </c>
      <c r="O295" s="261"/>
    </row>
    <row r="296" spans="1:15" x14ac:dyDescent="0.45">
      <c r="A296" s="264"/>
      <c r="B296" s="263"/>
      <c r="C296" s="255"/>
      <c r="D296" s="291"/>
      <c r="E296" s="255"/>
      <c r="F296" s="256"/>
      <c r="G296" s="255" t="s">
        <v>514</v>
      </c>
      <c r="H296" s="294"/>
      <c r="I296" s="255"/>
      <c r="J296" s="297"/>
      <c r="K296" s="257"/>
      <c r="L296" s="258"/>
      <c r="M296" s="259"/>
      <c r="N296" s="260" t="str">
        <f>IF(A296&lt;&gt;"", J296 / VLOOKUP(A296, '[1]Курс валют'!$A:$D, 4, 0), "")</f>
        <v/>
      </c>
      <c r="O296" s="261"/>
    </row>
    <row r="297" spans="1:15" x14ac:dyDescent="0.45">
      <c r="A297" s="264"/>
      <c r="B297" s="263"/>
      <c r="C297" s="255"/>
      <c r="D297" s="291"/>
      <c r="E297" s="255"/>
      <c r="F297" s="256"/>
      <c r="G297" s="255" t="s">
        <v>514</v>
      </c>
      <c r="H297" s="294"/>
      <c r="I297" s="255"/>
      <c r="J297" s="297"/>
      <c r="K297" s="257"/>
      <c r="L297" s="258"/>
      <c r="M297" s="259"/>
      <c r="N297" s="260" t="str">
        <f>IF(A297&lt;&gt;"", J297 / VLOOKUP(A297, '[1]Курс валют'!$A:$D, 4, 0), "")</f>
        <v/>
      </c>
      <c r="O297" s="261"/>
    </row>
    <row r="298" spans="1:15" x14ac:dyDescent="0.45">
      <c r="A298" s="264"/>
      <c r="B298" s="263"/>
      <c r="C298" s="255"/>
      <c r="D298" s="291"/>
      <c r="E298" s="255"/>
      <c r="F298" s="256"/>
      <c r="G298" s="255" t="s">
        <v>514</v>
      </c>
      <c r="H298" s="294"/>
      <c r="I298" s="255"/>
      <c r="J298" s="297"/>
      <c r="K298" s="257"/>
      <c r="L298" s="258"/>
      <c r="M298" s="259"/>
      <c r="N298" s="260" t="str">
        <f>IF(A298&lt;&gt;"", J298 / VLOOKUP(A298, '[1]Курс валют'!$A:$D, 4, 0), "")</f>
        <v/>
      </c>
      <c r="O298" s="261"/>
    </row>
    <row r="299" spans="1:15" x14ac:dyDescent="0.45">
      <c r="A299" s="264"/>
      <c r="B299" s="263"/>
      <c r="C299" s="255"/>
      <c r="D299" s="291"/>
      <c r="E299" s="255"/>
      <c r="F299" s="256"/>
      <c r="G299" s="255" t="s">
        <v>514</v>
      </c>
      <c r="H299" s="294"/>
      <c r="I299" s="255"/>
      <c r="J299" s="297"/>
      <c r="K299" s="257"/>
      <c r="L299" s="258"/>
      <c r="M299" s="259"/>
      <c r="N299" s="260" t="str">
        <f>IF(A299&lt;&gt;"", J299 / VLOOKUP(A299, '[1]Курс валют'!$A:$D, 4, 0), "")</f>
        <v/>
      </c>
      <c r="O299" s="261"/>
    </row>
    <row r="300" spans="1:15" x14ac:dyDescent="0.45">
      <c r="A300" s="264"/>
      <c r="B300" s="263"/>
      <c r="C300" s="255"/>
      <c r="D300" s="291"/>
      <c r="E300" s="255"/>
      <c r="F300" s="256"/>
      <c r="G300" s="255" t="s">
        <v>514</v>
      </c>
      <c r="H300" s="294"/>
      <c r="I300" s="255"/>
      <c r="J300" s="297"/>
      <c r="K300" s="257"/>
      <c r="L300" s="258"/>
      <c r="M300" s="259"/>
      <c r="N300" s="260" t="str">
        <f>IF(A300&lt;&gt;"", J300 / VLOOKUP(A300, '[1]Курс валют'!$A:$D, 4, 0), "")</f>
        <v/>
      </c>
      <c r="O300" s="261"/>
    </row>
    <row r="301" spans="1:15" x14ac:dyDescent="0.45">
      <c r="A301" s="265"/>
      <c r="B301" s="266"/>
      <c r="C301" s="267"/>
      <c r="D301" s="292"/>
      <c r="E301" s="267"/>
      <c r="F301" s="268"/>
      <c r="G301" s="267" t="s">
        <v>514</v>
      </c>
      <c r="H301" s="295"/>
      <c r="I301" s="267"/>
      <c r="J301" s="298"/>
      <c r="K301" s="269"/>
      <c r="L301" s="270"/>
      <c r="M301" s="271"/>
      <c r="N301" s="272" t="str">
        <f>IF(A301&lt;&gt;"", J301 / VLOOKUP(A301, '[1]Курс валют'!$A:$D, 4, 0), "")</f>
        <v/>
      </c>
      <c r="O301" s="273"/>
    </row>
    <row r="302" spans="1:15" x14ac:dyDescent="0.45">
      <c r="A302" s="245"/>
      <c r="B302" s="246"/>
      <c r="C302" s="247"/>
      <c r="D302" s="248"/>
      <c r="E302" s="249"/>
      <c r="F302" s="249"/>
      <c r="G302" s="249"/>
      <c r="H302" s="250"/>
      <c r="I302" s="249"/>
      <c r="J302" s="251"/>
      <c r="K302" s="249"/>
      <c r="L302" s="249"/>
      <c r="M302" s="252"/>
      <c r="O302" s="249"/>
    </row>
  </sheetData>
  <conditionalFormatting sqref="A2:G301">
    <cfRule type="expression" dxfId="33" priority="1">
      <formula>MOD(ROW(),2)=0</formula>
    </cfRule>
  </conditionalFormatting>
  <conditionalFormatting sqref="A2:O301">
    <cfRule type="expression" dxfId="32" priority="4">
      <formula>OR(ISNUMBER(SEARCH("Итог",$A2)),ISNUMBER(SEARCH("Итог",$B2)))</formula>
    </cfRule>
  </conditionalFormatting>
  <conditionalFormatting sqref="C2:C301">
    <cfRule type="expression" dxfId="31" priority="6">
      <formula>AND($C2&lt;&gt;"",ISERROR(SEARCH("Итог",$B2)))</formula>
    </cfRule>
  </conditionalFormatting>
  <conditionalFormatting sqref="G2:G301">
    <cfRule type="expression" dxfId="30" priority="5">
      <formula>$G2="USD"</formula>
    </cfRule>
  </conditionalFormatting>
  <conditionalFormatting sqref="I2:I301">
    <cfRule type="expression" dxfId="29" priority="2">
      <formula>MOD(ROW(),2)=0</formula>
    </cfRule>
  </conditionalFormatting>
  <conditionalFormatting sqref="K2:L301">
    <cfRule type="expression" dxfId="28" priority="3">
      <formula>MOD(ROW(),2)=0</formula>
    </cfRule>
  </conditionalFormatting>
  <dataValidations count="3">
    <dataValidation type="list" allowBlank="1" showInputMessage="1" showErrorMessage="1" sqref="O1:O1048576" xr:uid="{812D5277-DFFD-49EC-9CAD-8CF1D724B98D}">
      <formula1>"Возвращен, При себе"</formula1>
    </dataValidation>
    <dataValidation type="list" allowBlank="1" showInputMessage="1" showErrorMessage="1" sqref="F1:F1048576" xr:uid="{936A36EB-2111-40E3-A61C-A0B10E6238B5}">
      <formula1>"Наличные, Карта"</formula1>
    </dataValidation>
    <dataValidation type="list" allowBlank="1" showInputMessage="1" showErrorMessage="1" sqref="G1:G1048576" xr:uid="{5DDCFF09-06CD-47CE-863F-B73E54551AA5}">
      <formula1>"UZS,USD"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11054-F212-4820-A5AB-14CD2DF7CBCC}">
  <sheetPr codeName="Worksheet____11"/>
  <dimension ref="A1:F56"/>
  <sheetViews>
    <sheetView workbookViewId="0">
      <pane ySplit="1" topLeftCell="A37" activePane="bottomLeft" state="frozen"/>
      <selection activeCell="B1" sqref="B1"/>
      <selection pane="bottomLeft" activeCell="F48" sqref="F48"/>
    </sheetView>
  </sheetViews>
  <sheetFormatPr defaultRowHeight="14.25" x14ac:dyDescent="0.45"/>
  <cols>
    <col min="1" max="1" width="16.796875" customWidth="1"/>
    <col min="2" max="2" width="24.86328125" customWidth="1"/>
    <col min="3" max="3" width="19.6640625" customWidth="1"/>
    <col min="4" max="4" width="26.796875" customWidth="1"/>
    <col min="5" max="5" width="19.6640625" customWidth="1"/>
    <col min="6" max="6" width="21.265625" customWidth="1"/>
  </cols>
  <sheetData>
    <row r="1" spans="1:6" ht="42" customHeight="1" x14ac:dyDescent="0.45">
      <c r="A1" s="378" t="s">
        <v>26</v>
      </c>
      <c r="B1" s="379" t="s">
        <v>54</v>
      </c>
      <c r="C1" s="379" t="s">
        <v>33</v>
      </c>
      <c r="D1" s="379" t="s">
        <v>55</v>
      </c>
      <c r="E1" s="379" t="s">
        <v>36</v>
      </c>
      <c r="F1" s="380" t="s">
        <v>36</v>
      </c>
    </row>
    <row r="2" spans="1:6" x14ac:dyDescent="0.45">
      <c r="A2" s="381" t="s">
        <v>57</v>
      </c>
      <c r="B2" s="351" t="s">
        <v>650</v>
      </c>
      <c r="C2" s="352" t="s">
        <v>651</v>
      </c>
      <c r="D2" s="353" t="s">
        <v>652</v>
      </c>
      <c r="E2" s="354" t="s">
        <v>653</v>
      </c>
      <c r="F2" s="383" t="s">
        <v>654</v>
      </c>
    </row>
    <row r="3" spans="1:6" x14ac:dyDescent="0.45">
      <c r="A3" s="381">
        <v>45920</v>
      </c>
      <c r="B3" s="351" t="s">
        <v>655</v>
      </c>
      <c r="C3" s="352" t="s">
        <v>43</v>
      </c>
      <c r="D3" s="353">
        <v>1400000</v>
      </c>
      <c r="E3" s="354"/>
      <c r="F3" s="383" t="e">
        <f>IF(A3&lt;&gt;"", D3 / VLOOKUP(A3, 'Курс валют'!$A:$D, 4, 0), "")+Таблица4[[#This Row],[Столбец5]]</f>
        <v>#N/A</v>
      </c>
    </row>
    <row r="4" spans="1:6" x14ac:dyDescent="0.45">
      <c r="A4" s="382">
        <v>45924</v>
      </c>
      <c r="B4" s="345" t="s">
        <v>655</v>
      </c>
      <c r="C4" s="346" t="s">
        <v>43</v>
      </c>
      <c r="D4" s="347">
        <v>3700000</v>
      </c>
      <c r="E4" s="348"/>
      <c r="F4" s="383" t="e">
        <f>IF(A4&lt;&gt;"", D4 / VLOOKUP(A4, 'Курс валют'!$A:$D, 4, 0), "")+Таблица4[[#This Row],[Столбец5]]</f>
        <v>#N/A</v>
      </c>
    </row>
    <row r="5" spans="1:6" x14ac:dyDescent="0.45">
      <c r="A5" s="382">
        <v>45960</v>
      </c>
      <c r="B5" s="345" t="s">
        <v>583</v>
      </c>
      <c r="C5" s="346" t="s">
        <v>606</v>
      </c>
      <c r="D5" s="347">
        <v>1000000</v>
      </c>
      <c r="E5" s="348"/>
      <c r="F5" s="383" t="e">
        <f>IF(A5&lt;&gt;"", D5 / VLOOKUP(A5, 'Курс валют'!$A:$D, 4, 0), "")+Таблица4[[#This Row],[Столбец5]]</f>
        <v>#N/A</v>
      </c>
    </row>
    <row r="6" spans="1:6" x14ac:dyDescent="0.45">
      <c r="A6" s="382">
        <v>45964</v>
      </c>
      <c r="B6" s="345" t="s">
        <v>583</v>
      </c>
      <c r="C6" s="346" t="s">
        <v>43</v>
      </c>
      <c r="D6" s="347">
        <v>3000000</v>
      </c>
      <c r="E6" s="348"/>
      <c r="F6" s="383">
        <f>IF(A6&lt;&gt;"", D6 / VLOOKUP(A6, 'Курс валют'!$A:$D, 4, 0), "")+Таблица4[[#This Row],[Столбец5]]</f>
        <v>250.62656641604011</v>
      </c>
    </row>
    <row r="7" spans="1:6" x14ac:dyDescent="0.45">
      <c r="A7" s="382">
        <v>45964</v>
      </c>
      <c r="B7" s="345" t="s">
        <v>655</v>
      </c>
      <c r="C7" s="346" t="s">
        <v>43</v>
      </c>
      <c r="D7" s="347">
        <v>3500000</v>
      </c>
      <c r="E7" s="348"/>
      <c r="F7" s="383">
        <f>IF(A7&lt;&gt;"", D7 / VLOOKUP(A7, 'Курс валют'!$A:$D, 4, 0), "")+Таблица4[[#This Row],[Столбец5]]</f>
        <v>292.39766081871346</v>
      </c>
    </row>
    <row r="8" spans="1:6" x14ac:dyDescent="0.45">
      <c r="A8" s="382">
        <v>45964</v>
      </c>
      <c r="B8" s="345" t="s">
        <v>656</v>
      </c>
      <c r="C8" s="346" t="s">
        <v>43</v>
      </c>
      <c r="D8" s="347">
        <v>3500000</v>
      </c>
      <c r="E8" s="348"/>
      <c r="F8" s="383">
        <f>IF(A8&lt;&gt;"", D8 / VLOOKUP(A8, 'Курс валют'!$A:$D, 4, 0), "")+Таблица4[[#This Row],[Столбец5]]</f>
        <v>292.39766081871346</v>
      </c>
    </row>
    <row r="9" spans="1:6" x14ac:dyDescent="0.45">
      <c r="A9" s="382">
        <v>45964</v>
      </c>
      <c r="B9" s="345" t="s">
        <v>585</v>
      </c>
      <c r="C9" s="346" t="s">
        <v>43</v>
      </c>
      <c r="D9" s="347">
        <v>2500000</v>
      </c>
      <c r="E9" s="348"/>
      <c r="F9" s="383">
        <f>IF(A9&lt;&gt;"", D9 / VLOOKUP(A9, 'Курс валют'!$A:$D, 4, 0), "")+Таблица4[[#This Row],[Столбец5]]</f>
        <v>208.85547201336675</v>
      </c>
    </row>
    <row r="10" spans="1:6" x14ac:dyDescent="0.45">
      <c r="A10" s="382">
        <v>45982</v>
      </c>
      <c r="B10" s="345" t="s">
        <v>585</v>
      </c>
      <c r="C10" s="346" t="s">
        <v>43</v>
      </c>
      <c r="D10" s="347">
        <v>4000000</v>
      </c>
      <c r="E10" s="348"/>
      <c r="F10" s="383" t="e">
        <f>IF(A10&lt;&gt;"", D10 / VLOOKUP(A10, 'Курс валют'!$A:$D, 4, 0), "")+Таблица4[[#This Row],[Столбец5]]</f>
        <v>#N/A</v>
      </c>
    </row>
    <row r="11" spans="1:6" x14ac:dyDescent="0.45">
      <c r="A11" s="382">
        <v>45993</v>
      </c>
      <c r="B11" s="345" t="s">
        <v>583</v>
      </c>
      <c r="C11" s="346" t="s">
        <v>43</v>
      </c>
      <c r="D11" s="347">
        <v>5000000</v>
      </c>
      <c r="E11" s="348"/>
      <c r="F11" s="383" t="e">
        <f>IF(A11&lt;&gt;"", D11 / VLOOKUP(A11, 'Курс валют'!$A:$D, 4, 0), "")+Таблица4[[#This Row],[Столбец5]]</f>
        <v>#N/A</v>
      </c>
    </row>
    <row r="12" spans="1:6" x14ac:dyDescent="0.45">
      <c r="A12" s="382">
        <v>45993</v>
      </c>
      <c r="B12" s="345" t="s">
        <v>585</v>
      </c>
      <c r="C12" s="346" t="s">
        <v>43</v>
      </c>
      <c r="D12" s="347">
        <v>1250000</v>
      </c>
      <c r="E12" s="348"/>
      <c r="F12" s="383" t="e">
        <f>IF(A12&lt;&gt;"", D12 / VLOOKUP(A12, 'Курс валют'!$A:$D, 4, 0), "")+Таблица4[[#This Row],[Столбец5]]</f>
        <v>#N/A</v>
      </c>
    </row>
    <row r="13" spans="1:6" x14ac:dyDescent="0.45">
      <c r="A13" s="382">
        <v>45993</v>
      </c>
      <c r="B13" s="345" t="s">
        <v>655</v>
      </c>
      <c r="C13" s="346" t="s">
        <v>43</v>
      </c>
      <c r="D13" s="347">
        <v>3500000</v>
      </c>
      <c r="E13" s="348"/>
      <c r="F13" s="383" t="e">
        <f>IF(A13&lt;&gt;"", D13 / VLOOKUP(A13, 'Курс валют'!$A:$D, 4, 0), "")+Таблица4[[#This Row],[Столбец5]]</f>
        <v>#N/A</v>
      </c>
    </row>
    <row r="14" spans="1:6" x14ac:dyDescent="0.45">
      <c r="A14" s="382">
        <v>45993</v>
      </c>
      <c r="B14" s="345" t="s">
        <v>656</v>
      </c>
      <c r="C14" s="346" t="s">
        <v>43</v>
      </c>
      <c r="D14" s="347">
        <v>3960000</v>
      </c>
      <c r="E14" s="348"/>
      <c r="F14" s="383" t="e">
        <f>IF(A14&lt;&gt;"", D14 / VLOOKUP(A14, 'Курс валют'!$A:$D, 4, 0), "")+Таблица4[[#This Row],[Столбец5]]</f>
        <v>#N/A</v>
      </c>
    </row>
    <row r="15" spans="1:6" x14ac:dyDescent="0.45">
      <c r="A15" s="382">
        <v>46007</v>
      </c>
      <c r="B15" s="345" t="s">
        <v>657</v>
      </c>
      <c r="C15" s="346" t="s">
        <v>606</v>
      </c>
      <c r="D15" s="347">
        <v>500000</v>
      </c>
      <c r="E15" s="348"/>
      <c r="F15" s="383" t="e">
        <f>IF(A15&lt;&gt;"", D15 / VLOOKUP(A15, 'Курс валют'!$A:$D, 4, 0), "")+Таблица4[[#This Row],[Столбец5]]</f>
        <v>#N/A</v>
      </c>
    </row>
    <row r="16" spans="1:6" x14ac:dyDescent="0.45">
      <c r="A16" s="382">
        <v>46021</v>
      </c>
      <c r="B16" s="345" t="s">
        <v>583</v>
      </c>
      <c r="C16" s="346" t="s">
        <v>43</v>
      </c>
      <c r="D16" s="347">
        <v>2900000</v>
      </c>
      <c r="E16" s="348"/>
      <c r="F16" s="383" t="e">
        <f>IF(A16&lt;&gt;"", D16 / VLOOKUP(A16, 'Курс валют'!$A:$D, 4, 0), "")+Таблица4[[#This Row],[Столбец5]]</f>
        <v>#N/A</v>
      </c>
    </row>
    <row r="17" spans="1:6" x14ac:dyDescent="0.45">
      <c r="A17" s="382">
        <v>46021</v>
      </c>
      <c r="B17" s="345" t="s">
        <v>585</v>
      </c>
      <c r="C17" s="346" t="s">
        <v>43</v>
      </c>
      <c r="D17" s="347">
        <v>4900000</v>
      </c>
      <c r="E17" s="348"/>
      <c r="F17" s="383" t="e">
        <f>IF(A17&lt;&gt;"", D17 / VLOOKUP(A17, 'Курс валют'!$A:$D, 4, 0), "")+Таблица4[[#This Row],[Столбец5]]</f>
        <v>#N/A</v>
      </c>
    </row>
    <row r="18" spans="1:6" x14ac:dyDescent="0.45">
      <c r="A18" s="382">
        <v>46021</v>
      </c>
      <c r="B18" s="345" t="s">
        <v>655</v>
      </c>
      <c r="C18" s="346" t="s">
        <v>43</v>
      </c>
      <c r="D18" s="347">
        <v>3500000</v>
      </c>
      <c r="E18" s="348"/>
      <c r="F18" s="383" t="e">
        <f>IF(A18&lt;&gt;"", D18 / VLOOKUP(A18, 'Курс валют'!$A:$D, 4, 0), "")+Таблица4[[#This Row],[Столбец5]]</f>
        <v>#N/A</v>
      </c>
    </row>
    <row r="19" spans="1:6" x14ac:dyDescent="0.45">
      <c r="A19" s="382">
        <v>46021</v>
      </c>
      <c r="B19" s="345" t="s">
        <v>656</v>
      </c>
      <c r="C19" s="346" t="s">
        <v>43</v>
      </c>
      <c r="D19" s="347">
        <v>3500000</v>
      </c>
      <c r="E19" s="348"/>
      <c r="F19" s="383" t="e">
        <f>IF(A19&lt;&gt;"", D19 / VLOOKUP(A19, 'Курс валют'!$A:$D, 4, 0), "")+Таблица4[[#This Row],[Столбец5]]</f>
        <v>#N/A</v>
      </c>
    </row>
    <row r="20" spans="1:6" x14ac:dyDescent="0.45">
      <c r="A20" s="382">
        <v>46036</v>
      </c>
      <c r="B20" s="345" t="s">
        <v>583</v>
      </c>
      <c r="C20" s="346" t="s">
        <v>606</v>
      </c>
      <c r="D20" s="347">
        <v>500000</v>
      </c>
      <c r="E20" s="348"/>
      <c r="F20" s="383" t="e">
        <f>IF(A20&lt;&gt;"", D20 / VLOOKUP(A20, 'Курс валют'!$A:$D, 4, 0), "")+Таблица4[[#This Row],[Столбец5]]</f>
        <v>#N/A</v>
      </c>
    </row>
    <row r="21" spans="1:6" x14ac:dyDescent="0.45">
      <c r="A21" s="382">
        <v>46046</v>
      </c>
      <c r="B21" s="345" t="s">
        <v>583</v>
      </c>
      <c r="C21" s="346" t="s">
        <v>606</v>
      </c>
      <c r="D21" s="347">
        <v>1000000</v>
      </c>
      <c r="E21" s="348"/>
      <c r="F21" s="383" t="e">
        <f>IF(A21&lt;&gt;"", D21 / VLOOKUP(A21, 'Курс валют'!$A:$D, 4, 0), "")+Таблица4[[#This Row],[Столбец5]]</f>
        <v>#N/A</v>
      </c>
    </row>
    <row r="22" spans="1:6" x14ac:dyDescent="0.45">
      <c r="A22" s="382">
        <v>46053</v>
      </c>
      <c r="B22" s="345" t="s">
        <v>583</v>
      </c>
      <c r="C22" s="346" t="s">
        <v>43</v>
      </c>
      <c r="D22" s="349">
        <v>50000</v>
      </c>
      <c r="E22" s="350">
        <v>200</v>
      </c>
      <c r="F22" s="383" t="e">
        <f>IF(A22&lt;&gt;"", D22 / VLOOKUP(A22, 'Курс валют'!$A:$D, 4, 0), "")+Таблица4[[#This Row],[Столбец5]]</f>
        <v>#N/A</v>
      </c>
    </row>
    <row r="23" spans="1:6" x14ac:dyDescent="0.45">
      <c r="A23" s="382">
        <v>46053</v>
      </c>
      <c r="B23" s="345" t="s">
        <v>583</v>
      </c>
      <c r="C23" s="346" t="s">
        <v>658</v>
      </c>
      <c r="D23" s="349">
        <v>1265000</v>
      </c>
      <c r="E23" s="350">
        <v>100</v>
      </c>
      <c r="F23" s="383" t="e">
        <f>IF(A23&lt;&gt;"", D23 / VLOOKUP(A23, 'Курс валют'!$A:$D, 4, 0), "")+Таблица4[[#This Row],[Столбец5]]</f>
        <v>#N/A</v>
      </c>
    </row>
    <row r="24" spans="1:6" x14ac:dyDescent="0.45">
      <c r="A24" s="382">
        <v>46053</v>
      </c>
      <c r="B24" s="345" t="s">
        <v>585</v>
      </c>
      <c r="C24" s="346" t="s">
        <v>43</v>
      </c>
      <c r="D24" s="347">
        <v>5500000</v>
      </c>
      <c r="E24" s="348"/>
      <c r="F24" s="383" t="e">
        <f>IF(A24&lt;&gt;"", D24 / VLOOKUP(A24, 'Курс валют'!$A:$D, 4, 0), "")+Таблица4[[#This Row],[Столбец5]]</f>
        <v>#N/A</v>
      </c>
    </row>
    <row r="25" spans="1:6" x14ac:dyDescent="0.45">
      <c r="A25" s="382">
        <v>46054</v>
      </c>
      <c r="B25" s="345" t="s">
        <v>655</v>
      </c>
      <c r="C25" s="346" t="s">
        <v>43</v>
      </c>
      <c r="D25" s="347">
        <v>3500000</v>
      </c>
      <c r="E25" s="348"/>
      <c r="F25" s="383">
        <f>IF(A25&lt;&gt;"", D25 / VLOOKUP(A25, 'Курс валют'!$A:$D, 4, 0), "")+Таблица4[[#This Row],[Столбец5]]</f>
        <v>286.88524590163934</v>
      </c>
    </row>
    <row r="26" spans="1:6" x14ac:dyDescent="0.45">
      <c r="A26" s="382">
        <v>46054</v>
      </c>
      <c r="B26" s="345" t="s">
        <v>656</v>
      </c>
      <c r="C26" s="346" t="s">
        <v>43</v>
      </c>
      <c r="D26" s="347">
        <v>3500000</v>
      </c>
      <c r="E26" s="348"/>
      <c r="F26" s="383">
        <f>IF(A26&lt;&gt;"", D26 / VLOOKUP(A26, 'Курс валют'!$A:$D, 4, 0), "")+Таблица4[[#This Row],[Столбец5]]</f>
        <v>286.88524590163934</v>
      </c>
    </row>
    <row r="27" spans="1:6" x14ac:dyDescent="0.45">
      <c r="A27" s="382">
        <v>46073</v>
      </c>
      <c r="B27" s="345" t="s">
        <v>659</v>
      </c>
      <c r="C27" s="346" t="s">
        <v>606</v>
      </c>
      <c r="D27" s="347">
        <v>400000</v>
      </c>
      <c r="E27" s="348"/>
      <c r="F27" s="383">
        <f>IF(A27&lt;&gt;"", D27 / VLOOKUP(A27, 'Курс валют'!$A:$D, 4, 0), "")+Таблица4[[#This Row],[Столбец5]]</f>
        <v>33.333333333333336</v>
      </c>
    </row>
    <row r="28" spans="1:6" x14ac:dyDescent="0.45">
      <c r="A28" s="382">
        <v>46080</v>
      </c>
      <c r="B28" s="345" t="s">
        <v>583</v>
      </c>
      <c r="C28" s="346" t="s">
        <v>606</v>
      </c>
      <c r="D28" s="347"/>
      <c r="E28" s="350">
        <v>100</v>
      </c>
      <c r="F28" s="383">
        <f>IF(A28&lt;&gt;"", D28 / VLOOKUP(A28, 'Курс валют'!$A:$D, 4, 0), "")+Таблица4[[#This Row],[Столбец5]]</f>
        <v>100</v>
      </c>
    </row>
    <row r="29" spans="1:6" x14ac:dyDescent="0.45">
      <c r="A29" s="382">
        <v>46085</v>
      </c>
      <c r="B29" s="345" t="s">
        <v>583</v>
      </c>
      <c r="C29" s="346" t="s">
        <v>43</v>
      </c>
      <c r="D29" s="347">
        <v>2400000</v>
      </c>
      <c r="E29" s="348"/>
      <c r="F29" s="383">
        <f>IF(A29&lt;&gt;"", D29 / VLOOKUP(A29, 'Курс валют'!$A:$D, 4, 0), "")+Таблица4[[#This Row],[Столбец5]]</f>
        <v>198.67549668874173</v>
      </c>
    </row>
    <row r="30" spans="1:6" x14ac:dyDescent="0.45">
      <c r="A30" s="382">
        <v>46085</v>
      </c>
      <c r="B30" s="345" t="s">
        <v>584</v>
      </c>
      <c r="C30" s="346" t="s">
        <v>43</v>
      </c>
      <c r="D30" s="347">
        <v>7000000</v>
      </c>
      <c r="E30" s="348"/>
      <c r="F30" s="383">
        <f>IF(A30&lt;&gt;"", D30 / VLOOKUP(A30, 'Курс валют'!$A:$D, 4, 0), "")+Таблица4[[#This Row],[Столбец5]]</f>
        <v>579.4701986754967</v>
      </c>
    </row>
    <row r="31" spans="1:6" x14ac:dyDescent="0.45">
      <c r="A31" s="382">
        <v>46085</v>
      </c>
      <c r="B31" s="345" t="s">
        <v>585</v>
      </c>
      <c r="C31" s="346" t="s">
        <v>43</v>
      </c>
      <c r="D31" s="347">
        <v>5500000</v>
      </c>
      <c r="E31" s="348"/>
      <c r="F31" s="383">
        <f>IF(A31&lt;&gt;"", D31 / VLOOKUP(A31, 'Курс валют'!$A:$D, 4, 0), "")+Таблица4[[#This Row],[Столбец5]]</f>
        <v>455.29801324503313</v>
      </c>
    </row>
    <row r="32" spans="1:6" x14ac:dyDescent="0.45">
      <c r="A32" s="382">
        <v>46085</v>
      </c>
      <c r="B32" s="345" t="s">
        <v>51</v>
      </c>
      <c r="C32" s="346" t="s">
        <v>43</v>
      </c>
      <c r="D32" s="347">
        <v>5000000</v>
      </c>
      <c r="E32" s="348"/>
      <c r="F32" s="383">
        <f>IF(A32&lt;&gt;"", D32 / VLOOKUP(A32, 'Курс валют'!$A:$D, 4, 0), "")+Таблица4[[#This Row],[Столбец5]]</f>
        <v>413.90728476821192</v>
      </c>
    </row>
    <row r="33" spans="1:6" x14ac:dyDescent="0.45">
      <c r="A33" s="382">
        <v>46085</v>
      </c>
      <c r="B33" s="345" t="s">
        <v>585</v>
      </c>
      <c r="C33" s="346" t="s">
        <v>43</v>
      </c>
      <c r="D33" s="347">
        <v>5500000</v>
      </c>
      <c r="E33" s="348"/>
      <c r="F33" s="383">
        <f>IF(A33&lt;&gt;"", D33 / VLOOKUP(A33, 'Курс валют'!$A:$D, 4, 0), "")+Таблица4[[#This Row],[Столбец5]]</f>
        <v>455.29801324503313</v>
      </c>
    </row>
    <row r="34" spans="1:6" x14ac:dyDescent="0.45">
      <c r="A34" s="382">
        <v>46085</v>
      </c>
      <c r="B34" s="345" t="s">
        <v>655</v>
      </c>
      <c r="C34" s="346" t="s">
        <v>43</v>
      </c>
      <c r="D34" s="347">
        <v>3500000</v>
      </c>
      <c r="E34" s="348"/>
      <c r="F34" s="383">
        <f>IF(A34&lt;&gt;"", D34 / VLOOKUP(A34, 'Курс валют'!$A:$D, 4, 0), "")+Таблица4[[#This Row],[Столбец5]]</f>
        <v>289.73509933774835</v>
      </c>
    </row>
    <row r="35" spans="1:6" x14ac:dyDescent="0.45">
      <c r="A35" s="382">
        <v>46097</v>
      </c>
      <c r="B35" s="345" t="s">
        <v>583</v>
      </c>
      <c r="C35" s="346" t="s">
        <v>606</v>
      </c>
      <c r="D35" s="347">
        <v>300000</v>
      </c>
      <c r="E35" s="348"/>
      <c r="F35" s="383">
        <f>IF(A35&lt;&gt;"", D35 / VLOOKUP(A35, 'Курс валют'!$A:$D, 4, 0), "")+Таблица4[[#This Row],[Столбец5]]</f>
        <v>25</v>
      </c>
    </row>
    <row r="36" spans="1:6" x14ac:dyDescent="0.45">
      <c r="A36" s="382">
        <v>46104</v>
      </c>
      <c r="B36" s="345" t="s">
        <v>583</v>
      </c>
      <c r="C36" s="346" t="s">
        <v>606</v>
      </c>
      <c r="D36" s="347">
        <v>400000</v>
      </c>
      <c r="E36" s="348"/>
      <c r="F36" s="383">
        <f>IF(A36&lt;&gt;"", D36 / VLOOKUP(A36, 'Курс валют'!$A:$D, 4, 0), "")+Таблица4[[#This Row],[Столбец5]]</f>
        <v>33.11258278145695</v>
      </c>
    </row>
    <row r="37" spans="1:6" x14ac:dyDescent="0.45">
      <c r="A37" s="382">
        <v>46112</v>
      </c>
      <c r="B37" s="345" t="s">
        <v>583</v>
      </c>
      <c r="C37" s="346" t="s">
        <v>606</v>
      </c>
      <c r="D37" s="347"/>
      <c r="E37" s="350">
        <v>100</v>
      </c>
      <c r="F37" s="383">
        <f>IF(A37&lt;&gt;"", D37 / VLOOKUP(A37, 'Курс валют'!$A:$D, 4, 0), "")+Таблица4[[#This Row],[Столбец5]]</f>
        <v>100</v>
      </c>
    </row>
    <row r="38" spans="1:6" x14ac:dyDescent="0.45">
      <c r="A38" s="382">
        <v>46113</v>
      </c>
      <c r="B38" s="345" t="s">
        <v>583</v>
      </c>
      <c r="C38" s="346" t="s">
        <v>606</v>
      </c>
      <c r="D38" s="347">
        <v>200000</v>
      </c>
      <c r="E38" s="348"/>
      <c r="F38" s="383">
        <f>IF(A38&lt;&gt;"", D38 / VLOOKUP(A38, 'Курс валют'!$A:$D, 4, 0), "")+Таблица4[[#This Row],[Столбец5]]</f>
        <v>16.528925619834709</v>
      </c>
    </row>
    <row r="39" spans="1:6" x14ac:dyDescent="0.45">
      <c r="A39" s="382">
        <v>46119</v>
      </c>
      <c r="B39" s="345" t="s">
        <v>583</v>
      </c>
      <c r="C39" s="346" t="s">
        <v>43</v>
      </c>
      <c r="D39" s="347">
        <v>1900000</v>
      </c>
      <c r="E39" s="348"/>
      <c r="F39" s="383">
        <f>IF(A39&lt;&gt;"", D39 / VLOOKUP(A39, 'Курс валют'!$A:$D, 4, 0), "")+Таблица4[[#This Row],[Столбец5]]</f>
        <v>157.02479338842974</v>
      </c>
    </row>
    <row r="40" spans="1:6" x14ac:dyDescent="0.45">
      <c r="A40" s="382">
        <v>46119</v>
      </c>
      <c r="B40" s="345" t="s">
        <v>585</v>
      </c>
      <c r="C40" s="346" t="s">
        <v>43</v>
      </c>
      <c r="D40" s="347">
        <v>5500000</v>
      </c>
      <c r="E40" s="348"/>
      <c r="F40" s="383">
        <f>IF(A40&lt;&gt;"", D40 / VLOOKUP(A40, 'Курс валют'!$A:$D, 4, 0), "")+Таблица4[[#This Row],[Столбец5]]</f>
        <v>454.54545454545456</v>
      </c>
    </row>
    <row r="41" spans="1:6" x14ac:dyDescent="0.45">
      <c r="A41" s="382">
        <v>46119</v>
      </c>
      <c r="B41" s="345" t="s">
        <v>655</v>
      </c>
      <c r="C41" s="346" t="s">
        <v>43</v>
      </c>
      <c r="D41" s="347">
        <v>3500000</v>
      </c>
      <c r="E41" s="348"/>
      <c r="F41" s="383">
        <f>IF(A41&lt;&gt;"", D41 / VLOOKUP(A41, 'Курс валют'!$A:$D, 4, 0), "")+Таблица4[[#This Row],[Столбец5]]</f>
        <v>289.25619834710744</v>
      </c>
    </row>
    <row r="42" spans="1:6" x14ac:dyDescent="0.45">
      <c r="A42" s="382">
        <v>46127</v>
      </c>
      <c r="B42" s="345" t="s">
        <v>583</v>
      </c>
      <c r="C42" s="346" t="s">
        <v>606</v>
      </c>
      <c r="D42" s="347">
        <v>500000</v>
      </c>
      <c r="E42" s="348"/>
      <c r="F42" s="383">
        <f>IF(A42&lt;&gt;"", D42 / VLOOKUP(A42, 'Курс валют'!$A:$D, 4, 0), "")+Таблица4[[#This Row],[Столбец5]]</f>
        <v>41.666666666666664</v>
      </c>
    </row>
    <row r="43" spans="1:6" x14ac:dyDescent="0.45">
      <c r="A43" s="382">
        <v>46147</v>
      </c>
      <c r="B43" s="345" t="s">
        <v>583</v>
      </c>
      <c r="C43" s="346" t="s">
        <v>43</v>
      </c>
      <c r="D43" s="347">
        <v>3500000</v>
      </c>
      <c r="E43" s="348"/>
      <c r="F43" s="383">
        <f>IF(A43&lt;&gt;"", D43 / VLOOKUP(A43, 'Курс валют'!$A:$D, 4, 0), "")+Таблица4[[#This Row],[Столбец5]]</f>
        <v>291.66666666666669</v>
      </c>
    </row>
    <row r="44" spans="1:6" x14ac:dyDescent="0.45">
      <c r="A44" s="382">
        <v>46147</v>
      </c>
      <c r="B44" s="345" t="s">
        <v>585</v>
      </c>
      <c r="C44" s="346" t="s">
        <v>43</v>
      </c>
      <c r="D44" s="347">
        <v>5500000</v>
      </c>
      <c r="E44" s="348"/>
      <c r="F44" s="383">
        <f>IF(A44&lt;&gt;"", D44 / VLOOKUP(A44, 'Курс валют'!$A:$D, 4, 0), "")+Таблица4[[#This Row],[Столбец5]]</f>
        <v>458.33333333333331</v>
      </c>
    </row>
    <row r="45" spans="1:6" x14ac:dyDescent="0.45">
      <c r="A45" s="382">
        <v>46147</v>
      </c>
      <c r="B45" s="345" t="s">
        <v>655</v>
      </c>
      <c r="C45" s="346" t="s">
        <v>43</v>
      </c>
      <c r="D45" s="347">
        <v>3500000</v>
      </c>
      <c r="E45" s="348"/>
      <c r="F45" s="383">
        <f>IF(A45&lt;&gt;"", D45 / VLOOKUP(A45, 'Курс валют'!$A:$D, 4, 0), "")+Таблица4[[#This Row],[Столбец5]]</f>
        <v>291.66666666666669</v>
      </c>
    </row>
    <row r="46" spans="1:6" x14ac:dyDescent="0.45">
      <c r="A46" s="385">
        <v>46147</v>
      </c>
      <c r="B46" s="386" t="s">
        <v>656</v>
      </c>
      <c r="C46" s="387" t="s">
        <v>43</v>
      </c>
      <c r="D46" s="388">
        <v>3500000</v>
      </c>
      <c r="E46" s="389"/>
      <c r="F46" s="383">
        <f>IF(A46&lt;&gt;"", D46 / VLOOKUP(A46, 'Курс валют'!$A:$D, 4, 0), "")+Таблица4[[#This Row],[Столбец5]]</f>
        <v>291.66666666666669</v>
      </c>
    </row>
    <row r="47" spans="1:6" x14ac:dyDescent="0.45">
      <c r="A47" s="385">
        <v>46158</v>
      </c>
      <c r="B47" s="386" t="s">
        <v>583</v>
      </c>
      <c r="C47" s="387" t="s">
        <v>606</v>
      </c>
      <c r="D47" s="388">
        <v>500000</v>
      </c>
      <c r="E47" s="389"/>
      <c r="F47" s="383">
        <f>IF(A47&lt;&gt;"", D47 / VLOOKUP(A47, 'Курс валют'!$A:$D, 4, 0), "")+Таблица4[[#This Row],[Столбец5]]</f>
        <v>41.32231404958678</v>
      </c>
    </row>
    <row r="48" spans="1:6" x14ac:dyDescent="0.45">
      <c r="A48" s="382">
        <v>46161</v>
      </c>
      <c r="B48" s="345" t="s">
        <v>583</v>
      </c>
      <c r="C48" s="346" t="s">
        <v>43</v>
      </c>
      <c r="D48" s="347"/>
      <c r="E48" s="348">
        <v>400</v>
      </c>
      <c r="F48" s="383">
        <f>IF(A48&lt;&gt;"", D48 / VLOOKUP(A48, 'Курс валют'!$A:$D, 4, 0), "")+Таблица4[[#This Row],[Столбец5]]</f>
        <v>400</v>
      </c>
    </row>
    <row r="49" spans="1:6" x14ac:dyDescent="0.45">
      <c r="A49" s="382"/>
      <c r="B49" s="345"/>
      <c r="C49" s="346"/>
      <c r="D49" s="347"/>
      <c r="E49" s="348"/>
      <c r="F49" s="384" t="e">
        <f>IF(A49&lt;&gt;"", D49 / VLOOKUP(A49, 'Курс валют'!$A:$D, 4, 0), "")+Таблица4[[#This Row],[Столбец5]]</f>
        <v>#VALUE!</v>
      </c>
    </row>
    <row r="50" spans="1:6" x14ac:dyDescent="0.45">
      <c r="A50" s="382"/>
      <c r="B50" s="345"/>
      <c r="C50" s="346"/>
      <c r="D50" s="347"/>
      <c r="E50" s="348"/>
      <c r="F50" s="384" t="e">
        <f>IF(A50&lt;&gt;"", D50 / VLOOKUP(A50, 'Курс валют'!$A:$D, 4, 0), "")+Таблица4[[#This Row],[Столбец5]]</f>
        <v>#VALUE!</v>
      </c>
    </row>
    <row r="51" spans="1:6" x14ac:dyDescent="0.45">
      <c r="A51" s="382"/>
      <c r="B51" s="345"/>
      <c r="C51" s="346"/>
      <c r="D51" s="347"/>
      <c r="E51" s="348"/>
      <c r="F51" s="384" t="e">
        <f>IF(A51&lt;&gt;"", D51 / VLOOKUP(A51, 'Курс валют'!$A:$D, 4, 0), "")+Таблица4[[#This Row],[Столбец5]]</f>
        <v>#VALUE!</v>
      </c>
    </row>
    <row r="52" spans="1:6" x14ac:dyDescent="0.45">
      <c r="A52" s="382"/>
      <c r="B52" s="345"/>
      <c r="C52" s="346"/>
      <c r="D52" s="347"/>
      <c r="E52" s="348"/>
      <c r="F52" s="384" t="e">
        <f>IF(A52&lt;&gt;"", D52 / VLOOKUP(A52, 'Курс валют'!$A:$D, 4, 0), "")+Таблица4[[#This Row],[Столбец5]]</f>
        <v>#VALUE!</v>
      </c>
    </row>
    <row r="53" spans="1:6" x14ac:dyDescent="0.45">
      <c r="A53" s="382"/>
      <c r="B53" s="345"/>
      <c r="C53" s="346"/>
      <c r="D53" s="347"/>
      <c r="E53" s="348"/>
      <c r="F53" s="384" t="e">
        <f>IF(A53&lt;&gt;"", D53 / VLOOKUP(A53, 'Курс валют'!$A:$D, 4, 0), "")+Таблица4[[#This Row],[Столбец5]]</f>
        <v>#VALUE!</v>
      </c>
    </row>
    <row r="54" spans="1:6" x14ac:dyDescent="0.45">
      <c r="A54" s="382"/>
      <c r="B54" s="345"/>
      <c r="C54" s="346"/>
      <c r="D54" s="347"/>
      <c r="E54" s="348"/>
      <c r="F54" s="384" t="e">
        <f>IF(A54&lt;&gt;"", D54 / VLOOKUP(A54, 'Курс валют'!$A:$D, 4, 0), "")+Таблица4[[#This Row],[Столбец5]]</f>
        <v>#VALUE!</v>
      </c>
    </row>
    <row r="55" spans="1:6" x14ac:dyDescent="0.45">
      <c r="A55" s="382"/>
      <c r="B55" s="345"/>
      <c r="C55" s="346"/>
      <c r="D55" s="347"/>
      <c r="E55" s="348"/>
      <c r="F55" s="384" t="e">
        <f>IF(A55&lt;&gt;"", D55 / VLOOKUP(A55, 'Курс валют'!$A:$D, 4, 0), "")+Таблица4[[#This Row],[Столбец5]]</f>
        <v>#VALUE!</v>
      </c>
    </row>
    <row r="56" spans="1:6" x14ac:dyDescent="0.45">
      <c r="A56" s="385"/>
      <c r="B56" s="386"/>
      <c r="C56" s="387"/>
      <c r="D56" s="388"/>
      <c r="E56" s="389"/>
      <c r="F56" s="390" t="e">
        <f>IF(A56&lt;&gt;"", D56 / VLOOKUP(A56, 'Курс валют'!$A:$D, 4, 0), "")+Таблица4[[#This Row],[Столбец5]]</f>
        <v>#VALUE!</v>
      </c>
    </row>
  </sheetData>
  <conditionalFormatting sqref="A2:F56">
    <cfRule type="expression" dxfId="27" priority="1">
      <formula>MOD(ROW(),2)=0</formula>
    </cfRule>
  </conditionalFormatting>
  <conditionalFormatting sqref="C2:C56">
    <cfRule type="expression" dxfId="26" priority="2">
      <formula>$C2="Аванс"</formula>
    </cfRule>
    <cfRule type="expression" dxfId="25" priority="3">
      <formula>LOWER($C2)="зарплата"</formula>
    </cfRule>
    <cfRule type="expression" dxfId="24" priority="4">
      <formula>$C2="Питание"</formula>
    </cfRule>
    <cfRule type="expression" dxfId="23" priority="5">
      <formula>$C2="Охрана"</formula>
    </cfRule>
  </conditionalFormatting>
  <conditionalFormatting sqref="F1">
    <cfRule type="expression" dxfId="22" priority="8">
      <formula>SEARCH("Итог", $A1)</formula>
    </cfRule>
  </conditionalFormatting>
  <conditionalFormatting sqref="F2:F56">
    <cfRule type="expression" dxfId="21" priority="6">
      <formula>ISERROR($F2)</formula>
    </cfRule>
  </conditionalFormatting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544ED-B0D7-4036-BA3C-7B41CD375A48}">
  <sheetPr codeName="Worksheet____10"/>
  <dimension ref="A1:R302"/>
  <sheetViews>
    <sheetView zoomScale="52" workbookViewId="0">
      <pane ySplit="1" topLeftCell="A184" activePane="bottomLeft" state="frozen"/>
      <selection pane="bottomLeft" activeCell="N206" sqref="N206:N250"/>
    </sheetView>
  </sheetViews>
  <sheetFormatPr defaultRowHeight="14.25" x14ac:dyDescent="0.45"/>
  <cols>
    <col min="1" max="1" width="16.796875" style="242" customWidth="1"/>
    <col min="2" max="2" width="32" style="241" customWidth="1"/>
    <col min="3" max="3" width="13.33203125" style="236" customWidth="1"/>
    <col min="4" max="4" width="11.53125" style="237" customWidth="1"/>
    <col min="5" max="5" width="28.3984375" style="238" customWidth="1"/>
    <col min="6" max="6" width="19.6640625" style="238" customWidth="1"/>
    <col min="7" max="7" width="12.3984375" style="238" customWidth="1"/>
    <col min="8" max="8" width="19.6640625" style="243" customWidth="1"/>
    <col min="9" max="9" width="12.3984375" style="238" customWidth="1"/>
    <col min="10" max="10" width="19.6640625" style="240" customWidth="1"/>
    <col min="11" max="11" width="16.796875" style="238" customWidth="1"/>
    <col min="12" max="12" width="23.1328125" style="238" customWidth="1"/>
    <col min="13" max="13" width="23.1328125" style="239" customWidth="1"/>
    <col min="14" max="14" width="19.6640625" customWidth="1"/>
    <col min="15" max="15" width="17.86328125" style="238" customWidth="1"/>
    <col min="16" max="16" width="13.19921875" bestFit="1" customWidth="1"/>
    <col min="17" max="17" width="15.86328125" bestFit="1" customWidth="1"/>
    <col min="18" max="18" width="13.33203125" bestFit="1" customWidth="1"/>
  </cols>
  <sheetData>
    <row r="1" spans="1:18" ht="42" customHeight="1" thickBot="1" x14ac:dyDescent="0.5">
      <c r="A1" s="329" t="s">
        <v>26</v>
      </c>
      <c r="B1" s="330" t="s">
        <v>504</v>
      </c>
      <c r="C1" s="330" t="s">
        <v>33</v>
      </c>
      <c r="D1" s="330" t="s">
        <v>505</v>
      </c>
      <c r="E1" s="330" t="s">
        <v>506</v>
      </c>
      <c r="F1" s="330" t="s">
        <v>507</v>
      </c>
      <c r="G1" s="330" t="s">
        <v>27</v>
      </c>
      <c r="H1" s="331" t="s">
        <v>145</v>
      </c>
      <c r="I1" s="330" t="s">
        <v>508</v>
      </c>
      <c r="J1" s="332" t="s">
        <v>163</v>
      </c>
      <c r="K1" s="330" t="s">
        <v>509</v>
      </c>
      <c r="L1" s="330" t="s">
        <v>510</v>
      </c>
      <c r="M1" s="333" t="s">
        <v>171</v>
      </c>
      <c r="N1" s="334" t="s">
        <v>329</v>
      </c>
      <c r="O1" s="335" t="s">
        <v>147</v>
      </c>
      <c r="P1" s="244" cm="1">
        <f t="array" ref="P1">SUMPRODUCT(H102:H305*IF(G102:G305="USD",I102:I305,1))</f>
        <v>689675675</v>
      </c>
      <c r="Q1" s="234" cm="1">
        <f t="array" ref="Q1">SUMPRODUCT(J102:J305*IF(G102:G305="USD",K102:K305,1))</f>
        <v>85699000</v>
      </c>
      <c r="R1" s="235">
        <f>P1-Q1</f>
        <v>603976675</v>
      </c>
    </row>
    <row r="2" spans="1:18" ht="14.65" thickTop="1" x14ac:dyDescent="0.45">
      <c r="A2" s="320">
        <v>46058</v>
      </c>
      <c r="B2" s="321" t="s">
        <v>511</v>
      </c>
      <c r="C2" s="322" t="s">
        <v>512</v>
      </c>
      <c r="D2" s="336">
        <v>0</v>
      </c>
      <c r="E2" s="322" t="s">
        <v>513</v>
      </c>
      <c r="F2" s="323"/>
      <c r="G2" s="322" t="s">
        <v>514</v>
      </c>
      <c r="H2" s="342"/>
      <c r="I2" s="322"/>
      <c r="J2" s="339"/>
      <c r="K2" s="324"/>
      <c r="L2" s="325"/>
      <c r="M2" s="326"/>
      <c r="N2" s="327">
        <f>IF(A2&lt;&gt;"", Таблица36[[#This Row],[Расход]] / VLOOKUP(A2, 'Курс валют'!$A:$D, 4, 0), "")</f>
        <v>0</v>
      </c>
      <c r="O2" s="328"/>
    </row>
    <row r="3" spans="1:18" x14ac:dyDescent="0.45">
      <c r="A3" s="299">
        <v>46058</v>
      </c>
      <c r="B3" s="300" t="s">
        <v>515</v>
      </c>
      <c r="C3" s="301" t="s">
        <v>516</v>
      </c>
      <c r="D3" s="337">
        <v>310</v>
      </c>
      <c r="E3" s="301" t="s">
        <v>513</v>
      </c>
      <c r="F3" s="302"/>
      <c r="G3" s="301" t="s">
        <v>514</v>
      </c>
      <c r="H3" s="343"/>
      <c r="I3" s="301"/>
      <c r="J3" s="340"/>
      <c r="K3" s="308"/>
      <c r="L3" s="304">
        <f t="shared" ref="L3:M66" si="0">IF(G3="USD", H3*K3, H3)</f>
        <v>0</v>
      </c>
      <c r="M3" s="305">
        <f t="shared" si="0"/>
        <v>0</v>
      </c>
      <c r="N3" s="327">
        <f>IF(A3&lt;&gt;"", Таблица36[[#This Row],[Расход]] / VLOOKUP(A3, 'Курс валют'!$A:$D, 4, 0), "")</f>
        <v>0</v>
      </c>
      <c r="O3" s="307"/>
    </row>
    <row r="4" spans="1:18" x14ac:dyDescent="0.45">
      <c r="A4" s="299">
        <v>46058</v>
      </c>
      <c r="B4" s="300" t="s">
        <v>517</v>
      </c>
      <c r="C4" s="301" t="s">
        <v>512</v>
      </c>
      <c r="D4" s="337">
        <v>8</v>
      </c>
      <c r="E4" s="301" t="s">
        <v>513</v>
      </c>
      <c r="F4" s="302"/>
      <c r="G4" s="301" t="s">
        <v>514</v>
      </c>
      <c r="H4" s="343"/>
      <c r="I4" s="301"/>
      <c r="J4" s="340"/>
      <c r="K4" s="303"/>
      <c r="L4" s="304">
        <f t="shared" si="0"/>
        <v>0</v>
      </c>
      <c r="M4" s="305">
        <f t="shared" si="0"/>
        <v>0</v>
      </c>
      <c r="N4" s="327">
        <f>IF(A4&lt;&gt;"", Таблица36[[#This Row],[Расход]] / VLOOKUP(A4, 'Курс валют'!$A:$D, 4, 0), "")</f>
        <v>0</v>
      </c>
      <c r="O4" s="307"/>
    </row>
    <row r="5" spans="1:18" x14ac:dyDescent="0.45">
      <c r="A5" s="299">
        <v>46058</v>
      </c>
      <c r="B5" s="300" t="s">
        <v>518</v>
      </c>
      <c r="C5" s="301" t="s">
        <v>519</v>
      </c>
      <c r="D5" s="337">
        <v>20</v>
      </c>
      <c r="E5" s="301" t="s">
        <v>513</v>
      </c>
      <c r="F5" s="302"/>
      <c r="G5" s="301" t="s">
        <v>514</v>
      </c>
      <c r="H5" s="343"/>
      <c r="I5" s="301"/>
      <c r="J5" s="340">
        <v>290000</v>
      </c>
      <c r="K5" s="303"/>
      <c r="L5" s="304">
        <f t="shared" si="0"/>
        <v>0</v>
      </c>
      <c r="M5" s="305">
        <f t="shared" si="0"/>
        <v>0</v>
      </c>
      <c r="N5" s="327">
        <f>IF(A5&lt;&gt;"", Таблица36[[#This Row],[Расход]] / VLOOKUP(A5, 'Курс валют'!$A:$D, 4, 0), "")</f>
        <v>23.770491803278688</v>
      </c>
      <c r="O5" s="307"/>
    </row>
    <row r="6" spans="1:18" x14ac:dyDescent="0.45">
      <c r="A6" s="299">
        <v>46058</v>
      </c>
      <c r="B6" s="300" t="s">
        <v>520</v>
      </c>
      <c r="C6" s="301" t="s">
        <v>69</v>
      </c>
      <c r="D6" s="337">
        <v>1</v>
      </c>
      <c r="E6" s="301" t="s">
        <v>513</v>
      </c>
      <c r="F6" s="302"/>
      <c r="G6" s="301" t="s">
        <v>514</v>
      </c>
      <c r="H6" s="343"/>
      <c r="I6" s="301"/>
      <c r="J6" s="340"/>
      <c r="K6" s="303"/>
      <c r="L6" s="304">
        <f t="shared" si="0"/>
        <v>0</v>
      </c>
      <c r="M6" s="305">
        <f t="shared" si="0"/>
        <v>0</v>
      </c>
      <c r="N6" s="327">
        <f>IF(A6&lt;&gt;"", Таблица36[[#This Row],[Расход]] / VLOOKUP(A6, 'Курс валют'!$A:$D, 4, 0), "")</f>
        <v>0</v>
      </c>
      <c r="O6" s="307"/>
    </row>
    <row r="7" spans="1:18" x14ac:dyDescent="0.45">
      <c r="A7" s="299">
        <v>46058</v>
      </c>
      <c r="B7" s="300" t="s">
        <v>521</v>
      </c>
      <c r="C7" s="301" t="s">
        <v>69</v>
      </c>
      <c r="D7" s="337">
        <v>30</v>
      </c>
      <c r="E7" s="301" t="s">
        <v>513</v>
      </c>
      <c r="F7" s="302"/>
      <c r="G7" s="301" t="s">
        <v>514</v>
      </c>
      <c r="H7" s="343"/>
      <c r="I7" s="301"/>
      <c r="J7" s="340">
        <f>D7*15214.8</f>
        <v>456444</v>
      </c>
      <c r="K7" s="303"/>
      <c r="L7" s="304">
        <f t="shared" si="0"/>
        <v>0</v>
      </c>
      <c r="M7" s="305">
        <f t="shared" si="0"/>
        <v>0</v>
      </c>
      <c r="N7" s="327">
        <f>IF(A7&lt;&gt;"", Таблица36[[#This Row],[Расход]] / VLOOKUP(A7, 'Курс валют'!$A:$D, 4, 0), "")</f>
        <v>37.413442622950818</v>
      </c>
      <c r="O7" s="307"/>
    </row>
    <row r="8" spans="1:18" x14ac:dyDescent="0.45">
      <c r="A8" s="299">
        <v>46058</v>
      </c>
      <c r="B8" s="300" t="s">
        <v>522</v>
      </c>
      <c r="C8" s="301" t="s">
        <v>65</v>
      </c>
      <c r="D8" s="337">
        <v>1</v>
      </c>
      <c r="E8" s="301" t="s">
        <v>513</v>
      </c>
      <c r="F8" s="302"/>
      <c r="G8" s="301" t="s">
        <v>514</v>
      </c>
      <c r="H8" s="343"/>
      <c r="I8" s="301"/>
      <c r="J8" s="340">
        <v>21000</v>
      </c>
      <c r="K8" s="303"/>
      <c r="L8" s="304">
        <f t="shared" si="0"/>
        <v>0</v>
      </c>
      <c r="M8" s="305">
        <f t="shared" si="0"/>
        <v>0</v>
      </c>
      <c r="N8" s="327">
        <f>IF(A8&lt;&gt;"", Таблица36[[#This Row],[Расход]] / VLOOKUP(A8, 'Курс валют'!$A:$D, 4, 0), "")</f>
        <v>1.721311475409836</v>
      </c>
      <c r="O8" s="307"/>
    </row>
    <row r="9" spans="1:18" x14ac:dyDescent="0.45">
      <c r="A9" s="299">
        <v>46058</v>
      </c>
      <c r="B9" s="300" t="s">
        <v>523</v>
      </c>
      <c r="C9" s="301" t="s">
        <v>519</v>
      </c>
      <c r="D9" s="337">
        <v>20</v>
      </c>
      <c r="E9" s="301" t="s">
        <v>513</v>
      </c>
      <c r="F9" s="302"/>
      <c r="G9" s="301" t="s">
        <v>514</v>
      </c>
      <c r="H9" s="343"/>
      <c r="I9" s="301"/>
      <c r="J9" s="340">
        <f>20000*D9</f>
        <v>400000</v>
      </c>
      <c r="K9" s="303"/>
      <c r="L9" s="304">
        <f t="shared" si="0"/>
        <v>0</v>
      </c>
      <c r="M9" s="305">
        <f t="shared" si="0"/>
        <v>0</v>
      </c>
      <c r="N9" s="327">
        <f>IF(A9&lt;&gt;"", Таблица36[[#This Row],[Расход]] / VLOOKUP(A9, 'Курс валют'!$A:$D, 4, 0), "")</f>
        <v>32.786885245901637</v>
      </c>
      <c r="O9" s="307"/>
    </row>
    <row r="10" spans="1:18" x14ac:dyDescent="0.45">
      <c r="A10" s="299">
        <v>46058</v>
      </c>
      <c r="B10" s="300" t="s">
        <v>524</v>
      </c>
      <c r="C10" s="301" t="s">
        <v>69</v>
      </c>
      <c r="D10" s="337">
        <v>1</v>
      </c>
      <c r="E10" s="301" t="s">
        <v>513</v>
      </c>
      <c r="F10" s="302"/>
      <c r="G10" s="301" t="s">
        <v>514</v>
      </c>
      <c r="H10" s="343"/>
      <c r="I10" s="301"/>
      <c r="J10" s="340"/>
      <c r="K10" s="303"/>
      <c r="L10" s="304">
        <f t="shared" si="0"/>
        <v>0</v>
      </c>
      <c r="M10" s="305">
        <f t="shared" si="0"/>
        <v>0</v>
      </c>
      <c r="N10" s="327">
        <f>IF(A10&lt;&gt;"", Таблица36[[#This Row],[Расход]] / VLOOKUP(A10, 'Курс валют'!$A:$D, 4, 0), "")</f>
        <v>0</v>
      </c>
      <c r="O10" s="307"/>
    </row>
    <row r="11" spans="1:18" x14ac:dyDescent="0.45">
      <c r="A11" s="299">
        <v>46060</v>
      </c>
      <c r="B11" s="300" t="s">
        <v>525</v>
      </c>
      <c r="C11" s="301" t="s">
        <v>69</v>
      </c>
      <c r="D11" s="337">
        <v>1</v>
      </c>
      <c r="E11" s="301" t="s">
        <v>513</v>
      </c>
      <c r="F11" s="302"/>
      <c r="G11" s="301" t="s">
        <v>514</v>
      </c>
      <c r="H11" s="343"/>
      <c r="I11" s="301"/>
      <c r="J11" s="340"/>
      <c r="K11" s="303"/>
      <c r="L11" s="304">
        <f t="shared" si="0"/>
        <v>0</v>
      </c>
      <c r="M11" s="305">
        <f t="shared" si="0"/>
        <v>0</v>
      </c>
      <c r="N11" s="327">
        <f>IF(A11&lt;&gt;"", Таблица36[[#This Row],[Расход]] / VLOOKUP(A11, 'Курс валют'!$A:$D, 4, 0), "")</f>
        <v>0</v>
      </c>
      <c r="O11" s="307"/>
    </row>
    <row r="12" spans="1:18" x14ac:dyDescent="0.45">
      <c r="A12" s="299">
        <v>46060</v>
      </c>
      <c r="B12" s="300" t="s">
        <v>91</v>
      </c>
      <c r="C12" s="301" t="s">
        <v>65</v>
      </c>
      <c r="D12" s="337">
        <v>1</v>
      </c>
      <c r="E12" s="301" t="s">
        <v>513</v>
      </c>
      <c r="F12" s="302"/>
      <c r="G12" s="301" t="s">
        <v>514</v>
      </c>
      <c r="H12" s="343"/>
      <c r="I12" s="301"/>
      <c r="J12" s="340">
        <v>100000</v>
      </c>
      <c r="K12" s="303"/>
      <c r="L12" s="304">
        <f t="shared" si="0"/>
        <v>0</v>
      </c>
      <c r="M12" s="305">
        <f t="shared" si="0"/>
        <v>0</v>
      </c>
      <c r="N12" s="327">
        <f>IF(A12&lt;&gt;"", Таблица36[[#This Row],[Расход]] / VLOOKUP(A12, 'Курс валют'!$A:$D, 4, 0), "")</f>
        <v>8.1967213114754092</v>
      </c>
      <c r="O12" s="307"/>
    </row>
    <row r="13" spans="1:18" x14ac:dyDescent="0.45">
      <c r="A13" s="299">
        <v>46060</v>
      </c>
      <c r="B13" s="300" t="s">
        <v>526</v>
      </c>
      <c r="C13" s="301" t="s">
        <v>65</v>
      </c>
      <c r="D13" s="337">
        <v>1</v>
      </c>
      <c r="E13" s="301" t="s">
        <v>513</v>
      </c>
      <c r="F13" s="302"/>
      <c r="G13" s="301" t="s">
        <v>514</v>
      </c>
      <c r="H13" s="343"/>
      <c r="I13" s="301"/>
      <c r="J13" s="340">
        <v>200000</v>
      </c>
      <c r="K13" s="303"/>
      <c r="L13" s="304">
        <f t="shared" si="0"/>
        <v>0</v>
      </c>
      <c r="M13" s="305">
        <f t="shared" si="0"/>
        <v>0</v>
      </c>
      <c r="N13" s="327">
        <f>IF(A13&lt;&gt;"", Таблица36[[#This Row],[Расход]] / VLOOKUP(A13, 'Курс валют'!$A:$D, 4, 0), "")</f>
        <v>16.393442622950818</v>
      </c>
      <c r="O13" s="307"/>
    </row>
    <row r="14" spans="1:18" x14ac:dyDescent="0.45">
      <c r="A14" s="299">
        <v>46060</v>
      </c>
      <c r="B14" s="309" t="s">
        <v>234</v>
      </c>
      <c r="C14" s="301" t="s">
        <v>69</v>
      </c>
      <c r="D14" s="337">
        <v>200</v>
      </c>
      <c r="E14" s="301" t="s">
        <v>527</v>
      </c>
      <c r="F14" s="302"/>
      <c r="G14" s="301" t="s">
        <v>514</v>
      </c>
      <c r="H14" s="343"/>
      <c r="I14" s="301"/>
      <c r="J14" s="340" t="s">
        <v>233</v>
      </c>
      <c r="K14" s="303"/>
      <c r="L14" s="304">
        <f t="shared" si="0"/>
        <v>0</v>
      </c>
      <c r="M14" s="305">
        <f t="shared" si="0"/>
        <v>0</v>
      </c>
      <c r="N14" s="327" t="e">
        <f>IF(A14&lt;&gt;"", Таблица36[[#This Row],[Расход]] / VLOOKUP(A14, 'Курс валют'!$A:$D, 4, 0), "")</f>
        <v>#VALUE!</v>
      </c>
      <c r="O14" s="307"/>
    </row>
    <row r="15" spans="1:18" x14ac:dyDescent="0.45">
      <c r="A15" s="299">
        <v>46060</v>
      </c>
      <c r="B15" s="309" t="s">
        <v>237</v>
      </c>
      <c r="C15" s="301" t="s">
        <v>69</v>
      </c>
      <c r="D15" s="337">
        <v>35</v>
      </c>
      <c r="E15" s="301" t="s">
        <v>527</v>
      </c>
      <c r="F15" s="302"/>
      <c r="G15" s="301" t="s">
        <v>514</v>
      </c>
      <c r="H15" s="343"/>
      <c r="I15" s="301"/>
      <c r="J15" s="340" t="s">
        <v>233</v>
      </c>
      <c r="K15" s="303"/>
      <c r="L15" s="304">
        <f t="shared" si="0"/>
        <v>0</v>
      </c>
      <c r="M15" s="305">
        <f t="shared" si="0"/>
        <v>0</v>
      </c>
      <c r="N15" s="327" t="e">
        <f>IF(A15&lt;&gt;"", Таблица36[[#This Row],[Расход]] / VLOOKUP(A15, 'Курс валют'!$A:$D, 4, 0), "")</f>
        <v>#VALUE!</v>
      </c>
      <c r="O15" s="307"/>
    </row>
    <row r="16" spans="1:18" x14ac:dyDescent="0.45">
      <c r="A16" s="299">
        <v>46060</v>
      </c>
      <c r="B16" s="309" t="s">
        <v>238</v>
      </c>
      <c r="C16" s="301" t="s">
        <v>69</v>
      </c>
      <c r="D16" s="337">
        <v>20</v>
      </c>
      <c r="E16" s="301" t="s">
        <v>527</v>
      </c>
      <c r="F16" s="302"/>
      <c r="G16" s="301" t="s">
        <v>514</v>
      </c>
      <c r="H16" s="343"/>
      <c r="I16" s="301"/>
      <c r="J16" s="340" t="s">
        <v>233</v>
      </c>
      <c r="K16" s="303"/>
      <c r="L16" s="304">
        <f t="shared" si="0"/>
        <v>0</v>
      </c>
      <c r="M16" s="305">
        <f t="shared" si="0"/>
        <v>0</v>
      </c>
      <c r="N16" s="327" t="e">
        <f>IF(A16&lt;&gt;"", Таблица36[[#This Row],[Расход]] / VLOOKUP(A16, 'Курс валют'!$A:$D, 4, 0), "")</f>
        <v>#VALUE!</v>
      </c>
      <c r="O16" s="307"/>
    </row>
    <row r="17" spans="1:15" x14ac:dyDescent="0.45">
      <c r="A17" s="299">
        <v>46060</v>
      </c>
      <c r="B17" s="309" t="s">
        <v>239</v>
      </c>
      <c r="C17" s="301" t="s">
        <v>97</v>
      </c>
      <c r="D17" s="337">
        <v>60</v>
      </c>
      <c r="E17" s="301" t="s">
        <v>527</v>
      </c>
      <c r="F17" s="302"/>
      <c r="G17" s="301" t="s">
        <v>514</v>
      </c>
      <c r="H17" s="343"/>
      <c r="I17" s="301"/>
      <c r="J17" s="340" t="s">
        <v>233</v>
      </c>
      <c r="K17" s="303"/>
      <c r="L17" s="304">
        <f t="shared" si="0"/>
        <v>0</v>
      </c>
      <c r="M17" s="305">
        <f t="shared" si="0"/>
        <v>0</v>
      </c>
      <c r="N17" s="327" t="e">
        <f>IF(A17&lt;&gt;"", Таблица36[[#This Row],[Расход]] / VLOOKUP(A17, 'Курс валют'!$A:$D, 4, 0), "")</f>
        <v>#VALUE!</v>
      </c>
      <c r="O17" s="307"/>
    </row>
    <row r="18" spans="1:15" x14ac:dyDescent="0.45">
      <c r="A18" s="299">
        <v>46060</v>
      </c>
      <c r="B18" s="309" t="s">
        <v>240</v>
      </c>
      <c r="C18" s="301" t="s">
        <v>69</v>
      </c>
      <c r="D18" s="337">
        <v>4</v>
      </c>
      <c r="E18" s="301" t="s">
        <v>527</v>
      </c>
      <c r="F18" s="302"/>
      <c r="G18" s="301" t="s">
        <v>514</v>
      </c>
      <c r="H18" s="343"/>
      <c r="I18" s="301"/>
      <c r="J18" s="340" t="s">
        <v>233</v>
      </c>
      <c r="K18" s="303"/>
      <c r="L18" s="304">
        <f t="shared" si="0"/>
        <v>0</v>
      </c>
      <c r="M18" s="305">
        <f t="shared" si="0"/>
        <v>0</v>
      </c>
      <c r="N18" s="327" t="e">
        <f>IF(A18&lt;&gt;"", Таблица36[[#This Row],[Расход]] / VLOOKUP(A18, 'Курс валют'!$A:$D, 4, 0), "")</f>
        <v>#VALUE!</v>
      </c>
      <c r="O18" s="307"/>
    </row>
    <row r="19" spans="1:15" x14ac:dyDescent="0.45">
      <c r="A19" s="299">
        <v>46060</v>
      </c>
      <c r="B19" s="300" t="s">
        <v>528</v>
      </c>
      <c r="C19" s="301" t="s">
        <v>65</v>
      </c>
      <c r="D19" s="337">
        <v>1</v>
      </c>
      <c r="E19" s="301" t="s">
        <v>527</v>
      </c>
      <c r="F19" s="302"/>
      <c r="G19" s="301" t="s">
        <v>514</v>
      </c>
      <c r="H19" s="343"/>
      <c r="I19" s="301"/>
      <c r="J19" s="340" t="s">
        <v>233</v>
      </c>
      <c r="K19" s="303"/>
      <c r="L19" s="304">
        <f t="shared" si="0"/>
        <v>0</v>
      </c>
      <c r="M19" s="305">
        <f t="shared" si="0"/>
        <v>0</v>
      </c>
      <c r="N19" s="327" t="e">
        <f>IF(A19&lt;&gt;"", Таблица36[[#This Row],[Расход]] / VLOOKUP(A19, 'Курс валют'!$A:$D, 4, 0), "")</f>
        <v>#VALUE!</v>
      </c>
      <c r="O19" s="307"/>
    </row>
    <row r="20" spans="1:15" x14ac:dyDescent="0.45">
      <c r="A20" s="299">
        <v>46060</v>
      </c>
      <c r="B20" s="300" t="s">
        <v>525</v>
      </c>
      <c r="C20" s="301" t="s">
        <v>69</v>
      </c>
      <c r="D20" s="337">
        <v>1</v>
      </c>
      <c r="E20" s="301" t="s">
        <v>527</v>
      </c>
      <c r="F20" s="302"/>
      <c r="G20" s="301" t="s">
        <v>514</v>
      </c>
      <c r="H20" s="343"/>
      <c r="I20" s="301"/>
      <c r="J20" s="340"/>
      <c r="K20" s="303"/>
      <c r="L20" s="304">
        <f t="shared" si="0"/>
        <v>0</v>
      </c>
      <c r="M20" s="305">
        <f t="shared" si="0"/>
        <v>0</v>
      </c>
      <c r="N20" s="327">
        <f>IF(A20&lt;&gt;"", Таблица36[[#This Row],[Расход]] / VLOOKUP(A20, 'Курс валют'!$A:$D, 4, 0), "")</f>
        <v>0</v>
      </c>
      <c r="O20" s="307"/>
    </row>
    <row r="21" spans="1:15" x14ac:dyDescent="0.45">
      <c r="A21" s="299">
        <v>46060</v>
      </c>
      <c r="B21" s="300" t="s">
        <v>529</v>
      </c>
      <c r="C21" s="301" t="s">
        <v>65</v>
      </c>
      <c r="D21" s="337">
        <v>1</v>
      </c>
      <c r="E21" s="301" t="s">
        <v>527</v>
      </c>
      <c r="F21" s="302"/>
      <c r="G21" s="301" t="s">
        <v>514</v>
      </c>
      <c r="H21" s="343"/>
      <c r="I21" s="301"/>
      <c r="J21" s="340">
        <v>100000</v>
      </c>
      <c r="K21" s="303"/>
      <c r="L21" s="304">
        <f t="shared" si="0"/>
        <v>0</v>
      </c>
      <c r="M21" s="305">
        <f t="shared" si="0"/>
        <v>0</v>
      </c>
      <c r="N21" s="327">
        <f>IF(A21&lt;&gt;"", Таблица36[[#This Row],[Расход]] / VLOOKUP(A21, 'Курс валют'!$A:$D, 4, 0), "")</f>
        <v>8.1967213114754092</v>
      </c>
      <c r="O21" s="307"/>
    </row>
    <row r="22" spans="1:15" x14ac:dyDescent="0.45">
      <c r="A22" s="299">
        <v>46060</v>
      </c>
      <c r="B22" s="300" t="s">
        <v>530</v>
      </c>
      <c r="C22" s="301" t="s">
        <v>65</v>
      </c>
      <c r="D22" s="337">
        <v>1</v>
      </c>
      <c r="E22" s="301" t="s">
        <v>527</v>
      </c>
      <c r="F22" s="302"/>
      <c r="G22" s="301" t="s">
        <v>514</v>
      </c>
      <c r="H22" s="343"/>
      <c r="I22" s="301"/>
      <c r="J22" s="340">
        <v>1500000</v>
      </c>
      <c r="K22" s="303"/>
      <c r="L22" s="304">
        <f t="shared" si="0"/>
        <v>0</v>
      </c>
      <c r="M22" s="305">
        <f t="shared" si="0"/>
        <v>0</v>
      </c>
      <c r="N22" s="327">
        <f>IF(A22&lt;&gt;"", Таблица36[[#This Row],[Расход]] / VLOOKUP(A22, 'Курс валют'!$A:$D, 4, 0), "")</f>
        <v>122.95081967213115</v>
      </c>
      <c r="O22" s="307"/>
    </row>
    <row r="23" spans="1:15" x14ac:dyDescent="0.45">
      <c r="A23" s="299">
        <v>46060</v>
      </c>
      <c r="B23" s="300" t="s">
        <v>44</v>
      </c>
      <c r="C23" s="301" t="s">
        <v>65</v>
      </c>
      <c r="D23" s="337">
        <v>1</v>
      </c>
      <c r="E23" s="301" t="s">
        <v>527</v>
      </c>
      <c r="F23" s="302"/>
      <c r="G23" s="301" t="s">
        <v>514</v>
      </c>
      <c r="H23" s="343"/>
      <c r="I23" s="301"/>
      <c r="J23" s="340">
        <v>1500000</v>
      </c>
      <c r="K23" s="303"/>
      <c r="L23" s="304">
        <f t="shared" si="0"/>
        <v>0</v>
      </c>
      <c r="M23" s="305">
        <f t="shared" si="0"/>
        <v>0</v>
      </c>
      <c r="N23" s="327">
        <f>IF(A23&lt;&gt;"", Таблица36[[#This Row],[Расход]] / VLOOKUP(A23, 'Курс валют'!$A:$D, 4, 0), "")</f>
        <v>122.95081967213115</v>
      </c>
      <c r="O23" s="307"/>
    </row>
    <row r="24" spans="1:15" x14ac:dyDescent="0.45">
      <c r="A24" s="310">
        <v>46061</v>
      </c>
      <c r="B24" s="309" t="s">
        <v>531</v>
      </c>
      <c r="C24" s="301" t="s">
        <v>532</v>
      </c>
      <c r="D24" s="337">
        <v>14</v>
      </c>
      <c r="E24" s="301" t="s">
        <v>533</v>
      </c>
      <c r="F24" s="302"/>
      <c r="G24" s="301" t="s">
        <v>514</v>
      </c>
      <c r="H24" s="343"/>
      <c r="I24" s="301"/>
      <c r="J24" s="340"/>
      <c r="K24" s="303"/>
      <c r="L24" s="304">
        <f t="shared" si="0"/>
        <v>0</v>
      </c>
      <c r="M24" s="305">
        <f t="shared" si="0"/>
        <v>0</v>
      </c>
      <c r="N24" s="327">
        <f>IF(A24&lt;&gt;"", Таблица36[[#This Row],[Расход]] / VLOOKUP(A24, 'Курс валют'!$A:$D, 4, 0), "")</f>
        <v>0</v>
      </c>
      <c r="O24" s="307"/>
    </row>
    <row r="25" spans="1:15" x14ac:dyDescent="0.45">
      <c r="A25" s="310">
        <v>46061</v>
      </c>
      <c r="B25" s="300" t="s">
        <v>517</v>
      </c>
      <c r="C25" s="301" t="s">
        <v>512</v>
      </c>
      <c r="D25" s="337">
        <v>8</v>
      </c>
      <c r="E25" s="301" t="s">
        <v>533</v>
      </c>
      <c r="F25" s="302"/>
      <c r="G25" s="301" t="s">
        <v>514</v>
      </c>
      <c r="H25" s="343"/>
      <c r="I25" s="301"/>
      <c r="J25" s="340"/>
      <c r="K25" s="303"/>
      <c r="L25" s="304">
        <f t="shared" si="0"/>
        <v>0</v>
      </c>
      <c r="M25" s="305">
        <f t="shared" si="0"/>
        <v>0</v>
      </c>
      <c r="N25" s="327">
        <f>IF(A25&lt;&gt;"", Таблица36[[#This Row],[Расход]] / VLOOKUP(A25, 'Курс валют'!$A:$D, 4, 0), "")</f>
        <v>0</v>
      </c>
      <c r="O25" s="307"/>
    </row>
    <row r="26" spans="1:15" x14ac:dyDescent="0.45">
      <c r="A26" s="310">
        <v>46061</v>
      </c>
      <c r="B26" s="309" t="s">
        <v>173</v>
      </c>
      <c r="C26" s="301" t="s">
        <v>65</v>
      </c>
      <c r="D26" s="337">
        <v>1</v>
      </c>
      <c r="E26" s="301" t="s">
        <v>533</v>
      </c>
      <c r="F26" s="302"/>
      <c r="G26" s="301" t="s">
        <v>514</v>
      </c>
      <c r="H26" s="343"/>
      <c r="I26" s="301"/>
      <c r="J26" s="340">
        <v>60000</v>
      </c>
      <c r="K26" s="303"/>
      <c r="L26" s="304">
        <f t="shared" si="0"/>
        <v>0</v>
      </c>
      <c r="M26" s="305">
        <f t="shared" si="0"/>
        <v>0</v>
      </c>
      <c r="N26" s="327">
        <f>IF(A26&lt;&gt;"", Таблица36[[#This Row],[Расход]] / VLOOKUP(A26, 'Курс валют'!$A:$D, 4, 0), "")</f>
        <v>4.918032786885246</v>
      </c>
      <c r="O26" s="307"/>
    </row>
    <row r="27" spans="1:15" x14ac:dyDescent="0.45">
      <c r="A27" s="310">
        <v>46062</v>
      </c>
      <c r="B27" s="309" t="s">
        <v>534</v>
      </c>
      <c r="C27" s="301" t="s">
        <v>69</v>
      </c>
      <c r="D27" s="337">
        <v>1</v>
      </c>
      <c r="E27" s="301" t="s">
        <v>533</v>
      </c>
      <c r="F27" s="302"/>
      <c r="G27" s="301" t="s">
        <v>514</v>
      </c>
      <c r="H27" s="343"/>
      <c r="I27" s="301"/>
      <c r="J27" s="340">
        <v>200000</v>
      </c>
      <c r="K27" s="303"/>
      <c r="L27" s="304">
        <f t="shared" si="0"/>
        <v>0</v>
      </c>
      <c r="M27" s="305">
        <f t="shared" si="0"/>
        <v>0</v>
      </c>
      <c r="N27" s="327">
        <f>IF(A27&lt;&gt;"", Таблица36[[#This Row],[Расход]] / VLOOKUP(A27, 'Курс валют'!$A:$D, 4, 0), "")</f>
        <v>16.393442622950818</v>
      </c>
      <c r="O27" s="307"/>
    </row>
    <row r="28" spans="1:15" x14ac:dyDescent="0.45">
      <c r="A28" s="310">
        <v>46062</v>
      </c>
      <c r="B28" s="309" t="s">
        <v>535</v>
      </c>
      <c r="C28" s="301" t="s">
        <v>65</v>
      </c>
      <c r="D28" s="337">
        <v>1</v>
      </c>
      <c r="E28" s="301" t="s">
        <v>533</v>
      </c>
      <c r="F28" s="302"/>
      <c r="G28" s="301" t="s">
        <v>514</v>
      </c>
      <c r="H28" s="343"/>
      <c r="I28" s="301"/>
      <c r="J28" s="340">
        <v>1620000</v>
      </c>
      <c r="K28" s="303"/>
      <c r="L28" s="304">
        <f t="shared" si="0"/>
        <v>0</v>
      </c>
      <c r="M28" s="305">
        <f t="shared" si="0"/>
        <v>0</v>
      </c>
      <c r="N28" s="327">
        <f>IF(A28&lt;&gt;"", Таблица36[[#This Row],[Расход]] / VLOOKUP(A28, 'Курс валют'!$A:$D, 4, 0), "")</f>
        <v>132.78688524590163</v>
      </c>
      <c r="O28" s="307"/>
    </row>
    <row r="29" spans="1:15" x14ac:dyDescent="0.45">
      <c r="A29" s="310">
        <v>46062</v>
      </c>
      <c r="B29" s="300" t="s">
        <v>536</v>
      </c>
      <c r="C29" s="301" t="s">
        <v>69</v>
      </c>
      <c r="D29" s="337">
        <v>20</v>
      </c>
      <c r="E29" s="301" t="s">
        <v>533</v>
      </c>
      <c r="F29" s="302"/>
      <c r="G29" s="301" t="s">
        <v>514</v>
      </c>
      <c r="H29" s="343"/>
      <c r="I29" s="301"/>
      <c r="J29" s="340">
        <f>3000*D29</f>
        <v>60000</v>
      </c>
      <c r="K29" s="303"/>
      <c r="L29" s="304">
        <f t="shared" si="0"/>
        <v>0</v>
      </c>
      <c r="M29" s="305">
        <f t="shared" si="0"/>
        <v>0</v>
      </c>
      <c r="N29" s="327">
        <f>IF(A29&lt;&gt;"", Таблица36[[#This Row],[Расход]] / VLOOKUP(A29, 'Курс валют'!$A:$D, 4, 0), "")</f>
        <v>4.918032786885246</v>
      </c>
      <c r="O29" s="307"/>
    </row>
    <row r="30" spans="1:15" x14ac:dyDescent="0.45">
      <c r="A30" s="310">
        <v>46063</v>
      </c>
      <c r="B30" s="300" t="s">
        <v>537</v>
      </c>
      <c r="C30" s="301" t="s">
        <v>69</v>
      </c>
      <c r="D30" s="337">
        <v>1</v>
      </c>
      <c r="E30" s="301" t="s">
        <v>533</v>
      </c>
      <c r="F30" s="302"/>
      <c r="G30" s="301" t="s">
        <v>514</v>
      </c>
      <c r="H30" s="343"/>
      <c r="I30" s="301"/>
      <c r="J30" s="340">
        <v>1000000</v>
      </c>
      <c r="K30" s="303"/>
      <c r="L30" s="304">
        <f t="shared" si="0"/>
        <v>0</v>
      </c>
      <c r="M30" s="305">
        <f t="shared" si="0"/>
        <v>0</v>
      </c>
      <c r="N30" s="327">
        <f>IF(A30&lt;&gt;"", Таблица36[[#This Row],[Расход]] / VLOOKUP(A30, 'Курс валют'!$A:$D, 4, 0), "")</f>
        <v>81.967213114754102</v>
      </c>
      <c r="O30" s="307"/>
    </row>
    <row r="31" spans="1:15" x14ac:dyDescent="0.45">
      <c r="A31" s="310">
        <v>46063</v>
      </c>
      <c r="B31" s="309" t="s">
        <v>538</v>
      </c>
      <c r="C31" s="301" t="s">
        <v>512</v>
      </c>
      <c r="D31" s="337">
        <v>4.5</v>
      </c>
      <c r="E31" s="301" t="s">
        <v>533</v>
      </c>
      <c r="F31" s="302"/>
      <c r="G31" s="301" t="s">
        <v>514</v>
      </c>
      <c r="H31" s="343"/>
      <c r="I31" s="301"/>
      <c r="J31" s="340"/>
      <c r="K31" s="303"/>
      <c r="L31" s="304">
        <f t="shared" si="0"/>
        <v>0</v>
      </c>
      <c r="M31" s="305">
        <f t="shared" si="0"/>
        <v>0</v>
      </c>
      <c r="N31" s="327">
        <f>IF(A31&lt;&gt;"", Таблица36[[#This Row],[Расход]] / VLOOKUP(A31, 'Курс валют'!$A:$D, 4, 0), "")</f>
        <v>0</v>
      </c>
      <c r="O31" s="307"/>
    </row>
    <row r="32" spans="1:15" x14ac:dyDescent="0.45">
      <c r="A32" s="310">
        <v>46063</v>
      </c>
      <c r="B32" s="300" t="s">
        <v>531</v>
      </c>
      <c r="C32" s="301" t="s">
        <v>532</v>
      </c>
      <c r="D32" s="337">
        <v>6.5</v>
      </c>
      <c r="E32" s="301" t="s">
        <v>533</v>
      </c>
      <c r="F32" s="302"/>
      <c r="G32" s="301" t="s">
        <v>514</v>
      </c>
      <c r="H32" s="343"/>
      <c r="I32" s="301"/>
      <c r="J32" s="340"/>
      <c r="K32" s="303"/>
      <c r="L32" s="304">
        <f t="shared" si="0"/>
        <v>0</v>
      </c>
      <c r="M32" s="305">
        <f t="shared" si="0"/>
        <v>0</v>
      </c>
      <c r="N32" s="327">
        <f>IF(A32&lt;&gt;"", Таблица36[[#This Row],[Расход]] / VLOOKUP(A32, 'Курс валют'!$A:$D, 4, 0), "")</f>
        <v>0</v>
      </c>
      <c r="O32" s="307"/>
    </row>
    <row r="33" spans="1:15" x14ac:dyDescent="0.45">
      <c r="A33" s="310">
        <v>46063</v>
      </c>
      <c r="B33" s="309" t="s">
        <v>517</v>
      </c>
      <c r="C33" s="301" t="s">
        <v>512</v>
      </c>
      <c r="D33" s="337">
        <v>5</v>
      </c>
      <c r="E33" s="301" t="s">
        <v>533</v>
      </c>
      <c r="F33" s="302"/>
      <c r="G33" s="301" t="s">
        <v>514</v>
      </c>
      <c r="H33" s="343"/>
      <c r="I33" s="301"/>
      <c r="J33" s="340"/>
      <c r="K33" s="303"/>
      <c r="L33" s="304">
        <f t="shared" si="0"/>
        <v>0</v>
      </c>
      <c r="M33" s="305">
        <f t="shared" si="0"/>
        <v>0</v>
      </c>
      <c r="N33" s="327">
        <f>IF(A33&lt;&gt;"", Таблица36[[#This Row],[Расход]] / VLOOKUP(A33, 'Курс валют'!$A:$D, 4, 0), "")</f>
        <v>0</v>
      </c>
      <c r="O33" s="307"/>
    </row>
    <row r="34" spans="1:15" x14ac:dyDescent="0.45">
      <c r="A34" s="310">
        <v>46063</v>
      </c>
      <c r="B34" s="309" t="s">
        <v>22</v>
      </c>
      <c r="C34" s="301" t="s">
        <v>69</v>
      </c>
      <c r="D34" s="337">
        <v>1</v>
      </c>
      <c r="E34" s="301" t="s">
        <v>533</v>
      </c>
      <c r="F34" s="302"/>
      <c r="G34" s="301" t="s">
        <v>514</v>
      </c>
      <c r="H34" s="343"/>
      <c r="I34" s="301"/>
      <c r="J34" s="340"/>
      <c r="K34" s="303"/>
      <c r="L34" s="304">
        <f t="shared" si="0"/>
        <v>0</v>
      </c>
      <c r="M34" s="305">
        <f t="shared" si="0"/>
        <v>0</v>
      </c>
      <c r="N34" s="327">
        <f>IF(A34&lt;&gt;"", Таблица36[[#This Row],[Расход]] / VLOOKUP(A34, 'Курс валют'!$A:$D, 4, 0), "")</f>
        <v>0</v>
      </c>
      <c r="O34" s="307"/>
    </row>
    <row r="35" spans="1:15" x14ac:dyDescent="0.45">
      <c r="A35" s="310">
        <v>46064</v>
      </c>
      <c r="B35" s="309" t="s">
        <v>539</v>
      </c>
      <c r="C35" s="301" t="s">
        <v>540</v>
      </c>
      <c r="D35" s="337">
        <v>1</v>
      </c>
      <c r="E35" s="301" t="s">
        <v>533</v>
      </c>
      <c r="F35" s="302"/>
      <c r="G35" s="301" t="s">
        <v>514</v>
      </c>
      <c r="H35" s="343"/>
      <c r="I35" s="301"/>
      <c r="J35" s="340"/>
      <c r="K35" s="303"/>
      <c r="L35" s="304">
        <f t="shared" si="0"/>
        <v>0</v>
      </c>
      <c r="M35" s="305">
        <f t="shared" si="0"/>
        <v>0</v>
      </c>
      <c r="N35" s="327">
        <f>IF(A35&lt;&gt;"", Таблица36[[#This Row],[Расход]] / VLOOKUP(A35, 'Курс валют'!$A:$D, 4, 0), "")</f>
        <v>0</v>
      </c>
      <c r="O35" s="307"/>
    </row>
    <row r="36" spans="1:15" x14ac:dyDescent="0.45">
      <c r="A36" s="310">
        <v>46064</v>
      </c>
      <c r="B36" s="300" t="s">
        <v>541</v>
      </c>
      <c r="C36" s="301" t="s">
        <v>532</v>
      </c>
      <c r="D36" s="337">
        <v>9</v>
      </c>
      <c r="E36" s="301" t="s">
        <v>533</v>
      </c>
      <c r="F36" s="302"/>
      <c r="G36" s="301" t="s">
        <v>514</v>
      </c>
      <c r="H36" s="343"/>
      <c r="I36" s="301"/>
      <c r="J36" s="340"/>
      <c r="K36" s="303"/>
      <c r="L36" s="304">
        <f t="shared" si="0"/>
        <v>0</v>
      </c>
      <c r="M36" s="305">
        <f t="shared" si="0"/>
        <v>0</v>
      </c>
      <c r="N36" s="327">
        <f>IF(A36&lt;&gt;"", Таблица36[[#This Row],[Расход]] / VLOOKUP(A36, 'Курс валют'!$A:$D, 4, 0), "")</f>
        <v>0</v>
      </c>
      <c r="O36" s="307"/>
    </row>
    <row r="37" spans="1:15" x14ac:dyDescent="0.45">
      <c r="A37" s="310">
        <v>46064</v>
      </c>
      <c r="B37" s="300" t="s">
        <v>531</v>
      </c>
      <c r="C37" s="301" t="s">
        <v>532</v>
      </c>
      <c r="D37" s="337">
        <v>12</v>
      </c>
      <c r="E37" s="301" t="s">
        <v>533</v>
      </c>
      <c r="F37" s="302"/>
      <c r="G37" s="301" t="s">
        <v>514</v>
      </c>
      <c r="H37" s="343"/>
      <c r="I37" s="301"/>
      <c r="J37" s="340"/>
      <c r="K37" s="303"/>
      <c r="L37" s="304">
        <f t="shared" si="0"/>
        <v>0</v>
      </c>
      <c r="M37" s="305">
        <f t="shared" si="0"/>
        <v>0</v>
      </c>
      <c r="N37" s="327">
        <f>IF(A37&lt;&gt;"", Таблица36[[#This Row],[Расход]] / VLOOKUP(A37, 'Курс валют'!$A:$D, 4, 0), "")</f>
        <v>0</v>
      </c>
      <c r="O37" s="307"/>
    </row>
    <row r="38" spans="1:15" x14ac:dyDescent="0.45">
      <c r="A38" s="310">
        <v>46064</v>
      </c>
      <c r="B38" s="309" t="s">
        <v>517</v>
      </c>
      <c r="C38" s="301" t="s">
        <v>512</v>
      </c>
      <c r="D38" s="337">
        <v>4.5</v>
      </c>
      <c r="E38" s="301" t="s">
        <v>533</v>
      </c>
      <c r="F38" s="302"/>
      <c r="G38" s="301" t="s">
        <v>514</v>
      </c>
      <c r="H38" s="343"/>
      <c r="I38" s="301"/>
      <c r="J38" s="340"/>
      <c r="K38" s="303"/>
      <c r="L38" s="304">
        <f t="shared" si="0"/>
        <v>0</v>
      </c>
      <c r="M38" s="305">
        <f t="shared" si="0"/>
        <v>0</v>
      </c>
      <c r="N38" s="327">
        <f>IF(A38&lt;&gt;"", Таблица36[[#This Row],[Расход]] / VLOOKUP(A38, 'Курс валют'!$A:$D, 4, 0), "")</f>
        <v>0</v>
      </c>
      <c r="O38" s="307"/>
    </row>
    <row r="39" spans="1:15" x14ac:dyDescent="0.45">
      <c r="A39" s="310">
        <v>46064</v>
      </c>
      <c r="B39" s="300" t="s">
        <v>517</v>
      </c>
      <c r="C39" s="301" t="s">
        <v>512</v>
      </c>
      <c r="D39" s="337">
        <v>9</v>
      </c>
      <c r="E39" s="301" t="s">
        <v>533</v>
      </c>
      <c r="F39" s="302"/>
      <c r="G39" s="301" t="s">
        <v>514</v>
      </c>
      <c r="H39" s="343"/>
      <c r="I39" s="301"/>
      <c r="J39" s="340"/>
      <c r="K39" s="303"/>
      <c r="L39" s="304">
        <f t="shared" si="0"/>
        <v>0</v>
      </c>
      <c r="M39" s="305">
        <f t="shared" si="0"/>
        <v>0</v>
      </c>
      <c r="N39" s="327">
        <f>IF(A39&lt;&gt;"", Таблица36[[#This Row],[Расход]] / VLOOKUP(A39, 'Курс валют'!$A:$D, 4, 0), "")</f>
        <v>0</v>
      </c>
      <c r="O39" s="307"/>
    </row>
    <row r="40" spans="1:15" x14ac:dyDescent="0.45">
      <c r="A40" s="310">
        <v>46064</v>
      </c>
      <c r="B40" s="309" t="s">
        <v>542</v>
      </c>
      <c r="C40" s="301" t="s">
        <v>543</v>
      </c>
      <c r="D40" s="337">
        <v>1</v>
      </c>
      <c r="E40" s="301" t="s">
        <v>533</v>
      </c>
      <c r="F40" s="302"/>
      <c r="G40" s="301" t="s">
        <v>514</v>
      </c>
      <c r="H40" s="343"/>
      <c r="I40" s="301"/>
      <c r="J40" s="340"/>
      <c r="K40" s="303"/>
      <c r="L40" s="304">
        <f t="shared" si="0"/>
        <v>0</v>
      </c>
      <c r="M40" s="305">
        <f t="shared" si="0"/>
        <v>0</v>
      </c>
      <c r="N40" s="327">
        <f>IF(A40&lt;&gt;"", Таблица36[[#This Row],[Расход]] / VLOOKUP(A40, 'Курс валют'!$A:$D, 4, 0), "")</f>
        <v>0</v>
      </c>
      <c r="O40" s="307"/>
    </row>
    <row r="41" spans="1:15" x14ac:dyDescent="0.45">
      <c r="A41" s="310">
        <v>46064</v>
      </c>
      <c r="B41" s="309" t="s">
        <v>539</v>
      </c>
      <c r="C41" s="301" t="s">
        <v>540</v>
      </c>
      <c r="D41" s="337">
        <v>1</v>
      </c>
      <c r="E41" s="301" t="s">
        <v>533</v>
      </c>
      <c r="F41" s="302"/>
      <c r="G41" s="301" t="s">
        <v>514</v>
      </c>
      <c r="H41" s="343"/>
      <c r="I41" s="301"/>
      <c r="J41" s="340"/>
      <c r="K41" s="303"/>
      <c r="L41" s="304">
        <f t="shared" si="0"/>
        <v>0</v>
      </c>
      <c r="M41" s="305">
        <f t="shared" si="0"/>
        <v>0</v>
      </c>
      <c r="N41" s="327">
        <f>IF(A41&lt;&gt;"", Таблица36[[#This Row],[Расход]] / VLOOKUP(A41, 'Курс валют'!$A:$D, 4, 0), "")</f>
        <v>0</v>
      </c>
      <c r="O41" s="307"/>
    </row>
    <row r="42" spans="1:15" x14ac:dyDescent="0.45">
      <c r="A42" s="310">
        <v>46064</v>
      </c>
      <c r="B42" s="309" t="s">
        <v>544</v>
      </c>
      <c r="C42" s="301" t="s">
        <v>65</v>
      </c>
      <c r="D42" s="337">
        <v>1</v>
      </c>
      <c r="E42" s="301" t="s">
        <v>533</v>
      </c>
      <c r="F42" s="302"/>
      <c r="G42" s="301" t="s">
        <v>514</v>
      </c>
      <c r="H42" s="343"/>
      <c r="I42" s="301"/>
      <c r="J42" s="340">
        <v>30000</v>
      </c>
      <c r="K42" s="303"/>
      <c r="L42" s="304">
        <f t="shared" si="0"/>
        <v>0</v>
      </c>
      <c r="M42" s="305">
        <f t="shared" si="0"/>
        <v>0</v>
      </c>
      <c r="N42" s="327">
        <f>IF(A42&lt;&gt;"", Таблица36[[#This Row],[Расход]] / VLOOKUP(A42, 'Курс валют'!$A:$D, 4, 0), "")</f>
        <v>2.4370430544272947</v>
      </c>
      <c r="O42" s="307"/>
    </row>
    <row r="43" spans="1:15" x14ac:dyDescent="0.45">
      <c r="A43" s="310">
        <v>46066</v>
      </c>
      <c r="B43" s="309" t="s">
        <v>545</v>
      </c>
      <c r="C43" s="301" t="s">
        <v>65</v>
      </c>
      <c r="D43" s="337">
        <v>1</v>
      </c>
      <c r="E43" s="301" t="s">
        <v>546</v>
      </c>
      <c r="F43" s="302"/>
      <c r="G43" s="301" t="s">
        <v>514</v>
      </c>
      <c r="H43" s="343"/>
      <c r="I43" s="301"/>
      <c r="J43" s="340"/>
      <c r="K43" s="303"/>
      <c r="L43" s="304">
        <f t="shared" si="0"/>
        <v>0</v>
      </c>
      <c r="M43" s="305">
        <f t="shared" si="0"/>
        <v>0</v>
      </c>
      <c r="N43" s="327">
        <f>IF(A43&lt;&gt;"", Таблица36[[#This Row],[Расход]] / VLOOKUP(A43, 'Курс валют'!$A:$D, 4, 0), "")</f>
        <v>0</v>
      </c>
      <c r="O43" s="307"/>
    </row>
    <row r="44" spans="1:15" x14ac:dyDescent="0.45">
      <c r="A44" s="310">
        <v>46066</v>
      </c>
      <c r="B44" s="300" t="s">
        <v>547</v>
      </c>
      <c r="C44" s="301" t="s">
        <v>69</v>
      </c>
      <c r="D44" s="337">
        <v>8</v>
      </c>
      <c r="E44" s="301" t="s">
        <v>546</v>
      </c>
      <c r="F44" s="302"/>
      <c r="G44" s="301" t="s">
        <v>514</v>
      </c>
      <c r="H44" s="343"/>
      <c r="I44" s="301"/>
      <c r="J44" s="340">
        <f>140000*D44</f>
        <v>1120000</v>
      </c>
      <c r="K44" s="303"/>
      <c r="L44" s="304">
        <f t="shared" si="0"/>
        <v>0</v>
      </c>
      <c r="M44" s="305">
        <f t="shared" si="0"/>
        <v>0</v>
      </c>
      <c r="N44" s="327">
        <f>IF(A44&lt;&gt;"", Таблица36[[#This Row],[Расход]] / VLOOKUP(A44, 'Курс валют'!$A:$D, 4, 0), "")</f>
        <v>91.803278688524586</v>
      </c>
      <c r="O44" s="307"/>
    </row>
    <row r="45" spans="1:15" x14ac:dyDescent="0.45">
      <c r="A45" s="310">
        <v>46066</v>
      </c>
      <c r="B45" s="309" t="s">
        <v>517</v>
      </c>
      <c r="C45" s="301" t="s">
        <v>512</v>
      </c>
      <c r="D45" s="337">
        <v>2</v>
      </c>
      <c r="E45" s="301" t="s">
        <v>546</v>
      </c>
      <c r="F45" s="302"/>
      <c r="G45" s="301" t="s">
        <v>514</v>
      </c>
      <c r="H45" s="343"/>
      <c r="I45" s="301"/>
      <c r="J45" s="340"/>
      <c r="K45" s="303"/>
      <c r="L45" s="304">
        <f t="shared" si="0"/>
        <v>0</v>
      </c>
      <c r="M45" s="305">
        <f t="shared" si="0"/>
        <v>0</v>
      </c>
      <c r="N45" s="327">
        <f>IF(A45&lt;&gt;"", Таблица36[[#This Row],[Расход]] / VLOOKUP(A45, 'Курс валют'!$A:$D, 4, 0), "")</f>
        <v>0</v>
      </c>
      <c r="O45" s="307"/>
    </row>
    <row r="46" spans="1:15" x14ac:dyDescent="0.45">
      <c r="A46" s="310">
        <v>46067</v>
      </c>
      <c r="B46" s="309" t="s">
        <v>548</v>
      </c>
      <c r="C46" s="301" t="s">
        <v>69</v>
      </c>
      <c r="D46" s="337">
        <v>8</v>
      </c>
      <c r="E46" s="301" t="s">
        <v>546</v>
      </c>
      <c r="F46" s="302"/>
      <c r="G46" s="301" t="s">
        <v>514</v>
      </c>
      <c r="H46" s="343"/>
      <c r="I46" s="301"/>
      <c r="J46" s="340"/>
      <c r="K46" s="303"/>
      <c r="L46" s="304">
        <f t="shared" si="0"/>
        <v>0</v>
      </c>
      <c r="M46" s="305">
        <f t="shared" si="0"/>
        <v>0</v>
      </c>
      <c r="N46" s="327">
        <f>IF(A46&lt;&gt;"", Таблица36[[#This Row],[Расход]] / VLOOKUP(A46, 'Курс валют'!$A:$D, 4, 0), "")</f>
        <v>0</v>
      </c>
      <c r="O46" s="307"/>
    </row>
    <row r="47" spans="1:15" x14ac:dyDescent="0.45">
      <c r="A47" s="310">
        <v>46067</v>
      </c>
      <c r="B47" s="309" t="s">
        <v>549</v>
      </c>
      <c r="C47" s="301" t="s">
        <v>65</v>
      </c>
      <c r="D47" s="337">
        <v>1</v>
      </c>
      <c r="E47" s="301" t="s">
        <v>546</v>
      </c>
      <c r="F47" s="302"/>
      <c r="G47" s="301" t="s">
        <v>514</v>
      </c>
      <c r="H47" s="343"/>
      <c r="I47" s="301"/>
      <c r="J47" s="340"/>
      <c r="K47" s="303"/>
      <c r="L47" s="304">
        <f t="shared" si="0"/>
        <v>0</v>
      </c>
      <c r="M47" s="305">
        <f t="shared" si="0"/>
        <v>0</v>
      </c>
      <c r="N47" s="327">
        <f>IF(A47&lt;&gt;"", Таблица36[[#This Row],[Расход]] / VLOOKUP(A47, 'Курс валют'!$A:$D, 4, 0), "")</f>
        <v>0</v>
      </c>
      <c r="O47" s="307"/>
    </row>
    <row r="48" spans="1:15" x14ac:dyDescent="0.45">
      <c r="A48" s="310">
        <v>46067</v>
      </c>
      <c r="B48" s="300" t="s">
        <v>49</v>
      </c>
      <c r="C48" s="301" t="s">
        <v>69</v>
      </c>
      <c r="D48" s="337">
        <v>10</v>
      </c>
      <c r="E48" s="301" t="s">
        <v>546</v>
      </c>
      <c r="F48" s="302"/>
      <c r="G48" s="301" t="s">
        <v>514</v>
      </c>
      <c r="H48" s="343"/>
      <c r="I48" s="301"/>
      <c r="J48" s="340"/>
      <c r="K48" s="303"/>
      <c r="L48" s="304">
        <f t="shared" si="0"/>
        <v>0</v>
      </c>
      <c r="M48" s="305">
        <f t="shared" si="0"/>
        <v>0</v>
      </c>
      <c r="N48" s="327">
        <f>IF(A48&lt;&gt;"", Таблица36[[#This Row],[Расход]] / VLOOKUP(A48, 'Курс валют'!$A:$D, 4, 0), "")</f>
        <v>0</v>
      </c>
      <c r="O48" s="307"/>
    </row>
    <row r="49" spans="1:15" x14ac:dyDescent="0.45">
      <c r="A49" s="310">
        <v>46067</v>
      </c>
      <c r="B49" s="300" t="s">
        <v>550</v>
      </c>
      <c r="C49" s="301" t="s">
        <v>59</v>
      </c>
      <c r="D49" s="337">
        <v>160</v>
      </c>
      <c r="E49" s="301" t="s">
        <v>546</v>
      </c>
      <c r="F49" s="302"/>
      <c r="G49" s="301" t="s">
        <v>514</v>
      </c>
      <c r="H49" s="343"/>
      <c r="I49" s="301"/>
      <c r="J49" s="340"/>
      <c r="K49" s="303"/>
      <c r="L49" s="304">
        <f t="shared" si="0"/>
        <v>0</v>
      </c>
      <c r="M49" s="305">
        <f t="shared" si="0"/>
        <v>0</v>
      </c>
      <c r="N49" s="327">
        <f>IF(A49&lt;&gt;"", Таблица36[[#This Row],[Расход]] / VLOOKUP(A49, 'Курс валют'!$A:$D, 4, 0), "")</f>
        <v>0</v>
      </c>
      <c r="O49" s="307"/>
    </row>
    <row r="50" spans="1:15" x14ac:dyDescent="0.45">
      <c r="A50" s="310">
        <v>46069</v>
      </c>
      <c r="B50" s="309" t="s">
        <v>551</v>
      </c>
      <c r="C50" s="301" t="s">
        <v>59</v>
      </c>
      <c r="D50" s="337">
        <v>50</v>
      </c>
      <c r="E50" s="301" t="s">
        <v>546</v>
      </c>
      <c r="F50" s="302"/>
      <c r="G50" s="301" t="s">
        <v>514</v>
      </c>
      <c r="H50" s="343"/>
      <c r="I50" s="301"/>
      <c r="J50" s="340"/>
      <c r="K50" s="303"/>
      <c r="L50" s="304">
        <f t="shared" si="0"/>
        <v>0</v>
      </c>
      <c r="M50" s="305">
        <f t="shared" si="0"/>
        <v>0</v>
      </c>
      <c r="N50" s="327">
        <f>IF(A50&lt;&gt;"", Таблица36[[#This Row],[Расход]] / VLOOKUP(A50, 'Курс валют'!$A:$D, 4, 0), "")</f>
        <v>0</v>
      </c>
      <c r="O50" s="307"/>
    </row>
    <row r="51" spans="1:15" x14ac:dyDescent="0.45">
      <c r="A51" s="310">
        <v>46070</v>
      </c>
      <c r="B51" s="300" t="s">
        <v>552</v>
      </c>
      <c r="C51" s="301" t="s">
        <v>512</v>
      </c>
      <c r="D51" s="337">
        <v>5</v>
      </c>
      <c r="E51" s="301" t="s">
        <v>546</v>
      </c>
      <c r="F51" s="302"/>
      <c r="G51" s="301" t="s">
        <v>514</v>
      </c>
      <c r="H51" s="343"/>
      <c r="I51" s="301"/>
      <c r="J51" s="340"/>
      <c r="K51" s="303"/>
      <c r="L51" s="304">
        <f t="shared" si="0"/>
        <v>0</v>
      </c>
      <c r="M51" s="305">
        <f t="shared" si="0"/>
        <v>0</v>
      </c>
      <c r="N51" s="327">
        <f>IF(A51&lt;&gt;"", Таблица36[[#This Row],[Расход]] / VLOOKUP(A51, 'Курс валют'!$A:$D, 4, 0), "")</f>
        <v>0</v>
      </c>
      <c r="O51" s="307"/>
    </row>
    <row r="52" spans="1:15" x14ac:dyDescent="0.45">
      <c r="A52" s="310">
        <v>46070</v>
      </c>
      <c r="B52" s="309" t="s">
        <v>553</v>
      </c>
      <c r="C52" s="301" t="s">
        <v>65</v>
      </c>
      <c r="D52" s="337">
        <v>1</v>
      </c>
      <c r="E52" s="301" t="s">
        <v>546</v>
      </c>
      <c r="F52" s="302"/>
      <c r="G52" s="301" t="s">
        <v>514</v>
      </c>
      <c r="H52" s="343"/>
      <c r="I52" s="301"/>
      <c r="J52" s="340"/>
      <c r="K52" s="303"/>
      <c r="L52" s="304">
        <f t="shared" si="0"/>
        <v>0</v>
      </c>
      <c r="M52" s="305">
        <f t="shared" si="0"/>
        <v>0</v>
      </c>
      <c r="N52" s="327">
        <f>IF(A52&lt;&gt;"", Таблица36[[#This Row],[Расход]] / VLOOKUP(A52, 'Курс валют'!$A:$D, 4, 0), "")</f>
        <v>0</v>
      </c>
      <c r="O52" s="307"/>
    </row>
    <row r="53" spans="1:15" x14ac:dyDescent="0.45">
      <c r="A53" s="310">
        <v>46070</v>
      </c>
      <c r="B53" s="309" t="s">
        <v>554</v>
      </c>
      <c r="C53" s="301" t="s">
        <v>97</v>
      </c>
      <c r="D53" s="337">
        <v>400</v>
      </c>
      <c r="E53" s="301" t="s">
        <v>546</v>
      </c>
      <c r="F53" s="302"/>
      <c r="G53" s="301" t="s">
        <v>514</v>
      </c>
      <c r="H53" s="343"/>
      <c r="I53" s="301"/>
      <c r="J53" s="340"/>
      <c r="K53" s="303"/>
      <c r="L53" s="304">
        <f t="shared" si="0"/>
        <v>0</v>
      </c>
      <c r="M53" s="305">
        <f t="shared" si="0"/>
        <v>0</v>
      </c>
      <c r="N53" s="327">
        <f>IF(A53&lt;&gt;"", Таблица36[[#This Row],[Расход]] / VLOOKUP(A53, 'Курс валют'!$A:$D, 4, 0), "")</f>
        <v>0</v>
      </c>
      <c r="O53" s="307"/>
    </row>
    <row r="54" spans="1:15" x14ac:dyDescent="0.45">
      <c r="A54" s="310">
        <v>46070</v>
      </c>
      <c r="B54" s="309" t="s">
        <v>555</v>
      </c>
      <c r="C54" s="301" t="s">
        <v>65</v>
      </c>
      <c r="D54" s="337">
        <v>1</v>
      </c>
      <c r="E54" s="301" t="s">
        <v>546</v>
      </c>
      <c r="F54" s="302"/>
      <c r="G54" s="301" t="s">
        <v>514</v>
      </c>
      <c r="H54" s="343"/>
      <c r="I54" s="301"/>
      <c r="J54" s="340"/>
      <c r="K54" s="303"/>
      <c r="L54" s="304">
        <f t="shared" si="0"/>
        <v>0</v>
      </c>
      <c r="M54" s="305">
        <f t="shared" si="0"/>
        <v>0</v>
      </c>
      <c r="N54" s="327">
        <f>IF(A54&lt;&gt;"", Таблица36[[#This Row],[Расход]] / VLOOKUP(A54, 'Курс валют'!$A:$D, 4, 0), "")</f>
        <v>0</v>
      </c>
      <c r="O54" s="307"/>
    </row>
    <row r="55" spans="1:15" x14ac:dyDescent="0.45">
      <c r="A55" s="310">
        <v>46070</v>
      </c>
      <c r="B55" s="300" t="s">
        <v>556</v>
      </c>
      <c r="C55" s="301" t="s">
        <v>65</v>
      </c>
      <c r="D55" s="337">
        <v>1</v>
      </c>
      <c r="E55" s="301" t="s">
        <v>546</v>
      </c>
      <c r="F55" s="302"/>
      <c r="G55" s="301" t="s">
        <v>514</v>
      </c>
      <c r="H55" s="343"/>
      <c r="I55" s="301"/>
      <c r="J55" s="340"/>
      <c r="K55" s="303"/>
      <c r="L55" s="304">
        <f t="shared" si="0"/>
        <v>0</v>
      </c>
      <c r="M55" s="305">
        <f t="shared" si="0"/>
        <v>0</v>
      </c>
      <c r="N55" s="327">
        <f>IF(A55&lt;&gt;"", Таблица36[[#This Row],[Расход]] / VLOOKUP(A55, 'Курс валют'!$A:$D, 4, 0), "")</f>
        <v>0</v>
      </c>
      <c r="O55" s="307"/>
    </row>
    <row r="56" spans="1:15" x14ac:dyDescent="0.45">
      <c r="A56" s="310">
        <v>46070</v>
      </c>
      <c r="B56" s="300" t="s">
        <v>517</v>
      </c>
      <c r="C56" s="301" t="s">
        <v>512</v>
      </c>
      <c r="D56" s="337">
        <v>1</v>
      </c>
      <c r="E56" s="301" t="s">
        <v>546</v>
      </c>
      <c r="F56" s="302"/>
      <c r="G56" s="301" t="s">
        <v>514</v>
      </c>
      <c r="H56" s="343"/>
      <c r="I56" s="301"/>
      <c r="J56" s="340"/>
      <c r="K56" s="303"/>
      <c r="L56" s="304">
        <f t="shared" si="0"/>
        <v>0</v>
      </c>
      <c r="M56" s="305">
        <f t="shared" si="0"/>
        <v>0</v>
      </c>
      <c r="N56" s="327">
        <f>IF(A56&lt;&gt;"", Таблица36[[#This Row],[Расход]] / VLOOKUP(A56, 'Курс валют'!$A:$D, 4, 0), "")</f>
        <v>0</v>
      </c>
      <c r="O56" s="307"/>
    </row>
    <row r="57" spans="1:15" x14ac:dyDescent="0.45">
      <c r="A57" s="310">
        <v>46070</v>
      </c>
      <c r="B57" s="309" t="s">
        <v>557</v>
      </c>
      <c r="C57" s="301" t="s">
        <v>69</v>
      </c>
      <c r="D57" s="337">
        <v>1</v>
      </c>
      <c r="E57" s="301" t="s">
        <v>546</v>
      </c>
      <c r="F57" s="302"/>
      <c r="G57" s="301" t="s">
        <v>514</v>
      </c>
      <c r="H57" s="343"/>
      <c r="I57" s="301"/>
      <c r="J57" s="340">
        <v>2050000</v>
      </c>
      <c r="K57" s="303"/>
      <c r="L57" s="304">
        <f t="shared" si="0"/>
        <v>0</v>
      </c>
      <c r="M57" s="305">
        <f t="shared" si="0"/>
        <v>0</v>
      </c>
      <c r="N57" s="327">
        <f>IF(A57&lt;&gt;"", Таблица36[[#This Row],[Расход]] / VLOOKUP(A57, 'Курс валют'!$A:$D, 4, 0), "")</f>
        <v>168.72427983539094</v>
      </c>
      <c r="O57" s="307"/>
    </row>
    <row r="58" spans="1:15" x14ac:dyDescent="0.45">
      <c r="A58" s="310">
        <v>46070</v>
      </c>
      <c r="B58" s="300" t="s">
        <v>539</v>
      </c>
      <c r="C58" s="301" t="s">
        <v>558</v>
      </c>
      <c r="D58" s="337">
        <v>1</v>
      </c>
      <c r="E58" s="301" t="s">
        <v>546</v>
      </c>
      <c r="F58" s="302"/>
      <c r="G58" s="301" t="s">
        <v>514</v>
      </c>
      <c r="H58" s="343"/>
      <c r="I58" s="301"/>
      <c r="J58" s="340"/>
      <c r="K58" s="303"/>
      <c r="L58" s="304">
        <f t="shared" si="0"/>
        <v>0</v>
      </c>
      <c r="M58" s="305">
        <f t="shared" si="0"/>
        <v>0</v>
      </c>
      <c r="N58" s="327">
        <f>IF(A58&lt;&gt;"", Таблица36[[#This Row],[Расход]] / VLOOKUP(A58, 'Курс валют'!$A:$D, 4, 0), "")</f>
        <v>0</v>
      </c>
      <c r="O58" s="307"/>
    </row>
    <row r="59" spans="1:15" x14ac:dyDescent="0.45">
      <c r="A59" s="310">
        <v>46071</v>
      </c>
      <c r="B59" s="309" t="s">
        <v>559</v>
      </c>
      <c r="C59" s="301" t="s">
        <v>512</v>
      </c>
      <c r="D59" s="337">
        <v>2</v>
      </c>
      <c r="E59" s="301" t="s">
        <v>546</v>
      </c>
      <c r="F59" s="302"/>
      <c r="G59" s="301" t="s">
        <v>514</v>
      </c>
      <c r="H59" s="343"/>
      <c r="I59" s="301"/>
      <c r="J59" s="340"/>
      <c r="K59" s="303"/>
      <c r="L59" s="304">
        <f t="shared" si="0"/>
        <v>0</v>
      </c>
      <c r="M59" s="305">
        <f t="shared" si="0"/>
        <v>0</v>
      </c>
      <c r="N59" s="327">
        <f>IF(A59&lt;&gt;"", Таблица36[[#This Row],[Расход]] / VLOOKUP(A59, 'Курс валют'!$A:$D, 4, 0), "")</f>
        <v>0</v>
      </c>
      <c r="O59" s="307"/>
    </row>
    <row r="60" spans="1:15" x14ac:dyDescent="0.45">
      <c r="A60" s="310">
        <v>46071</v>
      </c>
      <c r="B60" s="309" t="s">
        <v>560</v>
      </c>
      <c r="C60" s="301" t="s">
        <v>512</v>
      </c>
      <c r="D60" s="337">
        <v>4</v>
      </c>
      <c r="E60" s="301" t="s">
        <v>546</v>
      </c>
      <c r="F60" s="302"/>
      <c r="G60" s="301" t="s">
        <v>514</v>
      </c>
      <c r="H60" s="343"/>
      <c r="I60" s="301"/>
      <c r="J60" s="340"/>
      <c r="K60" s="303"/>
      <c r="L60" s="304">
        <f t="shared" si="0"/>
        <v>0</v>
      </c>
      <c r="M60" s="305">
        <f t="shared" si="0"/>
        <v>0</v>
      </c>
      <c r="N60" s="327">
        <f>IF(A60&lt;&gt;"", Таблица36[[#This Row],[Расход]] / VLOOKUP(A60, 'Курс валют'!$A:$D, 4, 0), "")</f>
        <v>0</v>
      </c>
      <c r="O60" s="307"/>
    </row>
    <row r="61" spans="1:15" x14ac:dyDescent="0.45">
      <c r="A61" s="310">
        <v>46071</v>
      </c>
      <c r="B61" s="309" t="s">
        <v>539</v>
      </c>
      <c r="C61" s="301" t="s">
        <v>541</v>
      </c>
      <c r="D61" s="337">
        <v>1</v>
      </c>
      <c r="E61" s="301" t="s">
        <v>546</v>
      </c>
      <c r="F61" s="302"/>
      <c r="G61" s="301" t="s">
        <v>514</v>
      </c>
      <c r="H61" s="343"/>
      <c r="I61" s="301"/>
      <c r="J61" s="340"/>
      <c r="K61" s="303"/>
      <c r="L61" s="304">
        <f t="shared" si="0"/>
        <v>0</v>
      </c>
      <c r="M61" s="305">
        <f t="shared" si="0"/>
        <v>0</v>
      </c>
      <c r="N61" s="327">
        <f>IF(A61&lt;&gt;"", Таблица36[[#This Row],[Расход]] / VLOOKUP(A61, 'Курс валют'!$A:$D, 4, 0), "")</f>
        <v>0</v>
      </c>
      <c r="O61" s="307"/>
    </row>
    <row r="62" spans="1:15" x14ac:dyDescent="0.45">
      <c r="A62" s="310">
        <v>46071</v>
      </c>
      <c r="B62" s="309" t="s">
        <v>561</v>
      </c>
      <c r="C62" s="301" t="s">
        <v>69</v>
      </c>
      <c r="D62" s="337">
        <v>1</v>
      </c>
      <c r="E62" s="301" t="s">
        <v>546</v>
      </c>
      <c r="F62" s="302"/>
      <c r="G62" s="301" t="s">
        <v>514</v>
      </c>
      <c r="H62" s="343"/>
      <c r="I62" s="301"/>
      <c r="J62" s="340">
        <v>10000000</v>
      </c>
      <c r="K62" s="303"/>
      <c r="L62" s="304">
        <f t="shared" si="0"/>
        <v>0</v>
      </c>
      <c r="M62" s="305">
        <f t="shared" si="0"/>
        <v>0</v>
      </c>
      <c r="N62" s="327">
        <f>IF(A62&lt;&gt;"", Таблица36[[#This Row],[Расход]] / VLOOKUP(A62, 'Курс валют'!$A:$D, 4, 0), "")</f>
        <v>827.81456953642385</v>
      </c>
      <c r="O62" s="307"/>
    </row>
    <row r="63" spans="1:15" x14ac:dyDescent="0.45">
      <c r="A63" s="310">
        <v>46071</v>
      </c>
      <c r="B63" s="309" t="s">
        <v>556</v>
      </c>
      <c r="C63" s="301" t="s">
        <v>65</v>
      </c>
      <c r="D63" s="337">
        <v>1</v>
      </c>
      <c r="E63" s="301" t="s">
        <v>546</v>
      </c>
      <c r="F63" s="302"/>
      <c r="G63" s="301" t="s">
        <v>514</v>
      </c>
      <c r="H63" s="343"/>
      <c r="I63" s="301"/>
      <c r="J63" s="340">
        <v>120000</v>
      </c>
      <c r="K63" s="303"/>
      <c r="L63" s="304">
        <f t="shared" si="0"/>
        <v>0</v>
      </c>
      <c r="M63" s="305">
        <f t="shared" si="0"/>
        <v>0</v>
      </c>
      <c r="N63" s="327">
        <f>IF(A63&lt;&gt;"", Таблица36[[#This Row],[Расход]] / VLOOKUP(A63, 'Курс валют'!$A:$D, 4, 0), "")</f>
        <v>9.9337748344370862</v>
      </c>
      <c r="O63" s="307"/>
    </row>
    <row r="64" spans="1:15" x14ac:dyDescent="0.45">
      <c r="A64" s="310">
        <v>46072</v>
      </c>
      <c r="B64" s="309" t="s">
        <v>517</v>
      </c>
      <c r="C64" s="301" t="s">
        <v>65</v>
      </c>
      <c r="D64" s="337">
        <v>1</v>
      </c>
      <c r="E64" s="301" t="s">
        <v>533</v>
      </c>
      <c r="F64" s="302"/>
      <c r="G64" s="301" t="s">
        <v>514</v>
      </c>
      <c r="H64" s="343"/>
      <c r="I64" s="301"/>
      <c r="J64" s="340"/>
      <c r="K64" s="303"/>
      <c r="L64" s="304">
        <f t="shared" si="0"/>
        <v>0</v>
      </c>
      <c r="M64" s="305">
        <f t="shared" si="0"/>
        <v>0</v>
      </c>
      <c r="N64" s="327">
        <f>IF(A64&lt;&gt;"", Таблица36[[#This Row],[Расход]] / VLOOKUP(A64, 'Курс валют'!$A:$D, 4, 0), "")</f>
        <v>0</v>
      </c>
      <c r="O64" s="307"/>
    </row>
    <row r="65" spans="1:15" x14ac:dyDescent="0.45">
      <c r="A65" s="310">
        <v>46072</v>
      </c>
      <c r="B65" s="309" t="s">
        <v>562</v>
      </c>
      <c r="C65" s="301" t="s">
        <v>65</v>
      </c>
      <c r="D65" s="337">
        <v>1</v>
      </c>
      <c r="E65" s="301" t="s">
        <v>546</v>
      </c>
      <c r="F65" s="302"/>
      <c r="G65" s="301" t="s">
        <v>514</v>
      </c>
      <c r="H65" s="343"/>
      <c r="I65" s="301"/>
      <c r="J65" s="340">
        <v>1000000</v>
      </c>
      <c r="K65" s="303"/>
      <c r="L65" s="304">
        <f t="shared" si="0"/>
        <v>0</v>
      </c>
      <c r="M65" s="305">
        <f t="shared" si="0"/>
        <v>0</v>
      </c>
      <c r="N65" s="327">
        <f>IF(A65&lt;&gt;"", Таблица36[[#This Row],[Расход]] / VLOOKUP(A65, 'Курс валют'!$A:$D, 4, 0), "")</f>
        <v>83.333333333333329</v>
      </c>
      <c r="O65" s="307"/>
    </row>
    <row r="66" spans="1:15" x14ac:dyDescent="0.45">
      <c r="A66" s="310">
        <v>46072</v>
      </c>
      <c r="B66" s="309" t="s">
        <v>82</v>
      </c>
      <c r="C66" s="301" t="s">
        <v>59</v>
      </c>
      <c r="D66" s="337">
        <v>18</v>
      </c>
      <c r="E66" s="301" t="s">
        <v>546</v>
      </c>
      <c r="F66" s="302"/>
      <c r="G66" s="301" t="s">
        <v>514</v>
      </c>
      <c r="H66" s="343"/>
      <c r="I66" s="301"/>
      <c r="J66" s="340"/>
      <c r="K66" s="303"/>
      <c r="L66" s="304">
        <f t="shared" si="0"/>
        <v>0</v>
      </c>
      <c r="M66" s="305">
        <f t="shared" si="0"/>
        <v>0</v>
      </c>
      <c r="N66" s="327">
        <f>IF(A66&lt;&gt;"", Таблица36[[#This Row],[Расход]] / VLOOKUP(A66, 'Курс валют'!$A:$D, 4, 0), "")</f>
        <v>0</v>
      </c>
      <c r="O66" s="307"/>
    </row>
    <row r="67" spans="1:15" x14ac:dyDescent="0.45">
      <c r="A67" s="310">
        <v>46072</v>
      </c>
      <c r="B67" s="309" t="s">
        <v>563</v>
      </c>
      <c r="C67" s="301" t="s">
        <v>69</v>
      </c>
      <c r="D67" s="337">
        <v>1</v>
      </c>
      <c r="E67" s="301" t="s">
        <v>546</v>
      </c>
      <c r="F67" s="302"/>
      <c r="G67" s="301" t="s">
        <v>514</v>
      </c>
      <c r="H67" s="343"/>
      <c r="I67" s="301"/>
      <c r="J67" s="340">
        <f>12000*150</f>
        <v>1800000</v>
      </c>
      <c r="K67" s="303"/>
      <c r="L67" s="304">
        <f t="shared" ref="L67:M101" si="1">IF(G67="USD", H67*K67, H67)</f>
        <v>0</v>
      </c>
      <c r="M67" s="305">
        <f t="shared" si="1"/>
        <v>0</v>
      </c>
      <c r="N67" s="327">
        <f>IF(A67&lt;&gt;"", Таблица36[[#This Row],[Расход]] / VLOOKUP(A67, 'Курс валют'!$A:$D, 4, 0), "")</f>
        <v>150</v>
      </c>
      <c r="O67" s="307"/>
    </row>
    <row r="68" spans="1:15" x14ac:dyDescent="0.45">
      <c r="A68" s="310">
        <v>46073</v>
      </c>
      <c r="B68" s="309" t="s">
        <v>228</v>
      </c>
      <c r="C68" s="301" t="s">
        <v>59</v>
      </c>
      <c r="D68" s="337">
        <v>2000</v>
      </c>
      <c r="E68" s="301" t="s">
        <v>546</v>
      </c>
      <c r="F68" s="302"/>
      <c r="G68" s="301" t="s">
        <v>514</v>
      </c>
      <c r="H68" s="343"/>
      <c r="I68" s="301"/>
      <c r="J68" s="340"/>
      <c r="K68" s="303"/>
      <c r="L68" s="304">
        <f t="shared" si="1"/>
        <v>0</v>
      </c>
      <c r="M68" s="305">
        <f t="shared" si="1"/>
        <v>0</v>
      </c>
      <c r="N68" s="327">
        <f>IF(A68&lt;&gt;"", Таблица36[[#This Row],[Расход]] / VLOOKUP(A68, 'Курс валют'!$A:$D, 4, 0), "")</f>
        <v>0</v>
      </c>
      <c r="O68" s="307"/>
    </row>
    <row r="69" spans="1:15" x14ac:dyDescent="0.45">
      <c r="A69" s="310">
        <v>46073</v>
      </c>
      <c r="B69" s="309" t="s">
        <v>539</v>
      </c>
      <c r="C69" s="301" t="s">
        <v>564</v>
      </c>
      <c r="D69" s="337">
        <v>1</v>
      </c>
      <c r="E69" s="301" t="s">
        <v>533</v>
      </c>
      <c r="F69" s="302"/>
      <c r="G69" s="301" t="s">
        <v>514</v>
      </c>
      <c r="H69" s="343"/>
      <c r="I69" s="301"/>
      <c r="J69" s="340"/>
      <c r="K69" s="303"/>
      <c r="L69" s="304">
        <f t="shared" si="1"/>
        <v>0</v>
      </c>
      <c r="M69" s="305">
        <f t="shared" si="1"/>
        <v>0</v>
      </c>
      <c r="N69" s="327">
        <f>IF(A69&lt;&gt;"", Таблица36[[#This Row],[Расход]] / VLOOKUP(A69, 'Курс валют'!$A:$D, 4, 0), "")</f>
        <v>0</v>
      </c>
      <c r="O69" s="307"/>
    </row>
    <row r="70" spans="1:15" x14ac:dyDescent="0.45">
      <c r="A70" s="310">
        <v>46073</v>
      </c>
      <c r="B70" s="309" t="s">
        <v>517</v>
      </c>
      <c r="C70" s="301" t="s">
        <v>512</v>
      </c>
      <c r="D70" s="337">
        <v>4</v>
      </c>
      <c r="E70" s="301" t="s">
        <v>533</v>
      </c>
      <c r="F70" s="302"/>
      <c r="G70" s="301" t="s">
        <v>514</v>
      </c>
      <c r="H70" s="343"/>
      <c r="I70" s="301"/>
      <c r="J70" s="340"/>
      <c r="K70" s="303"/>
      <c r="L70" s="304">
        <f t="shared" si="1"/>
        <v>0</v>
      </c>
      <c r="M70" s="305">
        <f t="shared" si="1"/>
        <v>0</v>
      </c>
      <c r="N70" s="327">
        <f>IF(A70&lt;&gt;"", Таблица36[[#This Row],[Расход]] / VLOOKUP(A70, 'Курс валют'!$A:$D, 4, 0), "")</f>
        <v>0</v>
      </c>
      <c r="O70" s="307"/>
    </row>
    <row r="71" spans="1:15" x14ac:dyDescent="0.45">
      <c r="A71" s="310">
        <v>46073</v>
      </c>
      <c r="B71" s="309" t="s">
        <v>565</v>
      </c>
      <c r="C71" s="301" t="s">
        <v>65</v>
      </c>
      <c r="D71" s="337">
        <v>1</v>
      </c>
      <c r="E71" s="301" t="s">
        <v>546</v>
      </c>
      <c r="F71" s="302"/>
      <c r="G71" s="301" t="s">
        <v>514</v>
      </c>
      <c r="H71" s="343"/>
      <c r="I71" s="301"/>
      <c r="J71" s="340">
        <v>6839050</v>
      </c>
      <c r="K71" s="303"/>
      <c r="L71" s="304">
        <f t="shared" si="1"/>
        <v>0</v>
      </c>
      <c r="M71" s="305">
        <f t="shared" si="1"/>
        <v>0</v>
      </c>
      <c r="N71" s="327">
        <f>IF(A71&lt;&gt;"", Таблица36[[#This Row],[Расход]] / VLOOKUP(A71, 'Курс валют'!$A:$D, 4, 0), "")</f>
        <v>569.92083333333335</v>
      </c>
      <c r="O71" s="307"/>
    </row>
    <row r="72" spans="1:15" x14ac:dyDescent="0.45">
      <c r="A72" s="310">
        <v>46072</v>
      </c>
      <c r="B72" s="309" t="s">
        <v>566</v>
      </c>
      <c r="C72" s="301" t="s">
        <v>65</v>
      </c>
      <c r="D72" s="337">
        <v>1</v>
      </c>
      <c r="E72" s="301" t="s">
        <v>546</v>
      </c>
      <c r="F72" s="302"/>
      <c r="G72" s="301" t="s">
        <v>514</v>
      </c>
      <c r="H72" s="343"/>
      <c r="I72" s="301"/>
      <c r="J72" s="340"/>
      <c r="K72" s="303"/>
      <c r="L72" s="304">
        <f t="shared" si="1"/>
        <v>0</v>
      </c>
      <c r="M72" s="305">
        <f t="shared" si="1"/>
        <v>0</v>
      </c>
      <c r="N72" s="327">
        <f>IF(A72&lt;&gt;"", Таблица36[[#This Row],[Расход]] / VLOOKUP(A72, 'Курс валют'!$A:$D, 4, 0), "")</f>
        <v>0</v>
      </c>
      <c r="O72" s="307"/>
    </row>
    <row r="73" spans="1:15" x14ac:dyDescent="0.45">
      <c r="A73" s="310">
        <v>46073</v>
      </c>
      <c r="B73" s="309" t="s">
        <v>567</v>
      </c>
      <c r="C73" s="301" t="s">
        <v>69</v>
      </c>
      <c r="D73" s="337">
        <v>1</v>
      </c>
      <c r="E73" s="301" t="s">
        <v>546</v>
      </c>
      <c r="F73" s="302"/>
      <c r="G73" s="301" t="s">
        <v>514</v>
      </c>
      <c r="H73" s="343"/>
      <c r="I73" s="301"/>
      <c r="J73" s="340"/>
      <c r="K73" s="303"/>
      <c r="L73" s="304">
        <f t="shared" si="1"/>
        <v>0</v>
      </c>
      <c r="M73" s="305">
        <f t="shared" si="1"/>
        <v>0</v>
      </c>
      <c r="N73" s="327">
        <f>IF(A73&lt;&gt;"", Таблица36[[#This Row],[Расход]] / VLOOKUP(A73, 'Курс валют'!$A:$D, 4, 0), "")</f>
        <v>0</v>
      </c>
      <c r="O73" s="307"/>
    </row>
    <row r="74" spans="1:15" x14ac:dyDescent="0.45">
      <c r="A74" s="310">
        <v>46073</v>
      </c>
      <c r="B74" s="309" t="s">
        <v>568</v>
      </c>
      <c r="C74" s="301" t="s">
        <v>43</v>
      </c>
      <c r="D74" s="337">
        <v>1</v>
      </c>
      <c r="E74" s="301" t="s">
        <v>546</v>
      </c>
      <c r="F74" s="302"/>
      <c r="G74" s="301" t="s">
        <v>514</v>
      </c>
      <c r="H74" s="343"/>
      <c r="I74" s="301"/>
      <c r="J74" s="340"/>
      <c r="K74" s="303"/>
      <c r="L74" s="304">
        <f t="shared" si="1"/>
        <v>0</v>
      </c>
      <c r="M74" s="305">
        <f t="shared" si="1"/>
        <v>0</v>
      </c>
      <c r="N74" s="327">
        <f>IF(A74&lt;&gt;"", Таблица36[[#This Row],[Расход]] / VLOOKUP(A74, 'Курс валют'!$A:$D, 4, 0), "")</f>
        <v>0</v>
      </c>
      <c r="O74" s="307"/>
    </row>
    <row r="75" spans="1:15" x14ac:dyDescent="0.45">
      <c r="A75" s="310">
        <v>46076</v>
      </c>
      <c r="B75" s="309" t="s">
        <v>266</v>
      </c>
      <c r="C75" s="301" t="s">
        <v>211</v>
      </c>
      <c r="D75" s="337">
        <v>3</v>
      </c>
      <c r="E75" s="301" t="s">
        <v>546</v>
      </c>
      <c r="F75" s="302"/>
      <c r="G75" s="301" t="s">
        <v>514</v>
      </c>
      <c r="H75" s="343"/>
      <c r="I75" s="301"/>
      <c r="J75" s="340"/>
      <c r="K75" s="303"/>
      <c r="L75" s="304">
        <f t="shared" si="1"/>
        <v>0</v>
      </c>
      <c r="M75" s="305">
        <f t="shared" si="1"/>
        <v>0</v>
      </c>
      <c r="N75" s="327">
        <f>IF(A75&lt;&gt;"", Таблица36[[#This Row],[Расход]] / VLOOKUP(A75, 'Курс валют'!$A:$D, 4, 0), "")</f>
        <v>0</v>
      </c>
      <c r="O75" s="307"/>
    </row>
    <row r="76" spans="1:15" x14ac:dyDescent="0.45">
      <c r="A76" s="310">
        <v>46073</v>
      </c>
      <c r="B76" s="309" t="s">
        <v>569</v>
      </c>
      <c r="C76" s="301" t="s">
        <v>65</v>
      </c>
      <c r="D76" s="337">
        <v>1</v>
      </c>
      <c r="E76" s="301" t="s">
        <v>546</v>
      </c>
      <c r="F76" s="302"/>
      <c r="G76" s="301" t="s">
        <v>514</v>
      </c>
      <c r="H76" s="343"/>
      <c r="I76" s="301"/>
      <c r="J76" s="340"/>
      <c r="K76" s="303"/>
      <c r="L76" s="304">
        <f t="shared" si="1"/>
        <v>0</v>
      </c>
      <c r="M76" s="305">
        <f t="shared" si="1"/>
        <v>0</v>
      </c>
      <c r="N76" s="327">
        <f>IF(A76&lt;&gt;"", Таблица36[[#This Row],[Расход]] / VLOOKUP(A76, 'Курс валют'!$A:$D, 4, 0), "")</f>
        <v>0</v>
      </c>
      <c r="O76" s="307"/>
    </row>
    <row r="77" spans="1:15" x14ac:dyDescent="0.45">
      <c r="A77" s="310">
        <v>46074</v>
      </c>
      <c r="B77" s="309" t="s">
        <v>570</v>
      </c>
      <c r="C77" s="301" t="s">
        <v>512</v>
      </c>
      <c r="D77" s="337">
        <v>4</v>
      </c>
      <c r="E77" s="301" t="s">
        <v>533</v>
      </c>
      <c r="F77" s="302"/>
      <c r="G77" s="301" t="s">
        <v>514</v>
      </c>
      <c r="H77" s="343"/>
      <c r="I77" s="301"/>
      <c r="J77" s="340"/>
      <c r="K77" s="303"/>
      <c r="L77" s="304">
        <f t="shared" si="1"/>
        <v>0</v>
      </c>
      <c r="M77" s="305">
        <f t="shared" si="1"/>
        <v>0</v>
      </c>
      <c r="N77" s="327">
        <f>IF(A77&lt;&gt;"", Таблица36[[#This Row],[Расход]] / VLOOKUP(A77, 'Курс валют'!$A:$D, 4, 0), "")</f>
        <v>0</v>
      </c>
      <c r="O77" s="307"/>
    </row>
    <row r="78" spans="1:15" x14ac:dyDescent="0.45">
      <c r="A78" s="310">
        <v>46074</v>
      </c>
      <c r="B78" s="309" t="s">
        <v>571</v>
      </c>
      <c r="C78" s="301" t="s">
        <v>69</v>
      </c>
      <c r="D78" s="337">
        <v>16</v>
      </c>
      <c r="E78" s="301" t="s">
        <v>533</v>
      </c>
      <c r="F78" s="302"/>
      <c r="G78" s="301" t="s">
        <v>514</v>
      </c>
      <c r="H78" s="343"/>
      <c r="I78" s="301"/>
      <c r="J78" s="340">
        <f>D78*2800000</f>
        <v>44800000</v>
      </c>
      <c r="K78" s="303"/>
      <c r="L78" s="304">
        <f t="shared" si="1"/>
        <v>0</v>
      </c>
      <c r="M78" s="305">
        <f t="shared" si="1"/>
        <v>0</v>
      </c>
      <c r="N78" s="327">
        <f>IF(A78&lt;&gt;"", Таблица36[[#This Row],[Расход]] / VLOOKUP(A78, 'Курс валют'!$A:$D, 4, 0), "")</f>
        <v>3702.4793388429753</v>
      </c>
      <c r="O78" s="307"/>
    </row>
    <row r="79" spans="1:15" x14ac:dyDescent="0.45">
      <c r="A79" s="310">
        <v>46074</v>
      </c>
      <c r="B79" s="309" t="s">
        <v>22</v>
      </c>
      <c r="C79" s="301" t="s">
        <v>69</v>
      </c>
      <c r="D79" s="337">
        <v>1</v>
      </c>
      <c r="E79" s="301" t="s">
        <v>533</v>
      </c>
      <c r="F79" s="302"/>
      <c r="G79" s="301" t="s">
        <v>514</v>
      </c>
      <c r="H79" s="343"/>
      <c r="I79" s="301"/>
      <c r="J79" s="340"/>
      <c r="K79" s="303"/>
      <c r="L79" s="304">
        <f t="shared" si="1"/>
        <v>0</v>
      </c>
      <c r="M79" s="305">
        <f t="shared" si="1"/>
        <v>0</v>
      </c>
      <c r="N79" s="327">
        <f>IF(A79&lt;&gt;"", Таблица36[[#This Row],[Расход]] / VLOOKUP(A79, 'Курс валют'!$A:$D, 4, 0), "")</f>
        <v>0</v>
      </c>
      <c r="O79" s="307"/>
    </row>
    <row r="80" spans="1:15" x14ac:dyDescent="0.45">
      <c r="A80" s="310">
        <v>46074</v>
      </c>
      <c r="B80" s="309" t="s">
        <v>573</v>
      </c>
      <c r="C80" s="301" t="s">
        <v>65</v>
      </c>
      <c r="D80" s="337">
        <v>1</v>
      </c>
      <c r="E80" s="301" t="s">
        <v>533</v>
      </c>
      <c r="F80" s="302"/>
      <c r="G80" s="301" t="s">
        <v>514</v>
      </c>
      <c r="H80" s="343"/>
      <c r="I80" s="301"/>
      <c r="J80" s="340"/>
      <c r="K80" s="303"/>
      <c r="L80" s="304">
        <f t="shared" si="1"/>
        <v>0</v>
      </c>
      <c r="M80" s="305">
        <f t="shared" si="1"/>
        <v>0</v>
      </c>
      <c r="N80" s="327">
        <f>IF(A80&lt;&gt;"", Таблица36[[#This Row],[Расход]] / VLOOKUP(A80, 'Курс валют'!$A:$D, 4, 0), "")</f>
        <v>0</v>
      </c>
      <c r="O80" s="307"/>
    </row>
    <row r="81" spans="1:15" x14ac:dyDescent="0.45">
      <c r="A81" s="310">
        <v>46074</v>
      </c>
      <c r="B81" s="309" t="s">
        <v>572</v>
      </c>
      <c r="C81" s="301" t="s">
        <v>69</v>
      </c>
      <c r="D81" s="337">
        <v>2</v>
      </c>
      <c r="E81" s="301" t="s">
        <v>546</v>
      </c>
      <c r="F81" s="302"/>
      <c r="G81" s="301" t="s">
        <v>514</v>
      </c>
      <c r="H81" s="343"/>
      <c r="I81" s="301"/>
      <c r="J81" s="340">
        <f>50000*D81</f>
        <v>100000</v>
      </c>
      <c r="K81" s="303"/>
      <c r="L81" s="304">
        <f t="shared" si="1"/>
        <v>0</v>
      </c>
      <c r="M81" s="305">
        <f t="shared" si="1"/>
        <v>0</v>
      </c>
      <c r="N81" s="327">
        <f>IF(A81&lt;&gt;"", Таблица36[[#This Row],[Расход]] / VLOOKUP(A81, 'Курс валют'!$A:$D, 4, 0), "")</f>
        <v>8.2644628099173545</v>
      </c>
      <c r="O81" s="307"/>
    </row>
    <row r="82" spans="1:15" x14ac:dyDescent="0.45">
      <c r="A82" s="310">
        <v>46074</v>
      </c>
      <c r="B82" s="309" t="s">
        <v>536</v>
      </c>
      <c r="C82" s="301" t="s">
        <v>543</v>
      </c>
      <c r="D82" s="337">
        <v>3</v>
      </c>
      <c r="E82" s="301" t="s">
        <v>546</v>
      </c>
      <c r="F82" s="302"/>
      <c r="G82" s="301" t="s">
        <v>514</v>
      </c>
      <c r="H82" s="343"/>
      <c r="I82" s="301"/>
      <c r="J82" s="340">
        <v>150000</v>
      </c>
      <c r="K82" s="303"/>
      <c r="L82" s="304">
        <f t="shared" si="1"/>
        <v>0</v>
      </c>
      <c r="M82" s="305">
        <f t="shared" si="1"/>
        <v>0</v>
      </c>
      <c r="N82" s="327">
        <f>IF(A82&lt;&gt;"", Таблица36[[#This Row],[Расход]] / VLOOKUP(A82, 'Курс валют'!$A:$D, 4, 0), "")</f>
        <v>12.396694214876034</v>
      </c>
      <c r="O82" s="307"/>
    </row>
    <row r="83" spans="1:15" x14ac:dyDescent="0.45">
      <c r="A83" s="310">
        <v>46075</v>
      </c>
      <c r="B83" s="309" t="s">
        <v>574</v>
      </c>
      <c r="C83" s="301" t="s">
        <v>69</v>
      </c>
      <c r="D83" s="337">
        <v>1</v>
      </c>
      <c r="E83" s="301" t="s">
        <v>546</v>
      </c>
      <c r="F83" s="302"/>
      <c r="G83" s="301" t="s">
        <v>514</v>
      </c>
      <c r="H83" s="343"/>
      <c r="I83" s="301"/>
      <c r="J83" s="340">
        <v>6075000</v>
      </c>
      <c r="K83" s="303"/>
      <c r="L83" s="304">
        <f t="shared" si="1"/>
        <v>0</v>
      </c>
      <c r="M83" s="305">
        <f t="shared" si="1"/>
        <v>0</v>
      </c>
      <c r="N83" s="327">
        <f>IF(A83&lt;&gt;"", Таблица36[[#This Row],[Расход]] / VLOOKUP(A83, 'Курс валют'!$A:$D, 4, 0), "")</f>
        <v>506.25</v>
      </c>
      <c r="O83" s="307"/>
    </row>
    <row r="84" spans="1:15" x14ac:dyDescent="0.45">
      <c r="A84" s="310">
        <v>46077</v>
      </c>
      <c r="B84" s="309" t="s">
        <v>575</v>
      </c>
      <c r="C84" s="301" t="s">
        <v>65</v>
      </c>
      <c r="D84" s="337">
        <v>1</v>
      </c>
      <c r="E84" s="301" t="s">
        <v>546</v>
      </c>
      <c r="F84" s="302"/>
      <c r="G84" s="301" t="s">
        <v>514</v>
      </c>
      <c r="H84" s="343"/>
      <c r="I84" s="301"/>
      <c r="J84" s="340">
        <v>2000000</v>
      </c>
      <c r="K84" s="303"/>
      <c r="L84" s="304">
        <f t="shared" si="1"/>
        <v>0</v>
      </c>
      <c r="M84" s="305">
        <f t="shared" si="1"/>
        <v>0</v>
      </c>
      <c r="N84" s="327">
        <f>IF(A84&lt;&gt;"", Таблица36[[#This Row],[Расход]] / VLOOKUP(A84, 'Курс валют'!$A:$D, 4, 0), "")</f>
        <v>165.28925619834712</v>
      </c>
      <c r="O84" s="307"/>
    </row>
    <row r="85" spans="1:15" x14ac:dyDescent="0.45">
      <c r="A85" s="310">
        <v>46077</v>
      </c>
      <c r="B85" s="309" t="s">
        <v>576</v>
      </c>
      <c r="C85" s="301" t="s">
        <v>69</v>
      </c>
      <c r="D85" s="337">
        <v>2</v>
      </c>
      <c r="E85" s="301" t="s">
        <v>546</v>
      </c>
      <c r="F85" s="302"/>
      <c r="G85" s="301" t="s">
        <v>514</v>
      </c>
      <c r="H85" s="343"/>
      <c r="I85" s="301"/>
      <c r="J85" s="340">
        <f>D85*100000</f>
        <v>200000</v>
      </c>
      <c r="K85" s="303"/>
      <c r="L85" s="304">
        <f t="shared" si="1"/>
        <v>0</v>
      </c>
      <c r="M85" s="305">
        <f t="shared" si="1"/>
        <v>0</v>
      </c>
      <c r="N85" s="327">
        <f>IF(A85&lt;&gt;"", Таблица36[[#This Row],[Расход]] / VLOOKUP(A85, 'Курс валют'!$A:$D, 4, 0), "")</f>
        <v>16.528925619834709</v>
      </c>
      <c r="O85" s="307"/>
    </row>
    <row r="86" spans="1:15" x14ac:dyDescent="0.45">
      <c r="A86" s="310">
        <v>46079</v>
      </c>
      <c r="B86" s="309" t="s">
        <v>577</v>
      </c>
      <c r="C86" s="301" t="s">
        <v>65</v>
      </c>
      <c r="D86" s="337">
        <v>1</v>
      </c>
      <c r="E86" s="301" t="s">
        <v>546</v>
      </c>
      <c r="F86" s="302"/>
      <c r="G86" s="301" t="s">
        <v>514</v>
      </c>
      <c r="H86" s="343"/>
      <c r="I86" s="301"/>
      <c r="J86" s="340">
        <v>1500000</v>
      </c>
      <c r="K86" s="303"/>
      <c r="L86" s="304">
        <f t="shared" si="1"/>
        <v>0</v>
      </c>
      <c r="M86" s="305">
        <f t="shared" si="1"/>
        <v>0</v>
      </c>
      <c r="N86" s="327">
        <f>IF(A86&lt;&gt;"", Таблица36[[#This Row],[Расход]] / VLOOKUP(A86, 'Курс валют'!$A:$D, 4, 0), "")</f>
        <v>123.96694214876032</v>
      </c>
      <c r="O86" s="307"/>
    </row>
    <row r="87" spans="1:15" x14ac:dyDescent="0.45">
      <c r="A87" s="310">
        <v>46080</v>
      </c>
      <c r="B87" s="309" t="s">
        <v>525</v>
      </c>
      <c r="C87" s="301" t="s">
        <v>69</v>
      </c>
      <c r="D87" s="337">
        <v>1</v>
      </c>
      <c r="E87" s="301" t="s">
        <v>546</v>
      </c>
      <c r="F87" s="302"/>
      <c r="G87" s="301" t="s">
        <v>514</v>
      </c>
      <c r="H87" s="343"/>
      <c r="I87" s="301"/>
      <c r="J87" s="340"/>
      <c r="K87" s="303"/>
      <c r="L87" s="304">
        <f t="shared" si="1"/>
        <v>0</v>
      </c>
      <c r="M87" s="305">
        <f t="shared" si="1"/>
        <v>0</v>
      </c>
      <c r="N87" s="327">
        <f>IF(A87&lt;&gt;"", Таблица36[[#This Row],[Расход]] / VLOOKUP(A87, 'Курс валют'!$A:$D, 4, 0), "")</f>
        <v>0</v>
      </c>
      <c r="O87" s="307"/>
    </row>
    <row r="88" spans="1:15" x14ac:dyDescent="0.45">
      <c r="A88" s="310">
        <v>46080</v>
      </c>
      <c r="B88" s="309" t="s">
        <v>82</v>
      </c>
      <c r="C88" s="301" t="s">
        <v>59</v>
      </c>
      <c r="D88" s="337">
        <v>25</v>
      </c>
      <c r="E88" s="301" t="s">
        <v>546</v>
      </c>
      <c r="F88" s="302"/>
      <c r="G88" s="301" t="s">
        <v>514</v>
      </c>
      <c r="H88" s="343"/>
      <c r="I88" s="301"/>
      <c r="J88" s="340"/>
      <c r="K88" s="303"/>
      <c r="L88" s="304">
        <f t="shared" si="1"/>
        <v>0</v>
      </c>
      <c r="M88" s="305">
        <f t="shared" si="1"/>
        <v>0</v>
      </c>
      <c r="N88" s="327">
        <f>IF(A88&lt;&gt;"", Таблица36[[#This Row],[Расход]] / VLOOKUP(A88, 'Курс валют'!$A:$D, 4, 0), "")</f>
        <v>0</v>
      </c>
      <c r="O88" s="307"/>
    </row>
    <row r="89" spans="1:15" x14ac:dyDescent="0.45">
      <c r="A89" s="310">
        <v>46080</v>
      </c>
      <c r="B89" s="309" t="s">
        <v>578</v>
      </c>
      <c r="C89" s="301" t="s">
        <v>65</v>
      </c>
      <c r="D89" s="337">
        <v>1</v>
      </c>
      <c r="E89" s="301" t="s">
        <v>546</v>
      </c>
      <c r="F89" s="302"/>
      <c r="G89" s="301" t="s">
        <v>514</v>
      </c>
      <c r="H89" s="343"/>
      <c r="I89" s="301"/>
      <c r="J89" s="340">
        <v>1000000</v>
      </c>
      <c r="K89" s="303"/>
      <c r="L89" s="304">
        <f t="shared" si="1"/>
        <v>0</v>
      </c>
      <c r="M89" s="305">
        <f t="shared" si="1"/>
        <v>0</v>
      </c>
      <c r="N89" s="327">
        <f>IF(A89&lt;&gt;"", Таблица36[[#This Row],[Расход]] / VLOOKUP(A89, 'Курс валют'!$A:$D, 4, 0), "")</f>
        <v>82.78145695364239</v>
      </c>
      <c r="O89" s="307"/>
    </row>
    <row r="90" spans="1:15" x14ac:dyDescent="0.45">
      <c r="A90" s="310">
        <v>46081</v>
      </c>
      <c r="B90" s="309" t="s">
        <v>536</v>
      </c>
      <c r="C90" s="301" t="s">
        <v>69</v>
      </c>
      <c r="D90" s="337" t="s">
        <v>233</v>
      </c>
      <c r="E90" s="301" t="s">
        <v>579</v>
      </c>
      <c r="F90" s="302"/>
      <c r="G90" s="301" t="s">
        <v>514</v>
      </c>
      <c r="H90" s="343"/>
      <c r="I90" s="301"/>
      <c r="J90" s="340">
        <v>42000</v>
      </c>
      <c r="K90" s="303"/>
      <c r="L90" s="304">
        <f t="shared" si="1"/>
        <v>0</v>
      </c>
      <c r="M90" s="305">
        <f t="shared" si="1"/>
        <v>0</v>
      </c>
      <c r="N90" s="327">
        <f>IF(A90&lt;&gt;"", Таблица36[[#This Row],[Расход]] / VLOOKUP(A90, 'Курс валют'!$A:$D, 4, 0), "")</f>
        <v>3.4768211920529803</v>
      </c>
      <c r="O90" s="307"/>
    </row>
    <row r="91" spans="1:15" x14ac:dyDescent="0.45">
      <c r="A91" s="310">
        <v>46082</v>
      </c>
      <c r="B91" s="309" t="s">
        <v>580</v>
      </c>
      <c r="C91" s="301" t="s">
        <v>65</v>
      </c>
      <c r="D91" s="337">
        <v>1</v>
      </c>
      <c r="E91" s="301" t="s">
        <v>546</v>
      </c>
      <c r="F91" s="302"/>
      <c r="G91" s="301" t="s">
        <v>514</v>
      </c>
      <c r="H91" s="343"/>
      <c r="I91" s="301"/>
      <c r="J91" s="340"/>
      <c r="K91" s="303"/>
      <c r="L91" s="304">
        <f t="shared" si="1"/>
        <v>0</v>
      </c>
      <c r="M91" s="305">
        <f t="shared" si="1"/>
        <v>0</v>
      </c>
      <c r="N91" s="327">
        <f>IF(A91&lt;&gt;"", Таблица36[[#This Row],[Расход]] / VLOOKUP(A91, 'Курс валют'!$A:$D, 4, 0), "")</f>
        <v>0</v>
      </c>
      <c r="O91" s="307"/>
    </row>
    <row r="92" spans="1:15" x14ac:dyDescent="0.45">
      <c r="A92" s="310">
        <v>46083</v>
      </c>
      <c r="B92" s="300" t="s">
        <v>581</v>
      </c>
      <c r="C92" s="301" t="s">
        <v>69</v>
      </c>
      <c r="D92" s="337">
        <v>1</v>
      </c>
      <c r="E92" s="301" t="s">
        <v>579</v>
      </c>
      <c r="F92" s="302"/>
      <c r="G92" s="301" t="s">
        <v>514</v>
      </c>
      <c r="H92" s="343"/>
      <c r="I92" s="301"/>
      <c r="J92" s="340"/>
      <c r="K92" s="303"/>
      <c r="L92" s="304">
        <f t="shared" si="1"/>
        <v>0</v>
      </c>
      <c r="M92" s="305">
        <f t="shared" si="1"/>
        <v>0</v>
      </c>
      <c r="N92" s="327">
        <f>IF(A92&lt;&gt;"", Таблица36[[#This Row],[Расход]] / VLOOKUP(A92, 'Курс валют'!$A:$D, 4, 0), "")</f>
        <v>0</v>
      </c>
      <c r="O92" s="307"/>
    </row>
    <row r="93" spans="1:15" x14ac:dyDescent="0.45">
      <c r="A93" s="310">
        <v>46084</v>
      </c>
      <c r="B93" s="309" t="s">
        <v>580</v>
      </c>
      <c r="C93" s="301" t="s">
        <v>65</v>
      </c>
      <c r="D93" s="337">
        <v>1</v>
      </c>
      <c r="E93" s="301" t="s">
        <v>546</v>
      </c>
      <c r="F93" s="302"/>
      <c r="G93" s="301" t="s">
        <v>514</v>
      </c>
      <c r="H93" s="343"/>
      <c r="I93" s="301"/>
      <c r="J93" s="340"/>
      <c r="K93" s="303"/>
      <c r="L93" s="304">
        <f t="shared" si="1"/>
        <v>0</v>
      </c>
      <c r="M93" s="305">
        <f t="shared" si="1"/>
        <v>0</v>
      </c>
      <c r="N93" s="327">
        <f>IF(A93&lt;&gt;"", Таблица36[[#This Row],[Расход]] / VLOOKUP(A93, 'Курс валют'!$A:$D, 4, 0), "")</f>
        <v>0</v>
      </c>
      <c r="O93" s="307"/>
    </row>
    <row r="94" spans="1:15" x14ac:dyDescent="0.45">
      <c r="A94" s="310">
        <v>46084</v>
      </c>
      <c r="B94" s="309" t="s">
        <v>582</v>
      </c>
      <c r="C94" s="301" t="s">
        <v>43</v>
      </c>
      <c r="D94" s="337">
        <v>1</v>
      </c>
      <c r="E94" s="301" t="s">
        <v>546</v>
      </c>
      <c r="F94" s="302"/>
      <c r="G94" s="301" t="s">
        <v>514</v>
      </c>
      <c r="H94" s="343"/>
      <c r="I94" s="301"/>
      <c r="J94" s="340"/>
      <c r="K94" s="303"/>
      <c r="L94" s="304">
        <f t="shared" si="1"/>
        <v>0</v>
      </c>
      <c r="M94" s="305">
        <f t="shared" si="1"/>
        <v>0</v>
      </c>
      <c r="N94" s="327">
        <f>IF(A94&lt;&gt;"", Таблица36[[#This Row],[Расход]] / VLOOKUP(A94, 'Курс валют'!$A:$D, 4, 0), "")</f>
        <v>0</v>
      </c>
      <c r="O94" s="307"/>
    </row>
    <row r="95" spans="1:15" x14ac:dyDescent="0.45">
      <c r="A95" s="310">
        <v>46084</v>
      </c>
      <c r="B95" s="309" t="s">
        <v>581</v>
      </c>
      <c r="C95" s="301" t="s">
        <v>69</v>
      </c>
      <c r="D95" s="337">
        <v>1</v>
      </c>
      <c r="E95" s="301" t="s">
        <v>579</v>
      </c>
      <c r="F95" s="302"/>
      <c r="G95" s="301" t="s">
        <v>514</v>
      </c>
      <c r="H95" s="343"/>
      <c r="I95" s="301"/>
      <c r="J95" s="340"/>
      <c r="K95" s="303"/>
      <c r="L95" s="304">
        <f t="shared" si="1"/>
        <v>0</v>
      </c>
      <c r="M95" s="305">
        <f t="shared" si="1"/>
        <v>0</v>
      </c>
      <c r="N95" s="327">
        <f>IF(A95&lt;&gt;"", Таблица36[[#This Row],[Расход]] / VLOOKUP(A95, 'Курс валют'!$A:$D, 4, 0), "")</f>
        <v>0</v>
      </c>
      <c r="O95" s="307"/>
    </row>
    <row r="96" spans="1:15" x14ac:dyDescent="0.45">
      <c r="A96" s="310">
        <v>46085</v>
      </c>
      <c r="B96" s="309" t="s">
        <v>580</v>
      </c>
      <c r="C96" s="301" t="s">
        <v>65</v>
      </c>
      <c r="D96" s="337">
        <v>1</v>
      </c>
      <c r="E96" s="301" t="s">
        <v>546</v>
      </c>
      <c r="F96" s="302"/>
      <c r="G96" s="301" t="s">
        <v>514</v>
      </c>
      <c r="H96" s="343"/>
      <c r="I96" s="301"/>
      <c r="J96" s="340"/>
      <c r="K96" s="303"/>
      <c r="L96" s="304">
        <f t="shared" si="1"/>
        <v>0</v>
      </c>
      <c r="M96" s="305">
        <f t="shared" si="1"/>
        <v>0</v>
      </c>
      <c r="N96" s="327">
        <f>IF(A96&lt;&gt;"", Таблица36[[#This Row],[Расход]] / VLOOKUP(A96, 'Курс валют'!$A:$D, 4, 0), "")</f>
        <v>0</v>
      </c>
      <c r="O96" s="307"/>
    </row>
    <row r="97" spans="1:15" x14ac:dyDescent="0.45">
      <c r="A97" s="310">
        <v>46085</v>
      </c>
      <c r="B97" s="309" t="s">
        <v>583</v>
      </c>
      <c r="C97" s="301" t="s">
        <v>43</v>
      </c>
      <c r="D97" s="337">
        <v>1</v>
      </c>
      <c r="E97" s="301" t="s">
        <v>579</v>
      </c>
      <c r="F97" s="302"/>
      <c r="G97" s="301" t="s">
        <v>514</v>
      </c>
      <c r="H97" s="343"/>
      <c r="I97" s="301"/>
      <c r="J97" s="340"/>
      <c r="K97" s="303"/>
      <c r="L97" s="304">
        <f t="shared" si="1"/>
        <v>0</v>
      </c>
      <c r="M97" s="305">
        <f t="shared" si="1"/>
        <v>0</v>
      </c>
      <c r="N97" s="327">
        <f>IF(A97&lt;&gt;"", Таблица36[[#This Row],[Расход]] / VLOOKUP(A97, 'Курс валют'!$A:$D, 4, 0), "")</f>
        <v>0</v>
      </c>
      <c r="O97" s="307"/>
    </row>
    <row r="98" spans="1:15" x14ac:dyDescent="0.45">
      <c r="A98" s="310">
        <v>46085</v>
      </c>
      <c r="B98" s="309" t="s">
        <v>584</v>
      </c>
      <c r="C98" s="301" t="s">
        <v>43</v>
      </c>
      <c r="D98" s="337">
        <v>2</v>
      </c>
      <c r="E98" s="301" t="s">
        <v>579</v>
      </c>
      <c r="F98" s="302"/>
      <c r="G98" s="301" t="s">
        <v>514</v>
      </c>
      <c r="H98" s="343"/>
      <c r="I98" s="301"/>
      <c r="J98" s="340"/>
      <c r="K98" s="303"/>
      <c r="L98" s="304">
        <f t="shared" si="1"/>
        <v>0</v>
      </c>
      <c r="M98" s="305">
        <f t="shared" si="1"/>
        <v>0</v>
      </c>
      <c r="N98" s="327">
        <f>IF(A98&lt;&gt;"", Таблица36[[#This Row],[Расход]] / VLOOKUP(A98, 'Курс валют'!$A:$D, 4, 0), "")</f>
        <v>0</v>
      </c>
      <c r="O98" s="307"/>
    </row>
    <row r="99" spans="1:15" x14ac:dyDescent="0.45">
      <c r="A99" s="310">
        <v>46085</v>
      </c>
      <c r="B99" s="300" t="s">
        <v>585</v>
      </c>
      <c r="C99" s="301" t="s">
        <v>43</v>
      </c>
      <c r="D99" s="337">
        <v>1</v>
      </c>
      <c r="E99" s="301" t="s">
        <v>579</v>
      </c>
      <c r="F99" s="302"/>
      <c r="G99" s="301" t="s">
        <v>514</v>
      </c>
      <c r="H99" s="343"/>
      <c r="I99" s="301"/>
      <c r="J99" s="340"/>
      <c r="K99" s="303"/>
      <c r="L99" s="304">
        <f t="shared" si="1"/>
        <v>0</v>
      </c>
      <c r="M99" s="305">
        <f t="shared" si="1"/>
        <v>0</v>
      </c>
      <c r="N99" s="327">
        <f>IF(A99&lt;&gt;"", Таблица36[[#This Row],[Расход]] / VLOOKUP(A99, 'Курс валют'!$A:$D, 4, 0), "")</f>
        <v>0</v>
      </c>
      <c r="O99" s="307"/>
    </row>
    <row r="100" spans="1:15" x14ac:dyDescent="0.45">
      <c r="A100" s="310">
        <v>46085</v>
      </c>
      <c r="B100" s="300" t="s">
        <v>51</v>
      </c>
      <c r="C100" s="301" t="s">
        <v>43</v>
      </c>
      <c r="D100" s="337">
        <v>1</v>
      </c>
      <c r="E100" s="301" t="s">
        <v>579</v>
      </c>
      <c r="F100" s="302"/>
      <c r="G100" s="301" t="s">
        <v>514</v>
      </c>
      <c r="H100" s="343"/>
      <c r="I100" s="301"/>
      <c r="J100" s="340"/>
      <c r="K100" s="303"/>
      <c r="L100" s="304">
        <f t="shared" si="1"/>
        <v>0</v>
      </c>
      <c r="M100" s="305">
        <f t="shared" si="1"/>
        <v>0</v>
      </c>
      <c r="N100" s="327">
        <f>IF(A100&lt;&gt;"", Таблица36[[#This Row],[Расход]] / VLOOKUP(A100, 'Курс валют'!$A:$D, 4, 0), "")</f>
        <v>0</v>
      </c>
      <c r="O100" s="307"/>
    </row>
    <row r="101" spans="1:15" x14ac:dyDescent="0.45">
      <c r="A101" s="310">
        <v>46085</v>
      </c>
      <c r="B101" s="309" t="s">
        <v>82</v>
      </c>
      <c r="C101" s="301" t="s">
        <v>59</v>
      </c>
      <c r="D101" s="337">
        <v>20</v>
      </c>
      <c r="E101" s="301" t="s">
        <v>579</v>
      </c>
      <c r="F101" s="302"/>
      <c r="G101" s="301" t="s">
        <v>514</v>
      </c>
      <c r="H101" s="343"/>
      <c r="I101" s="301"/>
      <c r="J101" s="340"/>
      <c r="K101" s="303"/>
      <c r="L101" s="304">
        <f t="shared" si="1"/>
        <v>0</v>
      </c>
      <c r="M101" s="305">
        <f t="shared" si="1"/>
        <v>0</v>
      </c>
      <c r="N101" s="327">
        <f>IF(A101&lt;&gt;"", Таблица36[[#This Row],[Расход]] / VLOOKUP(A101, 'Курс валют'!$A:$D, 4, 0), "")</f>
        <v>0</v>
      </c>
      <c r="O101" s="307"/>
    </row>
    <row r="102" spans="1:15" x14ac:dyDescent="0.45">
      <c r="A102" s="310">
        <v>46088</v>
      </c>
      <c r="B102" s="309" t="s">
        <v>537</v>
      </c>
      <c r="C102" s="301" t="s">
        <v>69</v>
      </c>
      <c r="D102" s="337">
        <v>1</v>
      </c>
      <c r="E102" s="301" t="s">
        <v>579</v>
      </c>
      <c r="F102" s="302" t="s">
        <v>175</v>
      </c>
      <c r="G102" s="301" t="s">
        <v>514</v>
      </c>
      <c r="H102" s="343">
        <v>1400000</v>
      </c>
      <c r="I102" s="301"/>
      <c r="J102" s="340">
        <v>1400000</v>
      </c>
      <c r="K102" s="303"/>
      <c r="L102" s="304">
        <f>IF(G102="USD", H102*I102, H102)-IF(G102="USD", J102*K102, K102)</f>
        <v>1400000</v>
      </c>
      <c r="M102" s="305">
        <f>L102-J102</f>
        <v>0</v>
      </c>
      <c r="N102" s="327">
        <f>IF(A102&lt;&gt;"", Таблица36[[#This Row],[Расход]] / VLOOKUP(A102, 'Курс валют'!$A:$D, 4, 0), "")</f>
        <v>115.70247933884298</v>
      </c>
      <c r="O102" s="307"/>
    </row>
    <row r="103" spans="1:15" x14ac:dyDescent="0.45">
      <c r="A103" s="310">
        <v>46088</v>
      </c>
      <c r="B103" s="309" t="s">
        <v>525</v>
      </c>
      <c r="C103" s="301" t="s">
        <v>65</v>
      </c>
      <c r="D103" s="337">
        <v>1</v>
      </c>
      <c r="E103" s="301" t="s">
        <v>579</v>
      </c>
      <c r="F103" s="302" t="s">
        <v>586</v>
      </c>
      <c r="G103" s="301" t="s">
        <v>514</v>
      </c>
      <c r="H103" s="343">
        <v>2350000</v>
      </c>
      <c r="I103" s="301"/>
      <c r="J103" s="340"/>
      <c r="K103" s="303"/>
      <c r="L103" s="304">
        <f t="shared" ref="L103:L157" si="2">IF(G103="USD", H103*I103, H103)-IF(G103="USD", J103*K103, K103)</f>
        <v>2350000</v>
      </c>
      <c r="M103" s="305">
        <f t="shared" ref="M103:M156" si="3">L103-J103</f>
        <v>2350000</v>
      </c>
      <c r="N103" s="327">
        <f>IF(A103&lt;&gt;"", Таблица36[[#This Row],[Расход]] / VLOOKUP(A103, 'Курс валют'!$A:$D, 4, 0), "")</f>
        <v>0</v>
      </c>
      <c r="O103" s="307"/>
    </row>
    <row r="104" spans="1:15" x14ac:dyDescent="0.45">
      <c r="A104" s="310">
        <v>46088</v>
      </c>
      <c r="B104" s="309" t="s">
        <v>587</v>
      </c>
      <c r="C104" s="301" t="s">
        <v>65</v>
      </c>
      <c r="D104" s="337">
        <v>1</v>
      </c>
      <c r="E104" s="301" t="s">
        <v>579</v>
      </c>
      <c r="F104" s="302" t="s">
        <v>175</v>
      </c>
      <c r="G104" s="301" t="s">
        <v>514</v>
      </c>
      <c r="H104" s="343">
        <v>100000</v>
      </c>
      <c r="I104" s="301"/>
      <c r="J104" s="340"/>
      <c r="K104" s="303"/>
      <c r="L104" s="304">
        <f t="shared" si="2"/>
        <v>100000</v>
      </c>
      <c r="M104" s="305">
        <f t="shared" si="3"/>
        <v>100000</v>
      </c>
      <c r="N104" s="327">
        <f>IF(A104&lt;&gt;"", Таблица36[[#This Row],[Расход]] / VLOOKUP(A104, 'Курс валют'!$A:$D, 4, 0), "")</f>
        <v>0</v>
      </c>
      <c r="O104" s="307"/>
    </row>
    <row r="105" spans="1:15" x14ac:dyDescent="0.45">
      <c r="A105" s="310">
        <v>46088</v>
      </c>
      <c r="B105" s="309" t="s">
        <v>588</v>
      </c>
      <c r="C105" s="301" t="s">
        <v>65</v>
      </c>
      <c r="D105" s="337">
        <v>1</v>
      </c>
      <c r="E105" s="301" t="s">
        <v>579</v>
      </c>
      <c r="F105" s="302" t="s">
        <v>175</v>
      </c>
      <c r="G105" s="301" t="s">
        <v>30</v>
      </c>
      <c r="H105" s="343">
        <v>300</v>
      </c>
      <c r="I105" s="301">
        <v>12200</v>
      </c>
      <c r="J105" s="340">
        <v>300</v>
      </c>
      <c r="K105" s="303">
        <v>12200</v>
      </c>
      <c r="L105" s="304">
        <f t="shared" si="2"/>
        <v>0</v>
      </c>
      <c r="M105" s="305">
        <f t="shared" si="3"/>
        <v>-300</v>
      </c>
      <c r="N105" s="327">
        <f>IF(A105&lt;&gt;"", Таблица36[[#This Row],[Расход]] / VLOOKUP(A105, 'Курс валют'!$A:$D, 4, 0), "")</f>
        <v>2.4793388429752067E-2</v>
      </c>
      <c r="O105" s="307"/>
    </row>
    <row r="106" spans="1:15" x14ac:dyDescent="0.45">
      <c r="A106" s="310">
        <v>46089</v>
      </c>
      <c r="B106" s="309" t="s">
        <v>576</v>
      </c>
      <c r="C106" s="301" t="s">
        <v>65</v>
      </c>
      <c r="D106" s="337">
        <v>1</v>
      </c>
      <c r="E106" s="301" t="s">
        <v>579</v>
      </c>
      <c r="F106" s="302" t="s">
        <v>175</v>
      </c>
      <c r="G106" s="301" t="s">
        <v>514</v>
      </c>
      <c r="H106" s="343">
        <v>237000</v>
      </c>
      <c r="I106" s="301"/>
      <c r="J106" s="340">
        <v>205000</v>
      </c>
      <c r="K106" s="303"/>
      <c r="L106" s="304">
        <f t="shared" si="2"/>
        <v>237000</v>
      </c>
      <c r="M106" s="305">
        <f t="shared" si="3"/>
        <v>32000</v>
      </c>
      <c r="N106" s="327">
        <f>IF(A106&lt;&gt;"", Таблица36[[#This Row],[Расход]] / VLOOKUP(A106, 'Курс валют'!$A:$D, 4, 0), "")</f>
        <v>16.97019867549669</v>
      </c>
      <c r="O106" s="307" t="s">
        <v>589</v>
      </c>
    </row>
    <row r="107" spans="1:15" x14ac:dyDescent="0.45">
      <c r="A107" s="310">
        <v>46090</v>
      </c>
      <c r="B107" s="309" t="s">
        <v>572</v>
      </c>
      <c r="C107" s="301" t="s">
        <v>543</v>
      </c>
      <c r="D107" s="337">
        <v>10</v>
      </c>
      <c r="E107" s="301" t="s">
        <v>579</v>
      </c>
      <c r="F107" s="302" t="s">
        <v>586</v>
      </c>
      <c r="G107" s="301" t="s">
        <v>514</v>
      </c>
      <c r="H107" s="343">
        <v>1000000</v>
      </c>
      <c r="I107" s="301"/>
      <c r="J107" s="340">
        <f>100000*D107</f>
        <v>1000000</v>
      </c>
      <c r="K107" s="303"/>
      <c r="L107" s="304">
        <f t="shared" si="2"/>
        <v>1000000</v>
      </c>
      <c r="M107" s="305">
        <f t="shared" si="3"/>
        <v>0</v>
      </c>
      <c r="N107" s="327">
        <f>IF(A107&lt;&gt;"", Таблица36[[#This Row],[Расход]] / VLOOKUP(A107, 'Курс валют'!$A:$D, 4, 0), "")</f>
        <v>82.78145695364239</v>
      </c>
      <c r="O107" s="307"/>
    </row>
    <row r="108" spans="1:15" x14ac:dyDescent="0.45">
      <c r="A108" s="310">
        <v>46090</v>
      </c>
      <c r="B108" s="309" t="s">
        <v>590</v>
      </c>
      <c r="C108" s="301" t="s">
        <v>591</v>
      </c>
      <c r="D108" s="337" t="s">
        <v>233</v>
      </c>
      <c r="E108" s="301" t="s">
        <v>233</v>
      </c>
      <c r="F108" s="302" t="s">
        <v>586</v>
      </c>
      <c r="G108" s="301" t="s">
        <v>514</v>
      </c>
      <c r="H108" s="343">
        <v>6000000</v>
      </c>
      <c r="I108" s="301"/>
      <c r="J108" s="340"/>
      <c r="K108" s="303"/>
      <c r="L108" s="304">
        <f t="shared" si="2"/>
        <v>6000000</v>
      </c>
      <c r="M108" s="305">
        <f t="shared" si="3"/>
        <v>6000000</v>
      </c>
      <c r="N108" s="327">
        <f>IF(A108&lt;&gt;"", Таблица36[[#This Row],[Расход]] / VLOOKUP(A108, 'Курс валют'!$A:$D, 4, 0), "")</f>
        <v>0</v>
      </c>
      <c r="O108" s="307" t="s">
        <v>592</v>
      </c>
    </row>
    <row r="109" spans="1:15" x14ac:dyDescent="0.45">
      <c r="A109" s="310">
        <v>46090</v>
      </c>
      <c r="B109" s="309" t="s">
        <v>82</v>
      </c>
      <c r="C109" s="301" t="s">
        <v>59</v>
      </c>
      <c r="D109" s="337">
        <v>20</v>
      </c>
      <c r="E109" s="301" t="s">
        <v>579</v>
      </c>
      <c r="F109" s="302" t="s">
        <v>586</v>
      </c>
      <c r="G109" s="301" t="s">
        <v>514</v>
      </c>
      <c r="H109" s="343"/>
      <c r="I109" s="301"/>
      <c r="J109" s="340"/>
      <c r="K109" s="303"/>
      <c r="L109" s="304">
        <f t="shared" si="2"/>
        <v>0</v>
      </c>
      <c r="M109" s="305">
        <f t="shared" si="3"/>
        <v>0</v>
      </c>
      <c r="N109" s="327">
        <f>IF(A109&lt;&gt;"", Таблица36[[#This Row],[Расход]] / VLOOKUP(A109, 'Курс валют'!$A:$D, 4, 0), "")</f>
        <v>0</v>
      </c>
      <c r="O109" s="307" t="s">
        <v>592</v>
      </c>
    </row>
    <row r="110" spans="1:15" x14ac:dyDescent="0.45">
      <c r="A110" s="310">
        <v>46090</v>
      </c>
      <c r="B110" s="309" t="s">
        <v>239</v>
      </c>
      <c r="C110" s="301" t="s">
        <v>97</v>
      </c>
      <c r="D110" s="337">
        <v>20</v>
      </c>
      <c r="E110" s="301" t="s">
        <v>593</v>
      </c>
      <c r="F110" s="302" t="s">
        <v>586</v>
      </c>
      <c r="G110" s="301" t="s">
        <v>514</v>
      </c>
      <c r="H110" s="343"/>
      <c r="I110" s="301"/>
      <c r="J110" s="340">
        <v>200000</v>
      </c>
      <c r="K110" s="303"/>
      <c r="L110" s="304">
        <f t="shared" si="2"/>
        <v>0</v>
      </c>
      <c r="M110" s="305">
        <f t="shared" si="3"/>
        <v>-200000</v>
      </c>
      <c r="N110" s="327">
        <f>IF(A110&lt;&gt;"", Таблица36[[#This Row],[Расход]] / VLOOKUP(A110, 'Курс валют'!$A:$D, 4, 0), "")</f>
        <v>16.556291390728475</v>
      </c>
      <c r="O110" s="307" t="s">
        <v>592</v>
      </c>
    </row>
    <row r="111" spans="1:15" x14ac:dyDescent="0.45">
      <c r="A111" s="310">
        <v>46090</v>
      </c>
      <c r="B111" s="309" t="s">
        <v>590</v>
      </c>
      <c r="C111" s="301" t="s">
        <v>591</v>
      </c>
      <c r="D111" s="337" t="s">
        <v>233</v>
      </c>
      <c r="E111" s="301" t="s">
        <v>233</v>
      </c>
      <c r="F111" s="302" t="s">
        <v>586</v>
      </c>
      <c r="G111" s="301" t="s">
        <v>514</v>
      </c>
      <c r="H111" s="343">
        <v>3200000</v>
      </c>
      <c r="I111" s="301"/>
      <c r="J111" s="340"/>
      <c r="K111" s="303"/>
      <c r="L111" s="304">
        <f t="shared" si="2"/>
        <v>3200000</v>
      </c>
      <c r="M111" s="305">
        <f>L111-J111</f>
        <v>3200000</v>
      </c>
      <c r="N111" s="327">
        <f>IF(A111&lt;&gt;"", Таблица36[[#This Row],[Расход]] / VLOOKUP(A111, 'Курс валют'!$A:$D, 4, 0), "")</f>
        <v>0</v>
      </c>
      <c r="O111" s="307" t="s">
        <v>592</v>
      </c>
    </row>
    <row r="112" spans="1:15" x14ac:dyDescent="0.45">
      <c r="A112" s="310">
        <v>46090</v>
      </c>
      <c r="B112" s="309" t="s">
        <v>266</v>
      </c>
      <c r="C112" s="301" t="s">
        <v>69</v>
      </c>
      <c r="D112" s="337">
        <v>11</v>
      </c>
      <c r="E112" s="301" t="s">
        <v>579</v>
      </c>
      <c r="F112" s="302" t="s">
        <v>586</v>
      </c>
      <c r="G112" s="301" t="s">
        <v>514</v>
      </c>
      <c r="H112" s="343"/>
      <c r="I112" s="301"/>
      <c r="J112" s="340"/>
      <c r="K112" s="303"/>
      <c r="L112" s="304">
        <f t="shared" si="2"/>
        <v>0</v>
      </c>
      <c r="M112" s="305">
        <f t="shared" si="3"/>
        <v>0</v>
      </c>
      <c r="N112" s="327">
        <f>IF(A112&lt;&gt;"", Таблица36[[#This Row],[Расход]] / VLOOKUP(A112, 'Курс валют'!$A:$D, 4, 0), "")</f>
        <v>0</v>
      </c>
      <c r="O112" s="307"/>
    </row>
    <row r="113" spans="1:15" x14ac:dyDescent="0.45">
      <c r="A113" s="310">
        <v>46090</v>
      </c>
      <c r="B113" s="309" t="s">
        <v>569</v>
      </c>
      <c r="C113" s="301" t="s">
        <v>65</v>
      </c>
      <c r="D113" s="337">
        <v>1</v>
      </c>
      <c r="E113" s="301" t="s">
        <v>579</v>
      </c>
      <c r="F113" s="302" t="s">
        <v>586</v>
      </c>
      <c r="G113" s="301" t="s">
        <v>514</v>
      </c>
      <c r="H113" s="343"/>
      <c r="I113" s="301"/>
      <c r="J113" s="340"/>
      <c r="K113" s="303"/>
      <c r="L113" s="304">
        <f t="shared" si="2"/>
        <v>0</v>
      </c>
      <c r="M113" s="305">
        <f t="shared" si="3"/>
        <v>0</v>
      </c>
      <c r="N113" s="327">
        <f>IF(A113&lt;&gt;"", Таблица36[[#This Row],[Расход]] / VLOOKUP(A113, 'Курс валют'!$A:$D, 4, 0), "")</f>
        <v>0</v>
      </c>
      <c r="O113" s="307"/>
    </row>
    <row r="114" spans="1:15" x14ac:dyDescent="0.45">
      <c r="A114" s="310">
        <v>46090</v>
      </c>
      <c r="B114" s="309" t="s">
        <v>594</v>
      </c>
      <c r="C114" s="301" t="s">
        <v>65</v>
      </c>
      <c r="D114" s="337">
        <v>1</v>
      </c>
      <c r="E114" s="301" t="s">
        <v>579</v>
      </c>
      <c r="F114" s="302" t="s">
        <v>586</v>
      </c>
      <c r="G114" s="301" t="s">
        <v>514</v>
      </c>
      <c r="H114" s="343"/>
      <c r="I114" s="301"/>
      <c r="J114" s="340">
        <v>35000</v>
      </c>
      <c r="K114" s="303"/>
      <c r="L114" s="304">
        <f t="shared" si="2"/>
        <v>0</v>
      </c>
      <c r="M114" s="305">
        <f t="shared" si="3"/>
        <v>-35000</v>
      </c>
      <c r="N114" s="327">
        <f>IF(A114&lt;&gt;"", Таблица36[[#This Row],[Расход]] / VLOOKUP(A114, 'Курс валют'!$A:$D, 4, 0), "")</f>
        <v>2.8973509933774833</v>
      </c>
      <c r="O114" s="307"/>
    </row>
    <row r="115" spans="1:15" x14ac:dyDescent="0.45">
      <c r="A115" s="310">
        <v>46092</v>
      </c>
      <c r="B115" s="309" t="s">
        <v>595</v>
      </c>
      <c r="C115" s="301" t="s">
        <v>233</v>
      </c>
      <c r="D115" s="337" t="s">
        <v>233</v>
      </c>
      <c r="E115" s="301" t="s">
        <v>233</v>
      </c>
      <c r="F115" s="302" t="s">
        <v>175</v>
      </c>
      <c r="G115" s="301" t="s">
        <v>514</v>
      </c>
      <c r="H115" s="343">
        <v>3500000</v>
      </c>
      <c r="I115" s="301"/>
      <c r="J115" s="340"/>
      <c r="K115" s="303"/>
      <c r="L115" s="304">
        <f t="shared" si="2"/>
        <v>3500000</v>
      </c>
      <c r="M115" s="305">
        <f t="shared" si="3"/>
        <v>3500000</v>
      </c>
      <c r="N115" s="327">
        <f>IF(A115&lt;&gt;"", Таблица36[[#This Row],[Расход]] / VLOOKUP(A115, 'Курс валют'!$A:$D, 4, 0), "")</f>
        <v>0</v>
      </c>
      <c r="O115" s="307"/>
    </row>
    <row r="116" spans="1:15" x14ac:dyDescent="0.45">
      <c r="A116" s="310">
        <v>46092</v>
      </c>
      <c r="B116" s="309" t="s">
        <v>517</v>
      </c>
      <c r="C116" s="301" t="s">
        <v>512</v>
      </c>
      <c r="D116" s="337">
        <v>4</v>
      </c>
      <c r="E116" s="301" t="s">
        <v>596</v>
      </c>
      <c r="F116" s="302" t="s">
        <v>175</v>
      </c>
      <c r="G116" s="301" t="s">
        <v>514</v>
      </c>
      <c r="H116" s="343"/>
      <c r="I116" s="301"/>
      <c r="J116" s="340"/>
      <c r="K116" s="303"/>
      <c r="L116" s="304">
        <f t="shared" si="2"/>
        <v>0</v>
      </c>
      <c r="M116" s="305">
        <f t="shared" si="3"/>
        <v>0</v>
      </c>
      <c r="N116" s="327">
        <f>IF(A116&lt;&gt;"", Таблица36[[#This Row],[Расход]] / VLOOKUP(A116, 'Курс валют'!$A:$D, 4, 0), "")</f>
        <v>0</v>
      </c>
      <c r="O116" s="307"/>
    </row>
    <row r="117" spans="1:15" x14ac:dyDescent="0.45">
      <c r="A117" s="310">
        <v>46092</v>
      </c>
      <c r="B117" s="309" t="s">
        <v>559</v>
      </c>
      <c r="C117" s="301" t="s">
        <v>512</v>
      </c>
      <c r="D117" s="337">
        <v>4</v>
      </c>
      <c r="E117" s="301" t="s">
        <v>596</v>
      </c>
      <c r="F117" s="302" t="s">
        <v>175</v>
      </c>
      <c r="G117" s="301" t="s">
        <v>514</v>
      </c>
      <c r="H117" s="343"/>
      <c r="I117" s="301"/>
      <c r="J117" s="340"/>
      <c r="K117" s="303"/>
      <c r="L117" s="304">
        <f t="shared" si="2"/>
        <v>0</v>
      </c>
      <c r="M117" s="305">
        <f t="shared" si="3"/>
        <v>0</v>
      </c>
      <c r="N117" s="327">
        <f>IF(A117&lt;&gt;"", Таблица36[[#This Row],[Расход]] / VLOOKUP(A117, 'Курс валют'!$A:$D, 4, 0), "")</f>
        <v>0</v>
      </c>
      <c r="O117" s="307"/>
    </row>
    <row r="118" spans="1:15" x14ac:dyDescent="0.45">
      <c r="A118" s="310">
        <v>46092</v>
      </c>
      <c r="B118" s="309" t="s">
        <v>597</v>
      </c>
      <c r="C118" s="301" t="s">
        <v>65</v>
      </c>
      <c r="D118" s="337">
        <v>1</v>
      </c>
      <c r="E118" s="301" t="s">
        <v>598</v>
      </c>
      <c r="F118" s="302" t="s">
        <v>175</v>
      </c>
      <c r="G118" s="301" t="s">
        <v>514</v>
      </c>
      <c r="H118" s="343"/>
      <c r="I118" s="301"/>
      <c r="J118" s="340"/>
      <c r="K118" s="303"/>
      <c r="L118" s="304">
        <f t="shared" si="2"/>
        <v>0</v>
      </c>
      <c r="M118" s="305">
        <f t="shared" si="3"/>
        <v>0</v>
      </c>
      <c r="N118" s="327">
        <f>IF(A118&lt;&gt;"", Таблица36[[#This Row],[Расход]] / VLOOKUP(A118, 'Курс валют'!$A:$D, 4, 0), "")</f>
        <v>0</v>
      </c>
      <c r="O118" s="307"/>
    </row>
    <row r="119" spans="1:15" x14ac:dyDescent="0.45">
      <c r="A119" s="310">
        <v>46092</v>
      </c>
      <c r="B119" s="309" t="s">
        <v>590</v>
      </c>
      <c r="C119" s="301" t="s">
        <v>233</v>
      </c>
      <c r="D119" s="337" t="s">
        <v>233</v>
      </c>
      <c r="E119" s="301" t="s">
        <v>233</v>
      </c>
      <c r="F119" s="302" t="s">
        <v>175</v>
      </c>
      <c r="G119" s="301" t="s">
        <v>514</v>
      </c>
      <c r="H119" s="343">
        <v>740000</v>
      </c>
      <c r="I119" s="301"/>
      <c r="J119" s="340"/>
      <c r="K119" s="303"/>
      <c r="L119" s="304">
        <f t="shared" si="2"/>
        <v>740000</v>
      </c>
      <c r="M119" s="305">
        <f t="shared" si="3"/>
        <v>740000</v>
      </c>
      <c r="N119" s="327">
        <f>IF(A119&lt;&gt;"", Таблица36[[#This Row],[Расход]] / VLOOKUP(A119, 'Курс валют'!$A:$D, 4, 0), "")</f>
        <v>0</v>
      </c>
      <c r="O119" s="307"/>
    </row>
    <row r="120" spans="1:15" x14ac:dyDescent="0.45">
      <c r="A120" s="310">
        <v>46092</v>
      </c>
      <c r="B120" s="309" t="s">
        <v>599</v>
      </c>
      <c r="C120" s="301" t="s">
        <v>59</v>
      </c>
      <c r="D120" s="337">
        <v>80</v>
      </c>
      <c r="E120" s="301" t="s">
        <v>525</v>
      </c>
      <c r="F120" s="302" t="s">
        <v>175</v>
      </c>
      <c r="G120" s="301" t="s">
        <v>514</v>
      </c>
      <c r="H120" s="343"/>
      <c r="I120" s="301"/>
      <c r="J120" s="340"/>
      <c r="K120" s="303"/>
      <c r="L120" s="304">
        <f t="shared" si="2"/>
        <v>0</v>
      </c>
      <c r="M120" s="305">
        <f t="shared" si="3"/>
        <v>0</v>
      </c>
      <c r="N120" s="327">
        <f>IF(A120&lt;&gt;"", Таблица36[[#This Row],[Расход]] / VLOOKUP(A120, 'Курс валют'!$A:$D, 4, 0), "")</f>
        <v>0</v>
      </c>
      <c r="O120" s="307"/>
    </row>
    <row r="121" spans="1:15" x14ac:dyDescent="0.45">
      <c r="A121" s="310">
        <v>46095</v>
      </c>
      <c r="B121" s="309" t="s">
        <v>590</v>
      </c>
      <c r="C121" s="301" t="s">
        <v>233</v>
      </c>
      <c r="D121" s="337" t="s">
        <v>233</v>
      </c>
      <c r="E121" s="301" t="s">
        <v>233</v>
      </c>
      <c r="F121" s="302" t="s">
        <v>175</v>
      </c>
      <c r="G121" s="301" t="s">
        <v>514</v>
      </c>
      <c r="H121" s="343">
        <v>6500000</v>
      </c>
      <c r="I121" s="301"/>
      <c r="J121" s="340"/>
      <c r="K121" s="303"/>
      <c r="L121" s="304">
        <f t="shared" si="2"/>
        <v>6500000</v>
      </c>
      <c r="M121" s="305">
        <f t="shared" si="3"/>
        <v>6500000</v>
      </c>
      <c r="N121" s="327">
        <f>IF(A121&lt;&gt;"", Таблица36[[#This Row],[Расход]] / VLOOKUP(A121, 'Курс валют'!$A:$D, 4, 0), "")</f>
        <v>0</v>
      </c>
      <c r="O121" s="307"/>
    </row>
    <row r="122" spans="1:15" x14ac:dyDescent="0.45">
      <c r="A122" s="310">
        <v>46095</v>
      </c>
      <c r="B122" s="309" t="s">
        <v>278</v>
      </c>
      <c r="C122" s="301" t="s">
        <v>69</v>
      </c>
      <c r="D122" s="337">
        <v>1</v>
      </c>
      <c r="E122" s="301" t="s">
        <v>596</v>
      </c>
      <c r="F122" s="302" t="s">
        <v>586</v>
      </c>
      <c r="G122" s="301" t="s">
        <v>514</v>
      </c>
      <c r="H122" s="343"/>
      <c r="I122" s="301"/>
      <c r="J122" s="340"/>
      <c r="K122" s="303"/>
      <c r="L122" s="304">
        <f t="shared" si="2"/>
        <v>0</v>
      </c>
      <c r="M122" s="305">
        <f t="shared" si="3"/>
        <v>0</v>
      </c>
      <c r="N122" s="327">
        <f>IF(A122&lt;&gt;"", Таблица36[[#This Row],[Расход]] / VLOOKUP(A122, 'Курс валют'!$A:$D, 4, 0), "")</f>
        <v>0</v>
      </c>
      <c r="O122" s="307"/>
    </row>
    <row r="123" spans="1:15" x14ac:dyDescent="0.45">
      <c r="A123" s="310">
        <v>46095</v>
      </c>
      <c r="B123" s="309" t="s">
        <v>279</v>
      </c>
      <c r="C123" s="301" t="s">
        <v>69</v>
      </c>
      <c r="D123" s="337">
        <v>1</v>
      </c>
      <c r="E123" s="301" t="s">
        <v>596</v>
      </c>
      <c r="F123" s="302" t="s">
        <v>175</v>
      </c>
      <c r="G123" s="301" t="s">
        <v>514</v>
      </c>
      <c r="H123" s="343"/>
      <c r="I123" s="301"/>
      <c r="J123" s="340"/>
      <c r="K123" s="303"/>
      <c r="L123" s="304">
        <f t="shared" si="2"/>
        <v>0</v>
      </c>
      <c r="M123" s="305">
        <f t="shared" si="3"/>
        <v>0</v>
      </c>
      <c r="N123" s="327">
        <f>IF(A123&lt;&gt;"", Таблица36[[#This Row],[Расход]] / VLOOKUP(A123, 'Курс валют'!$A:$D, 4, 0), "")</f>
        <v>0</v>
      </c>
      <c r="O123" s="307"/>
    </row>
    <row r="124" spans="1:15" x14ac:dyDescent="0.45">
      <c r="A124" s="310">
        <v>46095</v>
      </c>
      <c r="B124" s="309" t="s">
        <v>280</v>
      </c>
      <c r="C124" s="301" t="s">
        <v>69</v>
      </c>
      <c r="D124" s="337">
        <v>1</v>
      </c>
      <c r="E124" s="301" t="s">
        <v>596</v>
      </c>
      <c r="F124" s="302" t="s">
        <v>175</v>
      </c>
      <c r="G124" s="301" t="s">
        <v>514</v>
      </c>
      <c r="H124" s="343"/>
      <c r="I124" s="301"/>
      <c r="J124" s="340"/>
      <c r="K124" s="303"/>
      <c r="L124" s="304">
        <f t="shared" si="2"/>
        <v>0</v>
      </c>
      <c r="M124" s="305">
        <f t="shared" si="3"/>
        <v>0</v>
      </c>
      <c r="N124" s="327">
        <f>IF(A124&lt;&gt;"", Таблица36[[#This Row],[Расход]] / VLOOKUP(A124, 'Курс валют'!$A:$D, 4, 0), "")</f>
        <v>0</v>
      </c>
      <c r="O124" s="307"/>
    </row>
    <row r="125" spans="1:15" x14ac:dyDescent="0.45">
      <c r="A125" s="310">
        <v>46095</v>
      </c>
      <c r="B125" s="309" t="s">
        <v>600</v>
      </c>
      <c r="C125" s="301" t="s">
        <v>69</v>
      </c>
      <c r="D125" s="337">
        <v>1</v>
      </c>
      <c r="E125" s="301" t="s">
        <v>579</v>
      </c>
      <c r="F125" s="302" t="s">
        <v>175</v>
      </c>
      <c r="G125" s="301" t="s">
        <v>514</v>
      </c>
      <c r="H125" s="343"/>
      <c r="I125" s="301"/>
      <c r="J125" s="340"/>
      <c r="K125" s="303"/>
      <c r="L125" s="304">
        <f t="shared" si="2"/>
        <v>0</v>
      </c>
      <c r="M125" s="305">
        <f t="shared" si="3"/>
        <v>0</v>
      </c>
      <c r="N125" s="327">
        <f>IF(A125&lt;&gt;"", Таблица36[[#This Row],[Расход]] / VLOOKUP(A125, 'Курс валют'!$A:$D, 4, 0), "")</f>
        <v>0</v>
      </c>
      <c r="O125" s="307"/>
    </row>
    <row r="126" spans="1:15" x14ac:dyDescent="0.45">
      <c r="A126" s="310">
        <v>46095</v>
      </c>
      <c r="B126" s="309" t="s">
        <v>282</v>
      </c>
      <c r="C126" s="301" t="s">
        <v>69</v>
      </c>
      <c r="D126" s="337">
        <v>1</v>
      </c>
      <c r="E126" s="301" t="s">
        <v>579</v>
      </c>
      <c r="F126" s="302" t="s">
        <v>175</v>
      </c>
      <c r="G126" s="301" t="s">
        <v>514</v>
      </c>
      <c r="H126" s="343"/>
      <c r="I126" s="301"/>
      <c r="J126" s="340"/>
      <c r="K126" s="303"/>
      <c r="L126" s="304">
        <f t="shared" si="2"/>
        <v>0</v>
      </c>
      <c r="M126" s="305">
        <f t="shared" si="3"/>
        <v>0</v>
      </c>
      <c r="N126" s="327">
        <f>IF(A126&lt;&gt;"", Таблица36[[#This Row],[Расход]] / VLOOKUP(A126, 'Курс валют'!$A:$D, 4, 0), "")</f>
        <v>0</v>
      </c>
      <c r="O126" s="307"/>
    </row>
    <row r="127" spans="1:15" x14ac:dyDescent="0.45">
      <c r="A127" s="310">
        <v>46095</v>
      </c>
      <c r="B127" s="309" t="s">
        <v>601</v>
      </c>
      <c r="C127" s="301" t="s">
        <v>65</v>
      </c>
      <c r="D127" s="337">
        <v>1</v>
      </c>
      <c r="E127" s="301" t="s">
        <v>593</v>
      </c>
      <c r="F127" s="302" t="s">
        <v>175</v>
      </c>
      <c r="G127" s="301" t="s">
        <v>514</v>
      </c>
      <c r="H127" s="343"/>
      <c r="I127" s="301"/>
      <c r="J127" s="340">
        <f>200000+300000</f>
        <v>500000</v>
      </c>
      <c r="K127" s="303"/>
      <c r="L127" s="304">
        <f t="shared" si="2"/>
        <v>0</v>
      </c>
      <c r="M127" s="305">
        <f t="shared" si="3"/>
        <v>-500000</v>
      </c>
      <c r="N127" s="327">
        <f>IF(A127&lt;&gt;"", Таблица36[[#This Row],[Расход]] / VLOOKUP(A127, 'Курс валют'!$A:$D, 4, 0), "")</f>
        <v>41.666666666666664</v>
      </c>
      <c r="O127" s="307"/>
    </row>
    <row r="128" spans="1:15" x14ac:dyDescent="0.45">
      <c r="A128" s="310">
        <v>46096</v>
      </c>
      <c r="B128" s="309" t="s">
        <v>525</v>
      </c>
      <c r="C128" s="301" t="s">
        <v>69</v>
      </c>
      <c r="D128" s="337">
        <v>1</v>
      </c>
      <c r="E128" s="301" t="s">
        <v>602</v>
      </c>
      <c r="F128" s="302" t="s">
        <v>586</v>
      </c>
      <c r="G128" s="301" t="s">
        <v>514</v>
      </c>
      <c r="H128" s="343">
        <v>2100000</v>
      </c>
      <c r="I128" s="301"/>
      <c r="J128" s="340"/>
      <c r="K128" s="303"/>
      <c r="L128" s="304">
        <f t="shared" si="2"/>
        <v>2100000</v>
      </c>
      <c r="M128" s="305">
        <f t="shared" si="3"/>
        <v>2100000</v>
      </c>
      <c r="N128" s="327">
        <f>IF(A128&lt;&gt;"", Таблица36[[#This Row],[Расход]] / VLOOKUP(A128, 'Курс валют'!$A:$D, 4, 0), "")</f>
        <v>0</v>
      </c>
      <c r="O128" s="307"/>
    </row>
    <row r="129" spans="1:15" x14ac:dyDescent="0.45">
      <c r="A129" s="310">
        <v>46097</v>
      </c>
      <c r="B129" s="309" t="s">
        <v>590</v>
      </c>
      <c r="C129" s="301" t="s">
        <v>233</v>
      </c>
      <c r="D129" s="337" t="s">
        <v>233</v>
      </c>
      <c r="E129" s="301" t="s">
        <v>233</v>
      </c>
      <c r="F129" s="302" t="s">
        <v>586</v>
      </c>
      <c r="G129" s="301" t="s">
        <v>514</v>
      </c>
      <c r="H129" s="343">
        <v>768000</v>
      </c>
      <c r="I129" s="301"/>
      <c r="J129" s="340"/>
      <c r="K129" s="303"/>
      <c r="L129" s="304">
        <f t="shared" si="2"/>
        <v>768000</v>
      </c>
      <c r="M129" s="305">
        <f t="shared" si="3"/>
        <v>768000</v>
      </c>
      <c r="N129" s="327">
        <f>IF(A129&lt;&gt;"", Таблица36[[#This Row],[Расход]] / VLOOKUP(A129, 'Курс валют'!$A:$D, 4, 0), "")</f>
        <v>0</v>
      </c>
      <c r="O129" s="307"/>
    </row>
    <row r="130" spans="1:15" x14ac:dyDescent="0.45">
      <c r="A130" s="310">
        <v>46097</v>
      </c>
      <c r="B130" s="309" t="s">
        <v>590</v>
      </c>
      <c r="C130" s="301" t="s">
        <v>233</v>
      </c>
      <c r="D130" s="337" t="s">
        <v>233</v>
      </c>
      <c r="E130" s="301" t="s">
        <v>233</v>
      </c>
      <c r="F130" s="302" t="s">
        <v>175</v>
      </c>
      <c r="G130" s="301" t="s">
        <v>514</v>
      </c>
      <c r="H130" s="343">
        <v>2400000</v>
      </c>
      <c r="I130" s="301"/>
      <c r="J130" s="340"/>
      <c r="K130" s="303"/>
      <c r="L130" s="304">
        <f t="shared" si="2"/>
        <v>2400000</v>
      </c>
      <c r="M130" s="305">
        <f t="shared" si="3"/>
        <v>2400000</v>
      </c>
      <c r="N130" s="327">
        <f>IF(A130&lt;&gt;"", Таблица36[[#This Row],[Расход]] / VLOOKUP(A130, 'Курс валют'!$A:$D, 4, 0), "")</f>
        <v>0</v>
      </c>
      <c r="O130" s="307"/>
    </row>
    <row r="131" spans="1:15" x14ac:dyDescent="0.45">
      <c r="A131" s="310">
        <v>46097</v>
      </c>
      <c r="B131" s="309" t="s">
        <v>603</v>
      </c>
      <c r="C131" s="301" t="s">
        <v>233</v>
      </c>
      <c r="D131" s="337" t="s">
        <v>233</v>
      </c>
      <c r="E131" s="301" t="s">
        <v>233</v>
      </c>
      <c r="F131" s="302" t="s">
        <v>175</v>
      </c>
      <c r="G131" s="301" t="s">
        <v>514</v>
      </c>
      <c r="H131" s="343">
        <v>200000</v>
      </c>
      <c r="I131" s="301"/>
      <c r="J131" s="340"/>
      <c r="K131" s="303"/>
      <c r="L131" s="304">
        <f t="shared" si="2"/>
        <v>200000</v>
      </c>
      <c r="M131" s="305">
        <f t="shared" si="3"/>
        <v>200000</v>
      </c>
      <c r="N131" s="327">
        <f>IF(A131&lt;&gt;"", Таблица36[[#This Row],[Расход]] / VLOOKUP(A131, 'Курс валют'!$A:$D, 4, 0), "")</f>
        <v>0</v>
      </c>
      <c r="O131" s="307"/>
    </row>
    <row r="132" spans="1:15" x14ac:dyDescent="0.45">
      <c r="A132" s="310">
        <v>46097</v>
      </c>
      <c r="B132" s="309" t="s">
        <v>604</v>
      </c>
      <c r="C132" s="301" t="s">
        <v>65</v>
      </c>
      <c r="D132" s="337">
        <v>4</v>
      </c>
      <c r="E132" s="301" t="s">
        <v>605</v>
      </c>
      <c r="F132" s="302" t="s">
        <v>586</v>
      </c>
      <c r="G132" s="301" t="s">
        <v>514</v>
      </c>
      <c r="H132" s="343"/>
      <c r="I132" s="301"/>
      <c r="J132" s="340">
        <v>768000</v>
      </c>
      <c r="K132" s="303"/>
      <c r="L132" s="304">
        <f t="shared" si="2"/>
        <v>0</v>
      </c>
      <c r="M132" s="305">
        <f t="shared" si="3"/>
        <v>-768000</v>
      </c>
      <c r="N132" s="327">
        <f>IF(A132&lt;&gt;"", Таблица36[[#This Row],[Расход]] / VLOOKUP(A132, 'Курс валют'!$A:$D, 4, 0), "")</f>
        <v>64</v>
      </c>
      <c r="O132" s="307"/>
    </row>
    <row r="133" spans="1:15" x14ac:dyDescent="0.45">
      <c r="A133" s="310">
        <v>46097</v>
      </c>
      <c r="B133" s="309" t="s">
        <v>82</v>
      </c>
      <c r="C133" s="301" t="s">
        <v>59</v>
      </c>
      <c r="D133" s="337">
        <v>25</v>
      </c>
      <c r="E133" s="301" t="s">
        <v>22</v>
      </c>
      <c r="F133" s="302" t="s">
        <v>175</v>
      </c>
      <c r="G133" s="301" t="s">
        <v>514</v>
      </c>
      <c r="H133" s="343"/>
      <c r="I133" s="301"/>
      <c r="J133" s="340"/>
      <c r="K133" s="303"/>
      <c r="L133" s="304">
        <f t="shared" si="2"/>
        <v>0</v>
      </c>
      <c r="M133" s="305">
        <f t="shared" si="3"/>
        <v>0</v>
      </c>
      <c r="N133" s="327">
        <f>IF(A133&lt;&gt;"", Таблица36[[#This Row],[Расход]] / VLOOKUP(A133, 'Курс валют'!$A:$D, 4, 0), "")</f>
        <v>0</v>
      </c>
      <c r="O133" s="307"/>
    </row>
    <row r="134" spans="1:15" x14ac:dyDescent="0.45">
      <c r="A134" s="310">
        <v>46097</v>
      </c>
      <c r="B134" s="309" t="s">
        <v>239</v>
      </c>
      <c r="C134" s="301" t="s">
        <v>65</v>
      </c>
      <c r="D134" s="337">
        <v>1</v>
      </c>
      <c r="E134" s="301" t="s">
        <v>593</v>
      </c>
      <c r="F134" s="302" t="s">
        <v>175</v>
      </c>
      <c r="G134" s="301" t="s">
        <v>514</v>
      </c>
      <c r="H134" s="343"/>
      <c r="I134" s="301"/>
      <c r="J134" s="340">
        <v>200000</v>
      </c>
      <c r="K134" s="303"/>
      <c r="L134" s="304">
        <f t="shared" si="2"/>
        <v>0</v>
      </c>
      <c r="M134" s="305">
        <f t="shared" si="3"/>
        <v>-200000</v>
      </c>
      <c r="N134" s="327">
        <f>IF(A134&lt;&gt;"", Таблица36[[#This Row],[Расход]] / VLOOKUP(A134, 'Курс валют'!$A:$D, 4, 0), "")</f>
        <v>16.666666666666668</v>
      </c>
      <c r="O134" s="307"/>
    </row>
    <row r="135" spans="1:15" x14ac:dyDescent="0.45">
      <c r="A135" s="310">
        <v>46097</v>
      </c>
      <c r="B135" s="309" t="s">
        <v>583</v>
      </c>
      <c r="C135" s="301" t="s">
        <v>606</v>
      </c>
      <c r="D135" s="337">
        <v>1</v>
      </c>
      <c r="E135" s="301" t="s">
        <v>607</v>
      </c>
      <c r="F135" s="302" t="s">
        <v>175</v>
      </c>
      <c r="G135" s="301" t="s">
        <v>514</v>
      </c>
      <c r="H135" s="343">
        <v>300000</v>
      </c>
      <c r="I135" s="301"/>
      <c r="J135" s="340"/>
      <c r="K135" s="303"/>
      <c r="L135" s="304">
        <f t="shared" si="2"/>
        <v>300000</v>
      </c>
      <c r="M135" s="305">
        <f t="shared" si="3"/>
        <v>300000</v>
      </c>
      <c r="N135" s="327">
        <f>IF(A135&lt;&gt;"", Таблица36[[#This Row],[Расход]] / VLOOKUP(A135, 'Курс валют'!$A:$D, 4, 0), "")</f>
        <v>0</v>
      </c>
      <c r="O135" s="307"/>
    </row>
    <row r="136" spans="1:15" x14ac:dyDescent="0.45">
      <c r="A136" s="310">
        <v>46098</v>
      </c>
      <c r="B136" s="309" t="s">
        <v>590</v>
      </c>
      <c r="C136" s="301" t="s">
        <v>233</v>
      </c>
      <c r="D136" s="337" t="s">
        <v>233</v>
      </c>
      <c r="E136" s="301" t="s">
        <v>233</v>
      </c>
      <c r="F136" s="302" t="s">
        <v>175</v>
      </c>
      <c r="G136" s="301" t="s">
        <v>514</v>
      </c>
      <c r="H136" s="343">
        <v>80000</v>
      </c>
      <c r="I136" s="301"/>
      <c r="J136" s="340"/>
      <c r="K136" s="303"/>
      <c r="L136" s="304">
        <f t="shared" si="2"/>
        <v>80000</v>
      </c>
      <c r="M136" s="305">
        <f t="shared" si="3"/>
        <v>80000</v>
      </c>
      <c r="N136" s="327">
        <f>IF(A136&lt;&gt;"", Таблица36[[#This Row],[Расход]] / VLOOKUP(A136, 'Курс валют'!$A:$D, 4, 0), "")</f>
        <v>0</v>
      </c>
      <c r="O136" s="307"/>
    </row>
    <row r="137" spans="1:15" x14ac:dyDescent="0.45">
      <c r="A137" s="310">
        <v>46098</v>
      </c>
      <c r="B137" s="309" t="s">
        <v>283</v>
      </c>
      <c r="C137" s="301" t="s">
        <v>69</v>
      </c>
      <c r="D137" s="337">
        <v>10000</v>
      </c>
      <c r="E137" s="301" t="s">
        <v>608</v>
      </c>
      <c r="F137" s="302" t="s">
        <v>586</v>
      </c>
      <c r="G137" s="301" t="s">
        <v>514</v>
      </c>
      <c r="H137" s="343">
        <v>4300000</v>
      </c>
      <c r="I137" s="301"/>
      <c r="J137" s="340"/>
      <c r="K137" s="303"/>
      <c r="L137" s="304">
        <f t="shared" si="2"/>
        <v>4300000</v>
      </c>
      <c r="M137" s="305">
        <f t="shared" si="3"/>
        <v>4300000</v>
      </c>
      <c r="N137" s="327">
        <f>IF(A137&lt;&gt;"", Таблица36[[#This Row],[Расход]] / VLOOKUP(A137, 'Курс валют'!$A:$D, 4, 0), "")</f>
        <v>0</v>
      </c>
      <c r="O137" s="307"/>
    </row>
    <row r="138" spans="1:15" x14ac:dyDescent="0.45">
      <c r="A138" s="310">
        <v>46098</v>
      </c>
      <c r="B138" s="309" t="s">
        <v>609</v>
      </c>
      <c r="C138" s="301" t="s">
        <v>65</v>
      </c>
      <c r="D138" s="337">
        <v>1</v>
      </c>
      <c r="E138" s="301" t="s">
        <v>579</v>
      </c>
      <c r="F138" s="302" t="s">
        <v>175</v>
      </c>
      <c r="G138" s="301" t="s">
        <v>514</v>
      </c>
      <c r="H138" s="343"/>
      <c r="I138" s="301"/>
      <c r="J138" s="340"/>
      <c r="K138" s="303"/>
      <c r="L138" s="304">
        <f t="shared" si="2"/>
        <v>0</v>
      </c>
      <c r="M138" s="305">
        <f t="shared" si="3"/>
        <v>0</v>
      </c>
      <c r="N138" s="327">
        <f>IF(A138&lt;&gt;"", Таблица36[[#This Row],[Расход]] / VLOOKUP(A138, 'Курс валют'!$A:$D, 4, 0), "")</f>
        <v>0</v>
      </c>
      <c r="O138" s="307"/>
    </row>
    <row r="139" spans="1:15" x14ac:dyDescent="0.45">
      <c r="A139" s="310">
        <v>46098</v>
      </c>
      <c r="B139" s="309" t="s">
        <v>590</v>
      </c>
      <c r="C139" s="301" t="s">
        <v>233</v>
      </c>
      <c r="D139" s="337" t="s">
        <v>233</v>
      </c>
      <c r="E139" s="301" t="s">
        <v>233</v>
      </c>
      <c r="F139" s="302" t="s">
        <v>586</v>
      </c>
      <c r="G139" s="301" t="s">
        <v>514</v>
      </c>
      <c r="H139" s="343">
        <v>3400000</v>
      </c>
      <c r="I139" s="301"/>
      <c r="J139" s="340"/>
      <c r="K139" s="303"/>
      <c r="L139" s="304">
        <f t="shared" si="2"/>
        <v>3400000</v>
      </c>
      <c r="M139" s="305">
        <f t="shared" si="3"/>
        <v>3400000</v>
      </c>
      <c r="N139" s="327">
        <f>IF(A139&lt;&gt;"", Таблица36[[#This Row],[Расход]] / VLOOKUP(A139, 'Курс валют'!$A:$D, 4, 0), "")</f>
        <v>0</v>
      </c>
      <c r="O139" s="307"/>
    </row>
    <row r="140" spans="1:15" x14ac:dyDescent="0.45">
      <c r="A140" s="310">
        <v>46098</v>
      </c>
      <c r="B140" s="309" t="s">
        <v>610</v>
      </c>
      <c r="C140" s="301" t="s">
        <v>65</v>
      </c>
      <c r="D140" s="337">
        <v>1</v>
      </c>
      <c r="E140" s="301" t="s">
        <v>579</v>
      </c>
      <c r="F140" s="302" t="s">
        <v>586</v>
      </c>
      <c r="G140" s="301" t="s">
        <v>514</v>
      </c>
      <c r="H140" s="343"/>
      <c r="I140" s="301"/>
      <c r="J140" s="340">
        <v>3400000</v>
      </c>
      <c r="K140" s="303"/>
      <c r="L140" s="304">
        <f t="shared" si="2"/>
        <v>0</v>
      </c>
      <c r="M140" s="305">
        <f t="shared" si="3"/>
        <v>-3400000</v>
      </c>
      <c r="N140" s="327">
        <f>IF(A140&lt;&gt;"", Таблица36[[#This Row],[Расход]] / VLOOKUP(A140, 'Курс валют'!$A:$D, 4, 0), "")</f>
        <v>282.39202657807311</v>
      </c>
      <c r="O140" s="307"/>
    </row>
    <row r="141" spans="1:15" x14ac:dyDescent="0.45">
      <c r="A141" s="310">
        <v>46100</v>
      </c>
      <c r="B141" s="309" t="s">
        <v>432</v>
      </c>
      <c r="C141" s="301" t="s">
        <v>591</v>
      </c>
      <c r="D141" s="337">
        <v>1</v>
      </c>
      <c r="E141" s="301"/>
      <c r="F141" s="302" t="s">
        <v>175</v>
      </c>
      <c r="G141" s="301" t="s">
        <v>30</v>
      </c>
      <c r="H141" s="343">
        <v>1000</v>
      </c>
      <c r="I141" s="301">
        <v>12100</v>
      </c>
      <c r="J141" s="340"/>
      <c r="K141" s="303"/>
      <c r="L141" s="304">
        <f t="shared" si="2"/>
        <v>12100000</v>
      </c>
      <c r="M141" s="305"/>
      <c r="N141" s="327">
        <f>IF(A141&lt;&gt;"", Таблица36[[#This Row],[Расход]] / VLOOKUP(A141, 'Курс валют'!$A:$D, 4, 0), "")</f>
        <v>0</v>
      </c>
      <c r="O141" s="307"/>
    </row>
    <row r="142" spans="1:15" x14ac:dyDescent="0.45">
      <c r="A142" s="310">
        <v>46100</v>
      </c>
      <c r="B142" s="309" t="s">
        <v>581</v>
      </c>
      <c r="C142" s="301" t="s">
        <v>69</v>
      </c>
      <c r="D142" s="337">
        <v>1</v>
      </c>
      <c r="E142" s="301" t="s">
        <v>579</v>
      </c>
      <c r="F142" s="302" t="s">
        <v>175</v>
      </c>
      <c r="G142" s="301" t="s">
        <v>514</v>
      </c>
      <c r="H142" s="343"/>
      <c r="I142" s="301"/>
      <c r="J142" s="340"/>
      <c r="K142" s="303"/>
      <c r="L142" s="304">
        <f t="shared" si="2"/>
        <v>0</v>
      </c>
      <c r="M142" s="305">
        <f t="shared" si="3"/>
        <v>0</v>
      </c>
      <c r="N142" s="327">
        <f>IF(A142&lt;&gt;"", Таблица36[[#This Row],[Расход]] / VLOOKUP(A142, 'Курс валют'!$A:$D, 4, 0), "")</f>
        <v>0</v>
      </c>
      <c r="O142" s="307"/>
    </row>
    <row r="143" spans="1:15" x14ac:dyDescent="0.45">
      <c r="A143" s="310">
        <v>46100</v>
      </c>
      <c r="B143" s="309" t="s">
        <v>91</v>
      </c>
      <c r="C143" s="301" t="s">
        <v>65</v>
      </c>
      <c r="D143" s="337">
        <v>1</v>
      </c>
      <c r="E143" s="301" t="s">
        <v>579</v>
      </c>
      <c r="F143" s="302" t="s">
        <v>175</v>
      </c>
      <c r="G143" s="301" t="s">
        <v>514</v>
      </c>
      <c r="H143" s="343"/>
      <c r="I143" s="301"/>
      <c r="J143" s="340"/>
      <c r="K143" s="303"/>
      <c r="L143" s="304">
        <f t="shared" si="2"/>
        <v>0</v>
      </c>
      <c r="M143" s="305">
        <f t="shared" si="3"/>
        <v>0</v>
      </c>
      <c r="N143" s="327">
        <f>IF(A143&lt;&gt;"", Таблица36[[#This Row],[Расход]] / VLOOKUP(A143, 'Курс валют'!$A:$D, 4, 0), "")</f>
        <v>0</v>
      </c>
      <c r="O143" s="307"/>
    </row>
    <row r="144" spans="1:15" x14ac:dyDescent="0.45">
      <c r="A144" s="310">
        <v>46105</v>
      </c>
      <c r="B144" s="309" t="s">
        <v>239</v>
      </c>
      <c r="C144" s="301" t="s">
        <v>97</v>
      </c>
      <c r="D144" s="337">
        <v>20</v>
      </c>
      <c r="E144" s="301" t="s">
        <v>593</v>
      </c>
      <c r="F144" s="302" t="s">
        <v>175</v>
      </c>
      <c r="G144" s="301" t="s">
        <v>514</v>
      </c>
      <c r="H144" s="343"/>
      <c r="I144" s="301"/>
      <c r="J144" s="340">
        <v>250000</v>
      </c>
      <c r="K144" s="303"/>
      <c r="L144" s="304">
        <f t="shared" si="2"/>
        <v>0</v>
      </c>
      <c r="M144" s="305">
        <f t="shared" si="3"/>
        <v>-250000</v>
      </c>
      <c r="N144" s="327">
        <f>IF(A144&lt;&gt;"", Таблица36[[#This Row],[Расход]] / VLOOKUP(A144, 'Курс валют'!$A:$D, 4, 0), "")</f>
        <v>20.66115702479339</v>
      </c>
      <c r="O144" s="307"/>
    </row>
    <row r="145" spans="1:15" x14ac:dyDescent="0.45">
      <c r="A145" s="310">
        <v>46105</v>
      </c>
      <c r="B145" s="309" t="s">
        <v>525</v>
      </c>
      <c r="C145" s="301" t="s">
        <v>65</v>
      </c>
      <c r="D145" s="337">
        <v>1</v>
      </c>
      <c r="E145" s="301" t="s">
        <v>611</v>
      </c>
      <c r="F145" s="302" t="s">
        <v>586</v>
      </c>
      <c r="G145" s="301" t="s">
        <v>514</v>
      </c>
      <c r="H145" s="343">
        <v>420000</v>
      </c>
      <c r="I145" s="301"/>
      <c r="J145" s="340">
        <v>420000</v>
      </c>
      <c r="K145" s="303"/>
      <c r="L145" s="304">
        <f t="shared" si="2"/>
        <v>420000</v>
      </c>
      <c r="M145" s="305">
        <f t="shared" si="3"/>
        <v>0</v>
      </c>
      <c r="N145" s="327">
        <f>IF(A145&lt;&gt;"", Таблица36[[#This Row],[Расход]] / VLOOKUP(A145, 'Курс валют'!$A:$D, 4, 0), "")</f>
        <v>34.710743801652896</v>
      </c>
      <c r="O145" s="307"/>
    </row>
    <row r="146" spans="1:15" x14ac:dyDescent="0.45">
      <c r="A146" s="310">
        <v>46106</v>
      </c>
      <c r="B146" s="309" t="s">
        <v>82</v>
      </c>
      <c r="C146" s="301" t="s">
        <v>59</v>
      </c>
      <c r="D146" s="337">
        <v>25</v>
      </c>
      <c r="E146" s="301" t="s">
        <v>611</v>
      </c>
      <c r="F146" s="302" t="s">
        <v>586</v>
      </c>
      <c r="G146" s="301" t="s">
        <v>514</v>
      </c>
      <c r="H146" s="343">
        <v>2500000</v>
      </c>
      <c r="I146" s="301"/>
      <c r="J146" s="340"/>
      <c r="K146" s="303"/>
      <c r="L146" s="304">
        <f t="shared" si="2"/>
        <v>2500000</v>
      </c>
      <c r="M146" s="305">
        <f t="shared" si="3"/>
        <v>2500000</v>
      </c>
      <c r="N146" s="327">
        <f>IF(A146&lt;&gt;"", Таблица36[[#This Row],[Расход]] / VLOOKUP(A146, 'Курс валют'!$A:$D, 4, 0), "")</f>
        <v>0</v>
      </c>
      <c r="O146" s="307"/>
    </row>
    <row r="147" spans="1:15" x14ac:dyDescent="0.45">
      <c r="A147" s="310">
        <v>46108</v>
      </c>
      <c r="B147" s="309" t="s">
        <v>612</v>
      </c>
      <c r="C147" s="301" t="s">
        <v>65</v>
      </c>
      <c r="D147" s="337">
        <v>1</v>
      </c>
      <c r="E147" s="301" t="s">
        <v>579</v>
      </c>
      <c r="F147" s="302" t="s">
        <v>175</v>
      </c>
      <c r="G147" s="301" t="s">
        <v>514</v>
      </c>
      <c r="H147" s="343"/>
      <c r="I147" s="301"/>
      <c r="J147" s="340"/>
      <c r="K147" s="303"/>
      <c r="L147" s="304">
        <f t="shared" si="2"/>
        <v>0</v>
      </c>
      <c r="M147" s="305">
        <f t="shared" si="3"/>
        <v>0</v>
      </c>
      <c r="N147" s="327">
        <f>IF(A147&lt;&gt;"", Таблица36[[#This Row],[Расход]] / VLOOKUP(A147, 'Курс валют'!$A:$D, 4, 0), "")</f>
        <v>0</v>
      </c>
      <c r="O147" s="307"/>
    </row>
    <row r="148" spans="1:15" x14ac:dyDescent="0.45">
      <c r="A148" s="310">
        <v>46109</v>
      </c>
      <c r="B148" s="309" t="s">
        <v>613</v>
      </c>
      <c r="C148" s="301" t="s">
        <v>69</v>
      </c>
      <c r="D148" s="337">
        <v>48</v>
      </c>
      <c r="E148" s="301" t="s">
        <v>579</v>
      </c>
      <c r="F148" s="302" t="s">
        <v>586</v>
      </c>
      <c r="G148" s="301" t="s">
        <v>514</v>
      </c>
      <c r="H148" s="343"/>
      <c r="I148" s="301"/>
      <c r="J148" s="340"/>
      <c r="K148" s="303"/>
      <c r="L148" s="304">
        <f t="shared" si="2"/>
        <v>0</v>
      </c>
      <c r="M148" s="305">
        <f t="shared" si="3"/>
        <v>0</v>
      </c>
      <c r="N148" s="327">
        <f>IF(A148&lt;&gt;"", Таблица36[[#This Row],[Расход]] / VLOOKUP(A148, 'Курс валют'!$A:$D, 4, 0), "")</f>
        <v>0</v>
      </c>
      <c r="O148" s="307"/>
    </row>
    <row r="149" spans="1:15" x14ac:dyDescent="0.45">
      <c r="A149" s="310">
        <v>46111</v>
      </c>
      <c r="B149" s="309" t="s">
        <v>553</v>
      </c>
      <c r="C149" s="301" t="s">
        <v>69</v>
      </c>
      <c r="D149" s="337">
        <v>1</v>
      </c>
      <c r="E149" s="301" t="s">
        <v>22</v>
      </c>
      <c r="F149" s="302" t="s">
        <v>586</v>
      </c>
      <c r="G149" s="301" t="s">
        <v>514</v>
      </c>
      <c r="H149" s="343">
        <v>3360000</v>
      </c>
      <c r="I149" s="301"/>
      <c r="J149" s="340"/>
      <c r="K149" s="303"/>
      <c r="L149" s="304">
        <f t="shared" si="2"/>
        <v>3360000</v>
      </c>
      <c r="M149" s="305">
        <f t="shared" si="3"/>
        <v>3360000</v>
      </c>
      <c r="N149" s="327">
        <f>IF(A149&lt;&gt;"", Таблица36[[#This Row],[Расход]] / VLOOKUP(A149, 'Курс валют'!$A:$D, 4, 0), "")</f>
        <v>0</v>
      </c>
      <c r="O149" s="307"/>
    </row>
    <row r="150" spans="1:15" x14ac:dyDescent="0.45">
      <c r="A150" s="310">
        <v>46111</v>
      </c>
      <c r="B150" s="309" t="s">
        <v>82</v>
      </c>
      <c r="C150" s="301" t="s">
        <v>59</v>
      </c>
      <c r="D150" s="337">
        <f>J150/105000</f>
        <v>0</v>
      </c>
      <c r="E150" s="301" t="s">
        <v>611</v>
      </c>
      <c r="F150" s="302" t="s">
        <v>175</v>
      </c>
      <c r="G150" s="301" t="s">
        <v>514</v>
      </c>
      <c r="H150" s="343">
        <v>2700000</v>
      </c>
      <c r="I150" s="301"/>
      <c r="J150" s="340"/>
      <c r="K150" s="303"/>
      <c r="L150" s="304">
        <f t="shared" si="2"/>
        <v>2700000</v>
      </c>
      <c r="M150" s="305">
        <f t="shared" si="3"/>
        <v>2700000</v>
      </c>
      <c r="N150" s="327">
        <f>IF(A150&lt;&gt;"", Таблица36[[#This Row],[Расход]] / VLOOKUP(A150, 'Курс валют'!$A:$D, 4, 0), "")</f>
        <v>0</v>
      </c>
      <c r="O150" s="307"/>
    </row>
    <row r="151" spans="1:15" x14ac:dyDescent="0.45">
      <c r="A151" s="310">
        <v>46111</v>
      </c>
      <c r="B151" s="309" t="s">
        <v>614</v>
      </c>
      <c r="C151" s="301" t="s">
        <v>615</v>
      </c>
      <c r="D151" s="337">
        <v>1</v>
      </c>
      <c r="E151" s="301" t="s">
        <v>173</v>
      </c>
      <c r="F151" s="302" t="s">
        <v>175</v>
      </c>
      <c r="G151" s="301" t="s">
        <v>514</v>
      </c>
      <c r="H151" s="343"/>
      <c r="I151" s="301"/>
      <c r="J151" s="340">
        <v>400000</v>
      </c>
      <c r="K151" s="303"/>
      <c r="L151" s="304">
        <f t="shared" si="2"/>
        <v>0</v>
      </c>
      <c r="M151" s="305">
        <f t="shared" si="3"/>
        <v>-400000</v>
      </c>
      <c r="N151" s="327">
        <f>IF(A151&lt;&gt;"", Таблица36[[#This Row],[Расход]] / VLOOKUP(A151, 'Курс валют'!$A:$D, 4, 0), "")</f>
        <v>33.057851239669418</v>
      </c>
      <c r="O151" s="307"/>
    </row>
    <row r="152" spans="1:15" x14ac:dyDescent="0.45">
      <c r="A152" s="310">
        <v>46112</v>
      </c>
      <c r="B152" s="309" t="s">
        <v>616</v>
      </c>
      <c r="C152" s="301" t="s">
        <v>85</v>
      </c>
      <c r="D152" s="337">
        <v>400</v>
      </c>
      <c r="E152" s="301" t="s">
        <v>579</v>
      </c>
      <c r="F152" s="302" t="s">
        <v>586</v>
      </c>
      <c r="G152" s="301" t="s">
        <v>514</v>
      </c>
      <c r="H152" s="343"/>
      <c r="I152" s="301"/>
      <c r="J152" s="340"/>
      <c r="K152" s="303"/>
      <c r="L152" s="304">
        <f t="shared" si="2"/>
        <v>0</v>
      </c>
      <c r="M152" s="305">
        <f t="shared" si="3"/>
        <v>0</v>
      </c>
      <c r="N152" s="327">
        <f>IF(A152&lt;&gt;"", Таблица36[[#This Row],[Расход]] / VLOOKUP(A152, 'Курс валют'!$A:$D, 4, 0), "")</f>
        <v>0</v>
      </c>
      <c r="O152" s="307"/>
    </row>
    <row r="153" spans="1:15" x14ac:dyDescent="0.45">
      <c r="A153" s="310">
        <v>46112</v>
      </c>
      <c r="B153" s="309" t="s">
        <v>617</v>
      </c>
      <c r="C153" s="301" t="s">
        <v>618</v>
      </c>
      <c r="D153" s="337">
        <v>1</v>
      </c>
      <c r="E153" s="301" t="s">
        <v>579</v>
      </c>
      <c r="F153" s="302" t="s">
        <v>175</v>
      </c>
      <c r="G153" s="301" t="s">
        <v>514</v>
      </c>
      <c r="H153" s="343">
        <f>459180000-H154</f>
        <v>422730000</v>
      </c>
      <c r="I153" s="301"/>
      <c r="J153" s="340"/>
      <c r="K153" s="303"/>
      <c r="L153" s="304">
        <f>IF(G153="USD", H153*I153, H153)-IF(G153="USD", J153*K153, K153)</f>
        <v>422730000</v>
      </c>
      <c r="M153" s="305">
        <f t="shared" si="3"/>
        <v>422730000</v>
      </c>
      <c r="N153" s="327">
        <f>IF(A153&lt;&gt;"", Таблица36[[#This Row],[Расход]] / VLOOKUP(A153, 'Курс валют'!$A:$D, 4, 0), "")</f>
        <v>0</v>
      </c>
      <c r="O153" s="307"/>
    </row>
    <row r="154" spans="1:15" x14ac:dyDescent="0.45">
      <c r="A154" s="310">
        <v>46112</v>
      </c>
      <c r="B154" s="309" t="s">
        <v>619</v>
      </c>
      <c r="C154" s="301" t="s">
        <v>618</v>
      </c>
      <c r="D154" s="337">
        <v>1</v>
      </c>
      <c r="E154" s="301" t="s">
        <v>579</v>
      </c>
      <c r="F154" s="302" t="s">
        <v>175</v>
      </c>
      <c r="G154" s="301" t="s">
        <v>514</v>
      </c>
      <c r="H154" s="343">
        <v>36450000</v>
      </c>
      <c r="I154" s="301"/>
      <c r="J154" s="340"/>
      <c r="K154" s="303"/>
      <c r="L154" s="304">
        <f t="shared" si="2"/>
        <v>36450000</v>
      </c>
      <c r="M154" s="305">
        <f t="shared" si="3"/>
        <v>36450000</v>
      </c>
      <c r="N154" s="327">
        <f>IF(A154&lt;&gt;"", Таблица36[[#This Row],[Расход]] / VLOOKUP(A154, 'Курс валют'!$A:$D, 4, 0), "")</f>
        <v>0</v>
      </c>
      <c r="O154" s="307"/>
    </row>
    <row r="155" spans="1:15" x14ac:dyDescent="0.45">
      <c r="A155" s="310">
        <v>46113</v>
      </c>
      <c r="B155" s="309" t="s">
        <v>583</v>
      </c>
      <c r="C155" s="301" t="s">
        <v>606</v>
      </c>
      <c r="D155" s="337">
        <v>1</v>
      </c>
      <c r="E155" s="301" t="s">
        <v>607</v>
      </c>
      <c r="F155" s="302" t="s">
        <v>175</v>
      </c>
      <c r="G155" s="301" t="s">
        <v>514</v>
      </c>
      <c r="H155" s="343"/>
      <c r="I155" s="301"/>
      <c r="J155" s="340"/>
      <c r="K155" s="303"/>
      <c r="L155" s="304">
        <f>IF(G155="USD", H155*I155, H155)-IF(G155="USD", J155*K155, K155)</f>
        <v>0</v>
      </c>
      <c r="M155" s="305">
        <f t="shared" si="3"/>
        <v>0</v>
      </c>
      <c r="N155" s="327">
        <f>IF(A155&lt;&gt;"", Таблица36[[#This Row],[Расход]] / VLOOKUP(A155, 'Курс валют'!$A:$D, 4, 0), "")</f>
        <v>0</v>
      </c>
      <c r="O155" s="307"/>
    </row>
    <row r="156" spans="1:15" x14ac:dyDescent="0.45">
      <c r="A156" s="310">
        <v>46113</v>
      </c>
      <c r="B156" s="309" t="s">
        <v>588</v>
      </c>
      <c r="C156" s="301" t="s">
        <v>620</v>
      </c>
      <c r="D156" s="337">
        <v>1</v>
      </c>
      <c r="E156" s="301" t="s">
        <v>621</v>
      </c>
      <c r="F156" s="302" t="s">
        <v>175</v>
      </c>
      <c r="G156" s="301" t="s">
        <v>514</v>
      </c>
      <c r="H156" s="343"/>
      <c r="I156" s="301"/>
      <c r="J156" s="340">
        <v>200000</v>
      </c>
      <c r="K156" s="303"/>
      <c r="L156" s="304">
        <f t="shared" si="2"/>
        <v>0</v>
      </c>
      <c r="M156" s="305">
        <f t="shared" si="3"/>
        <v>-200000</v>
      </c>
      <c r="N156" s="327">
        <f>IF(A156&lt;&gt;"", Таблица36[[#This Row],[Расход]] / VLOOKUP(A156, 'Курс валют'!$A:$D, 4, 0), "")</f>
        <v>16.528925619834709</v>
      </c>
      <c r="O156" s="307"/>
    </row>
    <row r="157" spans="1:15" x14ac:dyDescent="0.45">
      <c r="A157" s="310">
        <v>46114</v>
      </c>
      <c r="B157" s="309" t="s">
        <v>432</v>
      </c>
      <c r="C157" s="301" t="s">
        <v>456</v>
      </c>
      <c r="D157" s="337">
        <v>8.34</v>
      </c>
      <c r="E157" s="301" t="s">
        <v>579</v>
      </c>
      <c r="F157" s="302" t="s">
        <v>175</v>
      </c>
      <c r="G157" s="301" t="s">
        <v>30</v>
      </c>
      <c r="H157" s="343">
        <v>2500</v>
      </c>
      <c r="I157" s="301">
        <v>12100</v>
      </c>
      <c r="J157" s="340">
        <v>2500</v>
      </c>
      <c r="K157" s="303">
        <v>12100</v>
      </c>
      <c r="L157" s="304">
        <f t="shared" si="2"/>
        <v>0</v>
      </c>
      <c r="M157" s="305">
        <f>H157-J157</f>
        <v>0</v>
      </c>
      <c r="N157" s="327">
        <f>IF(A157&lt;&gt;"", Таблица36[[#This Row],[Расход]] / VLOOKUP(A157, 'Курс валют'!$A:$D, 4, 0), "")</f>
        <v>0.20661157024793389</v>
      </c>
      <c r="O157" s="307"/>
    </row>
    <row r="158" spans="1:15" x14ac:dyDescent="0.45">
      <c r="A158" s="310">
        <v>46114</v>
      </c>
      <c r="B158" s="309" t="s">
        <v>622</v>
      </c>
      <c r="C158" s="301" t="s">
        <v>455</v>
      </c>
      <c r="D158" s="337">
        <v>1</v>
      </c>
      <c r="E158" s="301" t="s">
        <v>622</v>
      </c>
      <c r="F158" s="302" t="s">
        <v>175</v>
      </c>
      <c r="G158" s="301" t="s">
        <v>30</v>
      </c>
      <c r="H158" s="343">
        <v>1200</v>
      </c>
      <c r="I158" s="301">
        <v>12100</v>
      </c>
      <c r="J158" s="340">
        <v>1200</v>
      </c>
      <c r="K158" s="303">
        <v>12100</v>
      </c>
      <c r="L158" s="304">
        <f>IF(G158="USD", H158*I158, H158)-IF(G158="USD", J158*K158, K158)</f>
        <v>0</v>
      </c>
      <c r="M158" s="305">
        <f>H158-J158</f>
        <v>0</v>
      </c>
      <c r="N158" s="327">
        <f>IF(A158&lt;&gt;"", Таблица36[[#This Row],[Расход]] / VLOOKUP(A158, 'Курс валют'!$A:$D, 4, 0), "")</f>
        <v>9.9173553719008267E-2</v>
      </c>
      <c r="O158" s="307"/>
    </row>
    <row r="159" spans="1:15" x14ac:dyDescent="0.45">
      <c r="A159" s="310">
        <v>46112</v>
      </c>
      <c r="B159" s="309" t="s">
        <v>581</v>
      </c>
      <c r="C159" s="301" t="s">
        <v>593</v>
      </c>
      <c r="D159" s="337">
        <v>1</v>
      </c>
      <c r="E159" s="301" t="s">
        <v>581</v>
      </c>
      <c r="F159" s="302" t="s">
        <v>175</v>
      </c>
      <c r="G159" s="301" t="s">
        <v>30</v>
      </c>
      <c r="H159" s="343">
        <v>1250</v>
      </c>
      <c r="I159" s="301">
        <v>12100</v>
      </c>
      <c r="J159" s="340"/>
      <c r="K159" s="303"/>
      <c r="L159" s="304">
        <f t="shared" ref="L159:L206" si="4">IF(G159="USD", H159*I159, H159)-IF(G159="USD", J159*K159, K159)</f>
        <v>15125000</v>
      </c>
      <c r="M159" s="305">
        <f t="shared" ref="M159:M206" si="5">H159-J159</f>
        <v>1250</v>
      </c>
      <c r="N159" s="327">
        <f>IF(A159&lt;&gt;"", Таблица36[[#This Row],[Расход]] / VLOOKUP(A159, 'Курс валют'!$A:$D, 4, 0), "")</f>
        <v>0</v>
      </c>
      <c r="O159" s="307"/>
    </row>
    <row r="160" spans="1:15" x14ac:dyDescent="0.45">
      <c r="A160" s="310">
        <v>46115</v>
      </c>
      <c r="B160" s="309" t="s">
        <v>623</v>
      </c>
      <c r="C160" s="301" t="s">
        <v>624</v>
      </c>
      <c r="D160" s="337">
        <v>1</v>
      </c>
      <c r="E160" s="301" t="s">
        <v>625</v>
      </c>
      <c r="F160" s="302" t="s">
        <v>175</v>
      </c>
      <c r="G160" s="301" t="s">
        <v>514</v>
      </c>
      <c r="H160" s="343"/>
      <c r="I160" s="301"/>
      <c r="J160" s="340">
        <v>100000</v>
      </c>
      <c r="K160" s="303"/>
      <c r="L160" s="304">
        <f t="shared" si="4"/>
        <v>0</v>
      </c>
      <c r="M160" s="305">
        <f t="shared" si="5"/>
        <v>-100000</v>
      </c>
      <c r="N160" s="327">
        <f>IF(A160&lt;&gt;"", Таблица36[[#This Row],[Расход]] / VLOOKUP(A160, 'Курс валют'!$A:$D, 4, 0), "")</f>
        <v>8.2644628099173545</v>
      </c>
      <c r="O160" s="307"/>
    </row>
    <row r="161" spans="1:15" x14ac:dyDescent="0.45">
      <c r="A161" s="310">
        <v>46115</v>
      </c>
      <c r="B161" s="309" t="s">
        <v>626</v>
      </c>
      <c r="C161" s="301" t="s">
        <v>65</v>
      </c>
      <c r="D161" s="337">
        <v>1</v>
      </c>
      <c r="E161" s="301" t="s">
        <v>625</v>
      </c>
      <c r="F161" s="302" t="s">
        <v>175</v>
      </c>
      <c r="G161" s="301" t="s">
        <v>514</v>
      </c>
      <c r="H161" s="343"/>
      <c r="I161" s="301"/>
      <c r="J161" s="340">
        <v>3200000</v>
      </c>
      <c r="K161" s="303"/>
      <c r="L161" s="304">
        <f t="shared" si="4"/>
        <v>0</v>
      </c>
      <c r="M161" s="305">
        <f t="shared" si="5"/>
        <v>-3200000</v>
      </c>
      <c r="N161" s="327">
        <f>IF(A161&lt;&gt;"", Таблица36[[#This Row],[Расход]] / VLOOKUP(A161, 'Курс валют'!$A:$D, 4, 0), "")</f>
        <v>264.46280991735534</v>
      </c>
      <c r="O161" s="307"/>
    </row>
    <row r="162" spans="1:15" x14ac:dyDescent="0.45">
      <c r="A162" s="310">
        <v>46115</v>
      </c>
      <c r="B162" s="309" t="s">
        <v>581</v>
      </c>
      <c r="C162" s="301" t="s">
        <v>69</v>
      </c>
      <c r="D162" s="337">
        <v>1</v>
      </c>
      <c r="E162" s="301" t="s">
        <v>581</v>
      </c>
      <c r="F162" s="302" t="s">
        <v>175</v>
      </c>
      <c r="G162" s="301" t="s">
        <v>30</v>
      </c>
      <c r="H162" s="343"/>
      <c r="I162" s="301"/>
      <c r="J162" s="340"/>
      <c r="K162" s="303"/>
      <c r="L162" s="304">
        <f t="shared" si="4"/>
        <v>0</v>
      </c>
      <c r="M162" s="305">
        <f t="shared" si="5"/>
        <v>0</v>
      </c>
      <c r="N162" s="327">
        <f>IF(A162&lt;&gt;"", Таблица36[[#This Row],[Расход]] / VLOOKUP(A162, 'Курс валют'!$A:$D, 4, 0), "")</f>
        <v>0</v>
      </c>
      <c r="O162" s="307"/>
    </row>
    <row r="163" spans="1:15" x14ac:dyDescent="0.45">
      <c r="A163" s="310">
        <v>46115</v>
      </c>
      <c r="B163" s="309" t="s">
        <v>627</v>
      </c>
      <c r="C163" s="301" t="s">
        <v>611</v>
      </c>
      <c r="D163" s="337">
        <v>1</v>
      </c>
      <c r="E163" s="301" t="s">
        <v>22</v>
      </c>
      <c r="F163" s="302" t="s">
        <v>175</v>
      </c>
      <c r="G163" s="301" t="s">
        <v>514</v>
      </c>
      <c r="H163" s="343"/>
      <c r="I163" s="301"/>
      <c r="J163" s="340">
        <v>700000</v>
      </c>
      <c r="K163" s="303"/>
      <c r="L163" s="304">
        <f t="shared" si="4"/>
        <v>0</v>
      </c>
      <c r="M163" s="305">
        <f t="shared" si="5"/>
        <v>-700000</v>
      </c>
      <c r="N163" s="327">
        <f>IF(A163&lt;&gt;"", Таблица36[[#This Row],[Расход]] / VLOOKUP(A163, 'Курс валют'!$A:$D, 4, 0), "")</f>
        <v>57.851239669421489</v>
      </c>
      <c r="O163" s="307"/>
    </row>
    <row r="164" spans="1:15" x14ac:dyDescent="0.45">
      <c r="A164" s="310">
        <v>46116</v>
      </c>
      <c r="B164" s="309" t="s">
        <v>628</v>
      </c>
      <c r="C164" s="301" t="s">
        <v>591</v>
      </c>
      <c r="D164" s="337">
        <v>1</v>
      </c>
      <c r="E164" s="301" t="s">
        <v>22</v>
      </c>
      <c r="F164" s="302" t="s">
        <v>175</v>
      </c>
      <c r="G164" s="301" t="s">
        <v>30</v>
      </c>
      <c r="H164" s="343">
        <v>400</v>
      </c>
      <c r="I164" s="301">
        <v>12100</v>
      </c>
      <c r="J164" s="340"/>
      <c r="K164" s="303"/>
      <c r="L164" s="304">
        <f t="shared" si="4"/>
        <v>4840000</v>
      </c>
      <c r="M164" s="305">
        <f t="shared" si="5"/>
        <v>400</v>
      </c>
      <c r="N164" s="327">
        <f>IF(A164&lt;&gt;"", Таблица36[[#This Row],[Расход]] / VLOOKUP(A164, 'Курс валют'!$A:$D, 4, 0), "")</f>
        <v>0</v>
      </c>
      <c r="O164" s="307"/>
    </row>
    <row r="165" spans="1:15" x14ac:dyDescent="0.45">
      <c r="A165" s="310">
        <v>46116</v>
      </c>
      <c r="B165" s="309" t="s">
        <v>82</v>
      </c>
      <c r="C165" s="301" t="s">
        <v>59</v>
      </c>
      <c r="D165" s="337">
        <v>25</v>
      </c>
      <c r="E165" s="301" t="s">
        <v>22</v>
      </c>
      <c r="F165" s="302" t="s">
        <v>586</v>
      </c>
      <c r="G165" s="301" t="s">
        <v>514</v>
      </c>
      <c r="H165" s="343"/>
      <c r="I165" s="301"/>
      <c r="J165" s="340"/>
      <c r="K165" s="303"/>
      <c r="L165" s="304">
        <f t="shared" si="4"/>
        <v>0</v>
      </c>
      <c r="M165" s="305">
        <f t="shared" si="5"/>
        <v>0</v>
      </c>
      <c r="N165" s="327">
        <f>IF(A165&lt;&gt;"", Таблица36[[#This Row],[Расход]] / VLOOKUP(A165, 'Курс валют'!$A:$D, 4, 0), "")</f>
        <v>0</v>
      </c>
      <c r="O165" s="307"/>
    </row>
    <row r="166" spans="1:15" x14ac:dyDescent="0.45">
      <c r="A166" s="310">
        <v>46116</v>
      </c>
      <c r="B166" s="309" t="s">
        <v>22</v>
      </c>
      <c r="C166" s="301" t="s">
        <v>69</v>
      </c>
      <c r="D166" s="337">
        <v>1</v>
      </c>
      <c r="E166" s="301" t="s">
        <v>22</v>
      </c>
      <c r="F166" s="302" t="s">
        <v>586</v>
      </c>
      <c r="G166" s="301" t="s">
        <v>514</v>
      </c>
      <c r="H166" s="343"/>
      <c r="I166" s="301"/>
      <c r="J166" s="340"/>
      <c r="K166" s="303"/>
      <c r="L166" s="304">
        <f t="shared" si="4"/>
        <v>0</v>
      </c>
      <c r="M166" s="305">
        <f t="shared" si="5"/>
        <v>0</v>
      </c>
      <c r="N166" s="327">
        <f>IF(A166&lt;&gt;"", Таблица36[[#This Row],[Расход]] / VLOOKUP(A166, 'Курс валют'!$A:$D, 4, 0), "")</f>
        <v>0</v>
      </c>
      <c r="O166" s="307"/>
    </row>
    <row r="167" spans="1:15" x14ac:dyDescent="0.45">
      <c r="A167" s="310">
        <v>46116</v>
      </c>
      <c r="B167" s="309" t="s">
        <v>556</v>
      </c>
      <c r="C167" s="301" t="s">
        <v>65</v>
      </c>
      <c r="D167" s="337">
        <v>1</v>
      </c>
      <c r="E167" s="301" t="s">
        <v>91</v>
      </c>
      <c r="F167" s="302" t="s">
        <v>175</v>
      </c>
      <c r="G167" s="301" t="s">
        <v>514</v>
      </c>
      <c r="H167" s="343"/>
      <c r="I167" s="301"/>
      <c r="J167" s="340"/>
      <c r="K167" s="303"/>
      <c r="L167" s="304">
        <f t="shared" si="4"/>
        <v>0</v>
      </c>
      <c r="M167" s="305">
        <f t="shared" si="5"/>
        <v>0</v>
      </c>
      <c r="N167" s="327">
        <f>IF(A167&lt;&gt;"", Таблица36[[#This Row],[Расход]] / VLOOKUP(A167, 'Курс валют'!$A:$D, 4, 0), "")</f>
        <v>0</v>
      </c>
      <c r="O167" s="307"/>
    </row>
    <row r="168" spans="1:15" x14ac:dyDescent="0.45">
      <c r="A168" s="310">
        <v>46116</v>
      </c>
      <c r="B168" s="309" t="s">
        <v>239</v>
      </c>
      <c r="C168" s="301" t="s">
        <v>97</v>
      </c>
      <c r="D168" s="337">
        <v>1</v>
      </c>
      <c r="E168" s="301" t="s">
        <v>593</v>
      </c>
      <c r="F168" s="302" t="s">
        <v>175</v>
      </c>
      <c r="G168" s="301" t="s">
        <v>514</v>
      </c>
      <c r="H168" s="343"/>
      <c r="I168" s="301"/>
      <c r="J168" s="340">
        <v>50000</v>
      </c>
      <c r="K168" s="303"/>
      <c r="L168" s="304">
        <f t="shared" si="4"/>
        <v>0</v>
      </c>
      <c r="M168" s="305">
        <f t="shared" si="5"/>
        <v>-50000</v>
      </c>
      <c r="N168" s="327">
        <f>IF(A168&lt;&gt;"", Таблица36[[#This Row],[Расход]] / VLOOKUP(A168, 'Курс валют'!$A:$D, 4, 0), "")</f>
        <v>4.166666666666667</v>
      </c>
      <c r="O168" s="307"/>
    </row>
    <row r="169" spans="1:15" x14ac:dyDescent="0.45">
      <c r="A169" s="310">
        <v>46116</v>
      </c>
      <c r="B169" s="309" t="s">
        <v>576</v>
      </c>
      <c r="C169" s="301" t="s">
        <v>65</v>
      </c>
      <c r="D169" s="337">
        <v>1</v>
      </c>
      <c r="E169" s="301" t="s">
        <v>579</v>
      </c>
      <c r="F169" s="302" t="s">
        <v>586</v>
      </c>
      <c r="G169" s="301" t="s">
        <v>514</v>
      </c>
      <c r="H169" s="343"/>
      <c r="I169" s="301"/>
      <c r="J169" s="340">
        <v>412000</v>
      </c>
      <c r="K169" s="303"/>
      <c r="L169" s="304">
        <f t="shared" si="4"/>
        <v>0</v>
      </c>
      <c r="M169" s="305">
        <f t="shared" si="5"/>
        <v>-412000</v>
      </c>
      <c r="N169" s="327">
        <f>IF(A169&lt;&gt;"", Таблица36[[#This Row],[Расход]] / VLOOKUP(A169, 'Курс валют'!$A:$D, 4, 0), "")</f>
        <v>34.333333333333336</v>
      </c>
      <c r="O169" s="307"/>
    </row>
    <row r="170" spans="1:15" x14ac:dyDescent="0.45">
      <c r="A170" s="310">
        <v>46117</v>
      </c>
      <c r="B170" s="309" t="s">
        <v>629</v>
      </c>
      <c r="C170" s="301" t="s">
        <v>69</v>
      </c>
      <c r="D170" s="337">
        <v>4</v>
      </c>
      <c r="E170" s="301" t="s">
        <v>579</v>
      </c>
      <c r="F170" s="302" t="s">
        <v>586</v>
      </c>
      <c r="G170" s="301" t="s">
        <v>514</v>
      </c>
      <c r="H170" s="343">
        <v>2060000</v>
      </c>
      <c r="I170" s="301"/>
      <c r="J170" s="340"/>
      <c r="K170" s="303"/>
      <c r="L170" s="304">
        <f t="shared" si="4"/>
        <v>2060000</v>
      </c>
      <c r="M170" s="305">
        <f t="shared" si="5"/>
        <v>2060000</v>
      </c>
      <c r="N170" s="327">
        <f>IF(A170&lt;&gt;"", Таблица36[[#This Row],[Расход]] / VLOOKUP(A170, 'Курс валют'!$A:$D, 4, 0), "")</f>
        <v>0</v>
      </c>
      <c r="O170" s="307"/>
    </row>
    <row r="171" spans="1:15" x14ac:dyDescent="0.45">
      <c r="A171" s="310">
        <v>46118</v>
      </c>
      <c r="B171" s="309" t="s">
        <v>49</v>
      </c>
      <c r="C171" s="301" t="s">
        <v>69</v>
      </c>
      <c r="D171" s="337">
        <v>1</v>
      </c>
      <c r="E171" s="301" t="s">
        <v>579</v>
      </c>
      <c r="F171" s="302" t="s">
        <v>586</v>
      </c>
      <c r="G171" s="301" t="s">
        <v>514</v>
      </c>
      <c r="H171" s="343">
        <f>4880000*103%</f>
        <v>5026400</v>
      </c>
      <c r="I171" s="301"/>
      <c r="J171" s="340"/>
      <c r="K171" s="303"/>
      <c r="L171" s="304">
        <f t="shared" si="4"/>
        <v>5026400</v>
      </c>
      <c r="M171" s="305">
        <f t="shared" si="5"/>
        <v>5026400</v>
      </c>
      <c r="N171" s="327">
        <f>IF(A171&lt;&gt;"", Таблица36[[#This Row],[Расход]] / VLOOKUP(A171, 'Курс валют'!$A:$D, 4, 0), "")</f>
        <v>0</v>
      </c>
      <c r="O171" s="307"/>
    </row>
    <row r="172" spans="1:15" x14ac:dyDescent="0.45">
      <c r="A172" s="310">
        <v>46118</v>
      </c>
      <c r="B172" s="309" t="s">
        <v>630</v>
      </c>
      <c r="C172" s="301" t="s">
        <v>65</v>
      </c>
      <c r="D172" s="337">
        <v>1</v>
      </c>
      <c r="E172" s="301" t="s">
        <v>581</v>
      </c>
      <c r="F172" s="302" t="s">
        <v>586</v>
      </c>
      <c r="G172" s="301" t="s">
        <v>514</v>
      </c>
      <c r="H172" s="343">
        <f>130000*103%</f>
        <v>133900</v>
      </c>
      <c r="I172" s="301"/>
      <c r="J172" s="340"/>
      <c r="K172" s="303"/>
      <c r="L172" s="304">
        <f t="shared" si="4"/>
        <v>133900</v>
      </c>
      <c r="M172" s="305">
        <f t="shared" si="5"/>
        <v>133900</v>
      </c>
      <c r="N172" s="327">
        <f>IF(A172&lt;&gt;"", Таблица36[[#This Row],[Расход]] / VLOOKUP(A172, 'Курс валют'!$A:$D, 4, 0), "")</f>
        <v>0</v>
      </c>
      <c r="O172" s="307"/>
    </row>
    <row r="173" spans="1:15" x14ac:dyDescent="0.45">
      <c r="A173" s="310">
        <v>46118</v>
      </c>
      <c r="B173" s="309" t="s">
        <v>581</v>
      </c>
      <c r="C173" s="301" t="s">
        <v>69</v>
      </c>
      <c r="D173" s="337">
        <v>1</v>
      </c>
      <c r="E173" s="301" t="s">
        <v>581</v>
      </c>
      <c r="F173" s="302" t="s">
        <v>586</v>
      </c>
      <c r="G173" s="301" t="s">
        <v>514</v>
      </c>
      <c r="H173" s="343">
        <f>7116000*103%</f>
        <v>7329480</v>
      </c>
      <c r="I173" s="301"/>
      <c r="J173" s="340"/>
      <c r="K173" s="303"/>
      <c r="L173" s="304">
        <f t="shared" si="4"/>
        <v>7329480</v>
      </c>
      <c r="M173" s="305">
        <f t="shared" si="5"/>
        <v>7329480</v>
      </c>
      <c r="N173" s="327">
        <f>IF(A173&lt;&gt;"", Таблица36[[#This Row],[Расход]] / VLOOKUP(A173, 'Курс валют'!$A:$D, 4, 0), "")</f>
        <v>0</v>
      </c>
      <c r="O173" s="307"/>
    </row>
    <row r="174" spans="1:15" x14ac:dyDescent="0.45">
      <c r="A174" s="310">
        <v>46120</v>
      </c>
      <c r="B174" s="309" t="s">
        <v>325</v>
      </c>
      <c r="C174" s="301" t="s">
        <v>69</v>
      </c>
      <c r="D174" s="337">
        <v>1</v>
      </c>
      <c r="E174" s="301" t="s">
        <v>581</v>
      </c>
      <c r="F174" s="302" t="s">
        <v>586</v>
      </c>
      <c r="G174" s="301" t="s">
        <v>514</v>
      </c>
      <c r="H174" s="343">
        <f>346500*103%</f>
        <v>356895</v>
      </c>
      <c r="I174" s="301"/>
      <c r="J174" s="340"/>
      <c r="K174" s="303"/>
      <c r="L174" s="304">
        <f t="shared" si="4"/>
        <v>356895</v>
      </c>
      <c r="M174" s="305">
        <f t="shared" si="5"/>
        <v>356895</v>
      </c>
      <c r="N174" s="327">
        <f>IF(A174&lt;&gt;"", Таблица36[[#This Row],[Расход]] / VLOOKUP(A174, 'Курс валют'!$A:$D, 4, 0), "")</f>
        <v>0</v>
      </c>
      <c r="O174" s="307"/>
    </row>
    <row r="175" spans="1:15" x14ac:dyDescent="0.45">
      <c r="A175" s="310">
        <v>46121</v>
      </c>
      <c r="B175" s="309" t="s">
        <v>559</v>
      </c>
      <c r="C175" s="301" t="s">
        <v>65</v>
      </c>
      <c r="D175" s="337">
        <v>1</v>
      </c>
      <c r="E175" s="301" t="s">
        <v>631</v>
      </c>
      <c r="F175" s="302" t="s">
        <v>175</v>
      </c>
      <c r="G175" s="301" t="s">
        <v>514</v>
      </c>
      <c r="H175" s="343">
        <v>2000000</v>
      </c>
      <c r="I175" s="301"/>
      <c r="J175" s="340"/>
      <c r="K175" s="303"/>
      <c r="L175" s="304">
        <f t="shared" si="4"/>
        <v>2000000</v>
      </c>
      <c r="M175" s="305">
        <f t="shared" si="5"/>
        <v>2000000</v>
      </c>
      <c r="N175" s="327">
        <f>IF(A175&lt;&gt;"", Таблица36[[#This Row],[Расход]] / VLOOKUP(A175, 'Курс валют'!$A:$D, 4, 0), "")</f>
        <v>0</v>
      </c>
      <c r="O175" s="307"/>
    </row>
    <row r="176" spans="1:15" x14ac:dyDescent="0.45">
      <c r="A176" s="310">
        <v>46122</v>
      </c>
      <c r="B176" s="309" t="s">
        <v>628</v>
      </c>
      <c r="C176" s="301"/>
      <c r="D176" s="337"/>
      <c r="E176" s="301" t="s">
        <v>145</v>
      </c>
      <c r="F176" s="302" t="s">
        <v>586</v>
      </c>
      <c r="G176" s="301" t="s">
        <v>514</v>
      </c>
      <c r="H176" s="343">
        <v>12000000</v>
      </c>
      <c r="I176" s="301"/>
      <c r="J176" s="340"/>
      <c r="K176" s="303"/>
      <c r="L176" s="304"/>
      <c r="M176" s="305"/>
      <c r="N176" s="327">
        <f>IF(A176&lt;&gt;"", Таблица36[[#This Row],[Расход]] / VLOOKUP(A176, 'Курс валют'!$A:$D, 4, 0), "")</f>
        <v>0</v>
      </c>
      <c r="O176" s="307"/>
    </row>
    <row r="177" spans="1:15" x14ac:dyDescent="0.45">
      <c r="A177" s="310">
        <v>46122</v>
      </c>
      <c r="B177" s="309" t="s">
        <v>632</v>
      </c>
      <c r="C177" s="301" t="s">
        <v>69</v>
      </c>
      <c r="D177" s="337">
        <v>1</v>
      </c>
      <c r="E177" s="301" t="s">
        <v>559</v>
      </c>
      <c r="F177" s="302" t="s">
        <v>586</v>
      </c>
      <c r="G177" s="301" t="s">
        <v>514</v>
      </c>
      <c r="H177" s="343"/>
      <c r="I177" s="301"/>
      <c r="J177" s="340"/>
      <c r="K177" s="303"/>
      <c r="L177" s="304">
        <f t="shared" si="4"/>
        <v>0</v>
      </c>
      <c r="M177" s="305">
        <f t="shared" si="5"/>
        <v>0</v>
      </c>
      <c r="N177" s="327">
        <f>IF(A177&lt;&gt;"", Таблица36[[#This Row],[Расход]] / VLOOKUP(A177, 'Курс валют'!$A:$D, 4, 0), "")</f>
        <v>0</v>
      </c>
      <c r="O177" s="307"/>
    </row>
    <row r="178" spans="1:15" x14ac:dyDescent="0.45">
      <c r="A178" s="310">
        <v>46122</v>
      </c>
      <c r="B178" s="309" t="s">
        <v>633</v>
      </c>
      <c r="C178" s="301" t="s">
        <v>85</v>
      </c>
      <c r="D178" s="337">
        <v>108</v>
      </c>
      <c r="E178" s="301" t="s">
        <v>579</v>
      </c>
      <c r="F178" s="302" t="s">
        <v>175</v>
      </c>
      <c r="G178" s="301" t="s">
        <v>514</v>
      </c>
      <c r="H178" s="343"/>
      <c r="I178" s="301"/>
      <c r="J178" s="340"/>
      <c r="K178" s="303"/>
      <c r="L178" s="304">
        <f t="shared" si="4"/>
        <v>0</v>
      </c>
      <c r="M178" s="305">
        <f t="shared" si="5"/>
        <v>0</v>
      </c>
      <c r="N178" s="327">
        <f>IF(A178&lt;&gt;"", Таблица36[[#This Row],[Расход]] / VLOOKUP(A178, 'Курс валют'!$A:$D, 4, 0), "")</f>
        <v>0</v>
      </c>
      <c r="O178" s="307"/>
    </row>
    <row r="179" spans="1:15" x14ac:dyDescent="0.45">
      <c r="A179" s="310">
        <v>46122</v>
      </c>
      <c r="B179" s="309" t="s">
        <v>634</v>
      </c>
      <c r="C179" s="301" t="s">
        <v>65</v>
      </c>
      <c r="D179" s="337">
        <v>1</v>
      </c>
      <c r="E179" s="301" t="s">
        <v>635</v>
      </c>
      <c r="F179" s="302" t="s">
        <v>586</v>
      </c>
      <c r="G179" s="301" t="s">
        <v>514</v>
      </c>
      <c r="H179" s="343"/>
      <c r="I179" s="301"/>
      <c r="J179" s="340"/>
      <c r="K179" s="303"/>
      <c r="L179" s="304">
        <f t="shared" si="4"/>
        <v>0</v>
      </c>
      <c r="M179" s="305">
        <f t="shared" si="5"/>
        <v>0</v>
      </c>
      <c r="N179" s="327">
        <f>IF(A179&lt;&gt;"", Таблица36[[#This Row],[Расход]] / VLOOKUP(A179, 'Курс валют'!$A:$D, 4, 0), "")</f>
        <v>0</v>
      </c>
      <c r="O179" s="307"/>
    </row>
    <row r="180" spans="1:15" x14ac:dyDescent="0.45">
      <c r="A180" s="310">
        <v>46123</v>
      </c>
      <c r="B180" s="309" t="s">
        <v>82</v>
      </c>
      <c r="C180" s="301" t="s">
        <v>59</v>
      </c>
      <c r="D180" s="337">
        <v>25</v>
      </c>
      <c r="E180" s="301" t="s">
        <v>22</v>
      </c>
      <c r="F180" s="302" t="s">
        <v>586</v>
      </c>
      <c r="G180" s="301" t="s">
        <v>514</v>
      </c>
      <c r="H180" s="343"/>
      <c r="I180" s="301"/>
      <c r="J180" s="340"/>
      <c r="K180" s="303"/>
      <c r="L180" s="304">
        <f t="shared" si="4"/>
        <v>0</v>
      </c>
      <c r="M180" s="305">
        <f t="shared" si="5"/>
        <v>0</v>
      </c>
      <c r="N180" s="327">
        <f>IF(A180&lt;&gt;"", Таблица36[[#This Row],[Расход]] / VLOOKUP(A180, 'Курс валют'!$A:$D, 4, 0), "")</f>
        <v>0</v>
      </c>
      <c r="O180" s="307"/>
    </row>
    <row r="181" spans="1:15" x14ac:dyDescent="0.45">
      <c r="A181" s="310">
        <v>46123</v>
      </c>
      <c r="B181" s="309" t="s">
        <v>525</v>
      </c>
      <c r="C181" s="301" t="s">
        <v>69</v>
      </c>
      <c r="D181" s="337">
        <v>1</v>
      </c>
      <c r="E181" s="301" t="s">
        <v>22</v>
      </c>
      <c r="F181" s="302" t="s">
        <v>586</v>
      </c>
      <c r="G181" s="301" t="s">
        <v>514</v>
      </c>
      <c r="H181" s="343"/>
      <c r="I181" s="301"/>
      <c r="J181" s="340"/>
      <c r="K181" s="303"/>
      <c r="L181" s="304">
        <f t="shared" si="4"/>
        <v>0</v>
      </c>
      <c r="M181" s="305">
        <f t="shared" si="5"/>
        <v>0</v>
      </c>
      <c r="N181" s="327">
        <f>IF(A181&lt;&gt;"", Таблица36[[#This Row],[Расход]] / VLOOKUP(A181, 'Курс валют'!$A:$D, 4, 0), "")</f>
        <v>0</v>
      </c>
      <c r="O181" s="307"/>
    </row>
    <row r="182" spans="1:15" x14ac:dyDescent="0.45">
      <c r="A182" s="310">
        <v>46125</v>
      </c>
      <c r="B182" s="309" t="s">
        <v>554</v>
      </c>
      <c r="C182" s="301" t="s">
        <v>97</v>
      </c>
      <c r="D182" s="337">
        <v>320</v>
      </c>
      <c r="E182" s="301" t="s">
        <v>581</v>
      </c>
      <c r="F182" s="302" t="s">
        <v>586</v>
      </c>
      <c r="G182" s="301" t="s">
        <v>514</v>
      </c>
      <c r="H182" s="343"/>
      <c r="I182" s="301"/>
      <c r="J182" s="340"/>
      <c r="K182" s="303"/>
      <c r="L182" s="304">
        <f t="shared" si="4"/>
        <v>0</v>
      </c>
      <c r="M182" s="305">
        <f t="shared" si="5"/>
        <v>0</v>
      </c>
      <c r="N182" s="327">
        <f>IF(A182&lt;&gt;"", Таблица36[[#This Row],[Расход]] / VLOOKUP(A182, 'Курс валют'!$A:$D, 4, 0), "")</f>
        <v>0</v>
      </c>
      <c r="O182" s="307"/>
    </row>
    <row r="183" spans="1:15" x14ac:dyDescent="0.45">
      <c r="A183" s="310">
        <v>46125</v>
      </c>
      <c r="B183" s="309" t="s">
        <v>636</v>
      </c>
      <c r="C183" s="301" t="s">
        <v>65</v>
      </c>
      <c r="D183" s="337">
        <v>1</v>
      </c>
      <c r="E183" s="301" t="s">
        <v>91</v>
      </c>
      <c r="F183" s="302" t="s">
        <v>175</v>
      </c>
      <c r="G183" s="301" t="s">
        <v>514</v>
      </c>
      <c r="H183" s="343"/>
      <c r="I183" s="301"/>
      <c r="J183" s="340"/>
      <c r="K183" s="303"/>
      <c r="L183" s="304">
        <f t="shared" si="4"/>
        <v>0</v>
      </c>
      <c r="M183" s="305">
        <f t="shared" si="5"/>
        <v>0</v>
      </c>
      <c r="N183" s="327">
        <f>IF(A183&lt;&gt;"", Таблица36[[#This Row],[Расход]] / VLOOKUP(A183, 'Курс валют'!$A:$D, 4, 0), "")</f>
        <v>0</v>
      </c>
      <c r="O183" s="307"/>
    </row>
    <row r="184" spans="1:15" x14ac:dyDescent="0.45">
      <c r="A184" s="310">
        <v>46125</v>
      </c>
      <c r="B184" s="309" t="s">
        <v>567</v>
      </c>
      <c r="C184" s="301" t="s">
        <v>69</v>
      </c>
      <c r="D184" s="337">
        <v>1</v>
      </c>
      <c r="E184" s="301" t="s">
        <v>581</v>
      </c>
      <c r="F184" s="302" t="s">
        <v>586</v>
      </c>
      <c r="G184" s="301" t="s">
        <v>514</v>
      </c>
      <c r="H184" s="343"/>
      <c r="I184" s="301"/>
      <c r="J184" s="340"/>
      <c r="K184" s="303"/>
      <c r="L184" s="304">
        <f t="shared" si="4"/>
        <v>0</v>
      </c>
      <c r="M184" s="305">
        <f t="shared" si="5"/>
        <v>0</v>
      </c>
      <c r="N184" s="327">
        <f>IF(A184&lt;&gt;"", Таблица36[[#This Row],[Расход]] / VLOOKUP(A184, 'Курс валют'!$A:$D, 4, 0), "")</f>
        <v>0</v>
      </c>
      <c r="O184" s="307"/>
    </row>
    <row r="185" spans="1:15" x14ac:dyDescent="0.45">
      <c r="A185" s="310">
        <v>46129</v>
      </c>
      <c r="B185" s="309" t="s">
        <v>637</v>
      </c>
      <c r="C185" s="301" t="s">
        <v>65</v>
      </c>
      <c r="D185" s="337">
        <v>1</v>
      </c>
      <c r="E185" s="301" t="s">
        <v>91</v>
      </c>
      <c r="F185" s="302" t="s">
        <v>175</v>
      </c>
      <c r="G185" s="301" t="s">
        <v>514</v>
      </c>
      <c r="H185" s="343">
        <v>1800000</v>
      </c>
      <c r="I185" s="301"/>
      <c r="J185" s="340"/>
      <c r="K185" s="303"/>
      <c r="L185" s="304">
        <f t="shared" si="4"/>
        <v>1800000</v>
      </c>
      <c r="M185" s="305">
        <f t="shared" si="5"/>
        <v>1800000</v>
      </c>
      <c r="N185" s="327">
        <f>IF(A185&lt;&gt;"", Таблица36[[#This Row],[Расход]] / VLOOKUP(A185, 'Курс валют'!$A:$D, 4, 0), "")</f>
        <v>0</v>
      </c>
      <c r="O185" s="307"/>
    </row>
    <row r="186" spans="1:15" x14ac:dyDescent="0.45">
      <c r="A186" s="310">
        <v>46127</v>
      </c>
      <c r="B186" s="309" t="s">
        <v>595</v>
      </c>
      <c r="C186" s="301" t="s">
        <v>591</v>
      </c>
      <c r="D186" s="337">
        <v>1</v>
      </c>
      <c r="E186" s="301" t="s">
        <v>145</v>
      </c>
      <c r="F186" s="302" t="s">
        <v>175</v>
      </c>
      <c r="G186" s="301" t="s">
        <v>514</v>
      </c>
      <c r="H186" s="343">
        <v>11500000</v>
      </c>
      <c r="I186" s="301"/>
      <c r="J186" s="340">
        <v>1145000</v>
      </c>
      <c r="K186" s="303"/>
      <c r="L186" s="304">
        <f t="shared" si="4"/>
        <v>11500000</v>
      </c>
      <c r="M186" s="305">
        <f t="shared" si="5"/>
        <v>10355000</v>
      </c>
      <c r="N186" s="327">
        <f>IF(A186&lt;&gt;"", Таблица36[[#This Row],[Расход]] / VLOOKUP(A186, 'Курс валют'!$A:$D, 4, 0), "")</f>
        <v>95.416666666666671</v>
      </c>
      <c r="O186" s="307"/>
    </row>
    <row r="187" spans="1:15" x14ac:dyDescent="0.45">
      <c r="A187" s="310">
        <v>46129</v>
      </c>
      <c r="B187" s="309" t="s">
        <v>82</v>
      </c>
      <c r="C187" s="301" t="s">
        <v>611</v>
      </c>
      <c r="D187" s="337">
        <v>1</v>
      </c>
      <c r="E187" s="301" t="s">
        <v>22</v>
      </c>
      <c r="F187" s="302" t="s">
        <v>586</v>
      </c>
      <c r="G187" s="301" t="s">
        <v>514</v>
      </c>
      <c r="H187" s="343"/>
      <c r="I187" s="301"/>
      <c r="J187" s="340"/>
      <c r="K187" s="303"/>
      <c r="L187" s="304">
        <f t="shared" si="4"/>
        <v>0</v>
      </c>
      <c r="M187" s="305">
        <f t="shared" si="5"/>
        <v>0</v>
      </c>
      <c r="N187" s="327">
        <f>IF(A187&lt;&gt;"", Таблица36[[#This Row],[Расход]] / VLOOKUP(A187, 'Курс валют'!$A:$D, 4, 0), "")</f>
        <v>0</v>
      </c>
      <c r="O187" s="307"/>
    </row>
    <row r="188" spans="1:15" x14ac:dyDescent="0.45">
      <c r="A188" s="310">
        <v>46129</v>
      </c>
      <c r="B188" s="309" t="s">
        <v>525</v>
      </c>
      <c r="C188" s="301" t="s">
        <v>69</v>
      </c>
      <c r="D188" s="337">
        <v>1</v>
      </c>
      <c r="E188" s="301" t="s">
        <v>22</v>
      </c>
      <c r="F188" s="302" t="s">
        <v>586</v>
      </c>
      <c r="G188" s="301" t="s">
        <v>514</v>
      </c>
      <c r="H188" s="343">
        <v>80000</v>
      </c>
      <c r="I188" s="301"/>
      <c r="J188" s="340"/>
      <c r="K188" s="303"/>
      <c r="L188" s="304">
        <f t="shared" si="4"/>
        <v>80000</v>
      </c>
      <c r="M188" s="305">
        <f t="shared" si="5"/>
        <v>80000</v>
      </c>
      <c r="N188" s="327">
        <f>IF(A188&lt;&gt;"", Таблица36[[#This Row],[Расход]] / VLOOKUP(A188, 'Курс валют'!$A:$D, 4, 0), "")</f>
        <v>0</v>
      </c>
      <c r="O188" s="307"/>
    </row>
    <row r="189" spans="1:15" x14ac:dyDescent="0.45">
      <c r="A189" s="310">
        <v>46129</v>
      </c>
      <c r="B189" s="309" t="s">
        <v>616</v>
      </c>
      <c r="C189" s="301" t="s">
        <v>85</v>
      </c>
      <c r="D189" s="337">
        <v>500</v>
      </c>
      <c r="E189" s="301" t="s">
        <v>581</v>
      </c>
      <c r="F189" s="302" t="s">
        <v>586</v>
      </c>
      <c r="G189" s="301" t="s">
        <v>514</v>
      </c>
      <c r="H189" s="343"/>
      <c r="I189" s="301"/>
      <c r="J189" s="340"/>
      <c r="K189" s="303"/>
      <c r="L189" s="304">
        <f t="shared" si="4"/>
        <v>0</v>
      </c>
      <c r="M189" s="305">
        <f t="shared" si="5"/>
        <v>0</v>
      </c>
      <c r="N189" s="327">
        <f>IF(A189&lt;&gt;"", Таблица36[[#This Row],[Расход]] / VLOOKUP(A189, 'Курс валют'!$A:$D, 4, 0), "")</f>
        <v>0</v>
      </c>
      <c r="O189" s="307"/>
    </row>
    <row r="190" spans="1:15" x14ac:dyDescent="0.45">
      <c r="A190" s="310">
        <v>46132</v>
      </c>
      <c r="B190" s="309" t="s">
        <v>623</v>
      </c>
      <c r="C190" s="301" t="s">
        <v>543</v>
      </c>
      <c r="D190" s="337">
        <v>3</v>
      </c>
      <c r="E190" s="301" t="s">
        <v>624</v>
      </c>
      <c r="F190" s="302" t="s">
        <v>175</v>
      </c>
      <c r="G190" s="301" t="s">
        <v>514</v>
      </c>
      <c r="H190" s="343"/>
      <c r="I190" s="301"/>
      <c r="J190" s="340">
        <v>150000</v>
      </c>
      <c r="K190" s="303"/>
      <c r="L190" s="304">
        <f t="shared" si="4"/>
        <v>0</v>
      </c>
      <c r="M190" s="305">
        <f t="shared" si="5"/>
        <v>-150000</v>
      </c>
      <c r="N190" s="327">
        <f>IF(A190&lt;&gt;"", Таблица36[[#This Row],[Расход]] / VLOOKUP(A190, 'Курс валют'!$A:$D, 4, 0), "")</f>
        <v>12.458471760797343</v>
      </c>
      <c r="O190" s="307"/>
    </row>
    <row r="191" spans="1:15" x14ac:dyDescent="0.45">
      <c r="A191" s="310">
        <v>46132</v>
      </c>
      <c r="B191" s="309" t="s">
        <v>590</v>
      </c>
      <c r="C191" s="301" t="s">
        <v>591</v>
      </c>
      <c r="D191" s="337">
        <v>1</v>
      </c>
      <c r="E191" s="301" t="s">
        <v>145</v>
      </c>
      <c r="F191" s="302" t="s">
        <v>175</v>
      </c>
      <c r="G191" s="301" t="s">
        <v>30</v>
      </c>
      <c r="H191" s="343">
        <v>1700</v>
      </c>
      <c r="I191" s="301">
        <v>12040</v>
      </c>
      <c r="J191" s="340"/>
      <c r="K191" s="303"/>
      <c r="L191" s="304">
        <f t="shared" si="4"/>
        <v>20468000</v>
      </c>
      <c r="M191" s="305">
        <f t="shared" si="5"/>
        <v>1700</v>
      </c>
      <c r="N191" s="327">
        <f>IF(A191&lt;&gt;"", Таблица36[[#This Row],[Расход]] / VLOOKUP(A191, 'Курс валют'!$A:$D, 4, 0), "")</f>
        <v>0</v>
      </c>
      <c r="O191" s="307"/>
    </row>
    <row r="192" spans="1:15" x14ac:dyDescent="0.45">
      <c r="A192" s="310">
        <v>46132</v>
      </c>
      <c r="B192" s="309" t="s">
        <v>228</v>
      </c>
      <c r="C192" s="301" t="s">
        <v>59</v>
      </c>
      <c r="D192" s="337">
        <v>1011</v>
      </c>
      <c r="E192" s="301" t="s">
        <v>581</v>
      </c>
      <c r="F192" s="302" t="s">
        <v>175</v>
      </c>
      <c r="G192" s="301" t="s">
        <v>514</v>
      </c>
      <c r="H192" s="343"/>
      <c r="I192" s="301"/>
      <c r="J192" s="340"/>
      <c r="K192" s="303"/>
      <c r="L192" s="304">
        <f t="shared" si="4"/>
        <v>0</v>
      </c>
      <c r="M192" s="305">
        <f t="shared" si="5"/>
        <v>0</v>
      </c>
      <c r="N192" s="327">
        <f>IF(A192&lt;&gt;"", Таблица36[[#This Row],[Расход]] / VLOOKUP(A192, 'Курс валют'!$A:$D, 4, 0), "")</f>
        <v>0</v>
      </c>
      <c r="O192" s="307"/>
    </row>
    <row r="193" spans="1:15" x14ac:dyDescent="0.45">
      <c r="A193" s="310">
        <v>46132</v>
      </c>
      <c r="B193" s="309" t="s">
        <v>613</v>
      </c>
      <c r="C193" s="301" t="s">
        <v>69</v>
      </c>
      <c r="D193" s="337">
        <v>24</v>
      </c>
      <c r="E193" s="301" t="s">
        <v>581</v>
      </c>
      <c r="F193" s="302" t="s">
        <v>586</v>
      </c>
      <c r="G193" s="301" t="s">
        <v>514</v>
      </c>
      <c r="H193" s="343"/>
      <c r="I193" s="301"/>
      <c r="J193" s="340"/>
      <c r="K193" s="303"/>
      <c r="L193" s="304">
        <f t="shared" si="4"/>
        <v>0</v>
      </c>
      <c r="M193" s="305">
        <f t="shared" si="5"/>
        <v>0</v>
      </c>
      <c r="N193" s="327">
        <f>IF(A193&lt;&gt;"", Таблица36[[#This Row],[Расход]] / VLOOKUP(A193, 'Курс валют'!$A:$D, 4, 0), "")</f>
        <v>0</v>
      </c>
      <c r="O193" s="307"/>
    </row>
    <row r="194" spans="1:15" x14ac:dyDescent="0.45">
      <c r="A194" s="310">
        <v>46132</v>
      </c>
      <c r="B194" s="309" t="s">
        <v>534</v>
      </c>
      <c r="C194" s="301" t="s">
        <v>69</v>
      </c>
      <c r="D194" s="337">
        <v>1</v>
      </c>
      <c r="E194" s="301" t="s">
        <v>638</v>
      </c>
      <c r="F194" s="302" t="s">
        <v>586</v>
      </c>
      <c r="G194" s="301" t="s">
        <v>514</v>
      </c>
      <c r="H194" s="343"/>
      <c r="I194" s="301"/>
      <c r="J194" s="340">
        <v>244000</v>
      </c>
      <c r="K194" s="303"/>
      <c r="L194" s="304">
        <f t="shared" si="4"/>
        <v>0</v>
      </c>
      <c r="M194" s="305">
        <f t="shared" si="5"/>
        <v>-244000</v>
      </c>
      <c r="N194" s="327">
        <f>IF(A194&lt;&gt;"", Таблица36[[#This Row],[Расход]] / VLOOKUP(A194, 'Курс валют'!$A:$D, 4, 0), "")</f>
        <v>20.26578073089701</v>
      </c>
      <c r="O194" s="307"/>
    </row>
    <row r="195" spans="1:15" x14ac:dyDescent="0.45">
      <c r="A195" s="310">
        <v>46132</v>
      </c>
      <c r="B195" s="309" t="s">
        <v>614</v>
      </c>
      <c r="C195" s="301" t="s">
        <v>69</v>
      </c>
      <c r="D195" s="337">
        <v>1</v>
      </c>
      <c r="E195" s="301" t="s">
        <v>581</v>
      </c>
      <c r="F195" s="302" t="s">
        <v>175</v>
      </c>
      <c r="G195" s="301" t="s">
        <v>514</v>
      </c>
      <c r="H195" s="343"/>
      <c r="I195" s="301"/>
      <c r="J195" s="340">
        <v>400000</v>
      </c>
      <c r="K195" s="303"/>
      <c r="L195" s="304">
        <f t="shared" si="4"/>
        <v>0</v>
      </c>
      <c r="M195" s="305">
        <f t="shared" si="5"/>
        <v>-400000</v>
      </c>
      <c r="N195" s="327">
        <f>IF(A195&lt;&gt;"", Таблица36[[#This Row],[Расход]] / VLOOKUP(A195, 'Курс валют'!$A:$D, 4, 0), "")</f>
        <v>33.222591362126245</v>
      </c>
      <c r="O195" s="307"/>
    </row>
    <row r="196" spans="1:15" x14ac:dyDescent="0.45">
      <c r="A196" s="310">
        <v>46132</v>
      </c>
      <c r="B196" s="309" t="s">
        <v>639</v>
      </c>
      <c r="C196" s="301" t="s">
        <v>69</v>
      </c>
      <c r="D196" s="337">
        <v>1</v>
      </c>
      <c r="E196" s="301" t="s">
        <v>625</v>
      </c>
      <c r="F196" s="302" t="s">
        <v>175</v>
      </c>
      <c r="G196" s="301" t="s">
        <v>514</v>
      </c>
      <c r="H196" s="343"/>
      <c r="I196" s="301"/>
      <c r="J196" s="340">
        <v>60000</v>
      </c>
      <c r="K196" s="303"/>
      <c r="L196" s="304">
        <f t="shared" si="4"/>
        <v>0</v>
      </c>
      <c r="M196" s="305">
        <f t="shared" si="5"/>
        <v>-60000</v>
      </c>
      <c r="N196" s="327">
        <f>IF(A196&lt;&gt;"", Таблица36[[#This Row],[Расход]] / VLOOKUP(A196, 'Курс валют'!$A:$D, 4, 0), "")</f>
        <v>4.9833887043189371</v>
      </c>
      <c r="O196" s="307"/>
    </row>
    <row r="197" spans="1:15" x14ac:dyDescent="0.45">
      <c r="A197" s="310">
        <v>46134</v>
      </c>
      <c r="B197" s="309" t="s">
        <v>576</v>
      </c>
      <c r="C197" s="301" t="s">
        <v>65</v>
      </c>
      <c r="D197" s="337">
        <v>1</v>
      </c>
      <c r="E197" s="301" t="s">
        <v>641</v>
      </c>
      <c r="F197" s="302" t="s">
        <v>586</v>
      </c>
      <c r="G197" s="301" t="s">
        <v>514</v>
      </c>
      <c r="H197" s="343"/>
      <c r="I197" s="301"/>
      <c r="J197" s="340">
        <v>230000</v>
      </c>
      <c r="K197" s="303"/>
      <c r="L197" s="304">
        <f t="shared" si="4"/>
        <v>0</v>
      </c>
      <c r="M197" s="305">
        <f t="shared" si="5"/>
        <v>-230000</v>
      </c>
      <c r="N197" s="327">
        <f>IF(A197&lt;&gt;"", Таблица36[[#This Row],[Расход]] / VLOOKUP(A197, 'Курс валют'!$A:$D, 4, 0), "")</f>
        <v>18.961253091508656</v>
      </c>
      <c r="O197" s="307"/>
    </row>
    <row r="198" spans="1:15" x14ac:dyDescent="0.45">
      <c r="A198" s="310">
        <v>46134</v>
      </c>
      <c r="B198" s="309" t="s">
        <v>642</v>
      </c>
      <c r="C198" s="301" t="s">
        <v>69</v>
      </c>
      <c r="D198" s="337">
        <v>38</v>
      </c>
      <c r="E198" s="301" t="s">
        <v>641</v>
      </c>
      <c r="F198" s="302" t="s">
        <v>175</v>
      </c>
      <c r="G198" s="301" t="s">
        <v>30</v>
      </c>
      <c r="H198" s="343">
        <v>800</v>
      </c>
      <c r="I198" s="301">
        <v>12000</v>
      </c>
      <c r="J198" s="340">
        <v>800</v>
      </c>
      <c r="K198" s="303">
        <v>12000</v>
      </c>
      <c r="L198" s="304">
        <f t="shared" si="4"/>
        <v>0</v>
      </c>
      <c r="M198" s="305">
        <f t="shared" si="5"/>
        <v>0</v>
      </c>
      <c r="N198" s="327">
        <f>IF(A198&lt;&gt;"", Таблица36[[#This Row],[Расход]] / VLOOKUP(A198, 'Курс валют'!$A:$D, 4, 0), "")</f>
        <v>6.5952184666117061E-2</v>
      </c>
      <c r="O198" s="307"/>
    </row>
    <row r="199" spans="1:15" x14ac:dyDescent="0.45">
      <c r="A199" s="310">
        <v>46136</v>
      </c>
      <c r="B199" s="309" t="s">
        <v>82</v>
      </c>
      <c r="C199" s="301" t="s">
        <v>611</v>
      </c>
      <c r="D199" s="337">
        <v>30</v>
      </c>
      <c r="E199" s="301" t="s">
        <v>611</v>
      </c>
      <c r="F199" s="302" t="s">
        <v>586</v>
      </c>
      <c r="G199" s="301" t="s">
        <v>514</v>
      </c>
      <c r="H199" s="343"/>
      <c r="I199" s="301"/>
      <c r="J199" s="340"/>
      <c r="K199" s="303"/>
      <c r="L199" s="304">
        <f t="shared" si="4"/>
        <v>0</v>
      </c>
      <c r="M199" s="305">
        <f t="shared" si="5"/>
        <v>0</v>
      </c>
      <c r="N199" s="327">
        <f>IF(A199&lt;&gt;"", Таблица36[[#This Row],[Расход]] / VLOOKUP(A199, 'Курс валют'!$A:$D, 4, 0), "")</f>
        <v>0</v>
      </c>
      <c r="O199" s="307"/>
    </row>
    <row r="200" spans="1:15" x14ac:dyDescent="0.45">
      <c r="A200" s="310">
        <v>46136</v>
      </c>
      <c r="B200" s="309" t="s">
        <v>22</v>
      </c>
      <c r="C200" s="301" t="s">
        <v>611</v>
      </c>
      <c r="D200" s="337">
        <v>1</v>
      </c>
      <c r="E200" s="301" t="s">
        <v>611</v>
      </c>
      <c r="F200" s="302" t="s">
        <v>586</v>
      </c>
      <c r="G200" s="301" t="s">
        <v>514</v>
      </c>
      <c r="H200" s="343"/>
      <c r="I200" s="301"/>
      <c r="J200" s="340"/>
      <c r="K200" s="303"/>
      <c r="L200" s="304">
        <f t="shared" si="4"/>
        <v>0</v>
      </c>
      <c r="M200" s="305">
        <f t="shared" si="5"/>
        <v>0</v>
      </c>
      <c r="N200" s="327">
        <f>IF(A200&lt;&gt;"", Таблица36[[#This Row],[Расход]] / VLOOKUP(A200, 'Курс валют'!$A:$D, 4, 0), "")</f>
        <v>0</v>
      </c>
      <c r="O200" s="307"/>
    </row>
    <row r="201" spans="1:15" x14ac:dyDescent="0.45">
      <c r="A201" s="310">
        <f ca="1">TODAY()</f>
        <v>46179</v>
      </c>
      <c r="B201" s="309"/>
      <c r="C201" s="301"/>
      <c r="D201" s="337"/>
      <c r="E201" s="301"/>
      <c r="F201" s="302"/>
      <c r="G201" s="301" t="s">
        <v>30</v>
      </c>
      <c r="H201" s="343">
        <v>200</v>
      </c>
      <c r="I201" s="301">
        <v>12070</v>
      </c>
      <c r="J201" s="340"/>
      <c r="K201" s="303"/>
      <c r="L201" s="304">
        <f t="shared" si="4"/>
        <v>2414000</v>
      </c>
      <c r="M201" s="305">
        <f t="shared" si="5"/>
        <v>200</v>
      </c>
      <c r="N201" s="327" t="e">
        <f ca="1">IF(A201&lt;&gt;"", Таблица36[[#This Row],[Расход]] / VLOOKUP(A201, 'Курс валют'!$A:$D, 4, 0), "")</f>
        <v>#DIV/0!</v>
      </c>
      <c r="O201" s="307"/>
    </row>
    <row r="202" spans="1:15" x14ac:dyDescent="0.45">
      <c r="A202" s="310">
        <f ca="1">TODAY()</f>
        <v>46179</v>
      </c>
      <c r="B202" s="309"/>
      <c r="C202" s="301"/>
      <c r="D202" s="337"/>
      <c r="E202" s="301"/>
      <c r="F202" s="302"/>
      <c r="G202" s="301" t="s">
        <v>514</v>
      </c>
      <c r="H202" s="343">
        <v>7617000</v>
      </c>
      <c r="I202" s="301"/>
      <c r="J202" s="340"/>
      <c r="K202" s="303"/>
      <c r="L202" s="304">
        <f t="shared" si="4"/>
        <v>7617000</v>
      </c>
      <c r="M202" s="305">
        <f t="shared" si="5"/>
        <v>7617000</v>
      </c>
      <c r="N202" s="327" t="e">
        <f ca="1">IF(A202&lt;&gt;"", Таблица36[[#This Row],[Расход]] / VLOOKUP(A202, 'Курс валют'!$A:$D, 4, 0), "")</f>
        <v>#DIV/0!</v>
      </c>
      <c r="O202" s="307"/>
    </row>
    <row r="203" spans="1:15" x14ac:dyDescent="0.45">
      <c r="A203" s="310">
        <f ca="1">TODAY()</f>
        <v>46179</v>
      </c>
      <c r="B203" s="309"/>
      <c r="C203" s="301"/>
      <c r="D203" s="337"/>
      <c r="E203" s="301"/>
      <c r="F203" s="302"/>
      <c r="G203" s="301" t="s">
        <v>514</v>
      </c>
      <c r="H203" s="343">
        <v>12000000</v>
      </c>
      <c r="I203" s="301"/>
      <c r="J203" s="340">
        <v>12000000</v>
      </c>
      <c r="K203" s="303"/>
      <c r="L203" s="304">
        <f t="shared" si="4"/>
        <v>12000000</v>
      </c>
      <c r="M203" s="305">
        <f t="shared" si="5"/>
        <v>0</v>
      </c>
      <c r="N203" s="327" t="e">
        <f ca="1">IF(A203&lt;&gt;"", Таблица36[[#This Row],[Расход]] / VLOOKUP(A203, 'Курс валют'!$A:$D, 4, 0), "")</f>
        <v>#DIV/0!</v>
      </c>
      <c r="O203" s="307"/>
    </row>
    <row r="204" spans="1:15" x14ac:dyDescent="0.45">
      <c r="A204" s="310">
        <v>46143</v>
      </c>
      <c r="B204" s="309" t="s">
        <v>590</v>
      </c>
      <c r="C204" s="301" t="s">
        <v>591</v>
      </c>
      <c r="D204" s="337">
        <v>1</v>
      </c>
      <c r="E204" s="301" t="s">
        <v>625</v>
      </c>
      <c r="F204" s="302" t="s">
        <v>175</v>
      </c>
      <c r="G204" s="301" t="s">
        <v>30</v>
      </c>
      <c r="H204" s="343">
        <v>600</v>
      </c>
      <c r="I204" s="301">
        <v>12100</v>
      </c>
      <c r="J204" s="340"/>
      <c r="K204" s="303"/>
      <c r="L204" s="304">
        <f t="shared" si="4"/>
        <v>7260000</v>
      </c>
      <c r="M204" s="305">
        <f t="shared" si="5"/>
        <v>600</v>
      </c>
      <c r="N204" s="327">
        <f>IF(A204&lt;&gt;"", Таблица36[[#This Row],[Расход]] / VLOOKUP(A204, 'Курс валют'!$A:$D, 4, 0), "")</f>
        <v>0</v>
      </c>
      <c r="O204" s="307"/>
    </row>
    <row r="205" spans="1:15" x14ac:dyDescent="0.45">
      <c r="A205" s="310">
        <v>46143</v>
      </c>
      <c r="B205" s="309" t="s">
        <v>590</v>
      </c>
      <c r="C205" s="301" t="s">
        <v>591</v>
      </c>
      <c r="D205" s="337">
        <v>1</v>
      </c>
      <c r="E205" s="301" t="s">
        <v>625</v>
      </c>
      <c r="F205" s="302" t="s">
        <v>175</v>
      </c>
      <c r="G205" s="301" t="s">
        <v>514</v>
      </c>
      <c r="H205" s="343">
        <v>800000</v>
      </c>
      <c r="I205" s="301"/>
      <c r="J205" s="340"/>
      <c r="K205" s="303"/>
      <c r="L205" s="304">
        <f t="shared" si="4"/>
        <v>800000</v>
      </c>
      <c r="M205" s="305">
        <f t="shared" si="5"/>
        <v>800000</v>
      </c>
      <c r="N205" s="327">
        <f>IF(A205&lt;&gt;"", Таблица36[[#This Row],[Расход]] / VLOOKUP(A205, 'Курс валют'!$A:$D, 4, 0), "")</f>
        <v>0</v>
      </c>
      <c r="O205" s="307"/>
    </row>
    <row r="206" spans="1:15" x14ac:dyDescent="0.45">
      <c r="A206" s="310">
        <v>46143</v>
      </c>
      <c r="B206" s="309" t="s">
        <v>82</v>
      </c>
      <c r="C206" s="301" t="s">
        <v>59</v>
      </c>
      <c r="D206" s="337">
        <v>30</v>
      </c>
      <c r="E206" s="301" t="s">
        <v>22</v>
      </c>
      <c r="F206" s="302" t="s">
        <v>175</v>
      </c>
      <c r="G206" s="301" t="s">
        <v>514</v>
      </c>
      <c r="H206" s="343"/>
      <c r="I206" s="301"/>
      <c r="J206" s="340"/>
      <c r="K206" s="303"/>
      <c r="L206" s="304">
        <f t="shared" si="4"/>
        <v>0</v>
      </c>
      <c r="M206" s="305">
        <f t="shared" si="5"/>
        <v>0</v>
      </c>
      <c r="N206" s="327">
        <f>IF(A206&lt;&gt;"", Таблица36[[#This Row],[Расход]] / VLOOKUP(A206, 'Курс валют'!$A:$D, 4, 0), "")</f>
        <v>0</v>
      </c>
      <c r="O206" s="307"/>
    </row>
    <row r="207" spans="1:15" x14ac:dyDescent="0.45">
      <c r="A207" s="310">
        <v>46143</v>
      </c>
      <c r="B207" s="309" t="s">
        <v>91</v>
      </c>
      <c r="C207" s="301" t="s">
        <v>65</v>
      </c>
      <c r="D207" s="337">
        <v>1</v>
      </c>
      <c r="E207" s="301" t="s">
        <v>22</v>
      </c>
      <c r="F207" s="302" t="s">
        <v>175</v>
      </c>
      <c r="G207" s="301" t="s">
        <v>514</v>
      </c>
      <c r="H207" s="343"/>
      <c r="I207" s="301"/>
      <c r="J207" s="340"/>
      <c r="K207" s="303"/>
      <c r="L207" s="304"/>
      <c r="M207" s="305"/>
      <c r="N207" s="327">
        <f>IF(A207&lt;&gt;"", Таблица36[[#This Row],[Расход]] / VLOOKUP(A207, 'Курс валют'!$A:$D, 4, 0), "")</f>
        <v>0</v>
      </c>
      <c r="O207" s="307"/>
    </row>
    <row r="208" spans="1:15" x14ac:dyDescent="0.45">
      <c r="A208" s="310">
        <v>46143</v>
      </c>
      <c r="B208" s="309" t="s">
        <v>22</v>
      </c>
      <c r="C208" s="301" t="s">
        <v>69</v>
      </c>
      <c r="D208" s="337">
        <v>1</v>
      </c>
      <c r="E208" s="301" t="s">
        <v>22</v>
      </c>
      <c r="F208" s="302" t="s">
        <v>586</v>
      </c>
      <c r="G208" s="301" t="s">
        <v>514</v>
      </c>
      <c r="H208" s="343"/>
      <c r="I208" s="301"/>
      <c r="J208" s="340"/>
      <c r="K208" s="303"/>
      <c r="L208" s="304"/>
      <c r="M208" s="305"/>
      <c r="N208" s="327">
        <f>IF(A208&lt;&gt;"", Таблица36[[#This Row],[Расход]] / VLOOKUP(A208, 'Курс валют'!$A:$D, 4, 0), "")</f>
        <v>0</v>
      </c>
      <c r="O208" s="307"/>
    </row>
    <row r="209" spans="1:15" x14ac:dyDescent="0.45">
      <c r="A209" s="310"/>
      <c r="B209" s="309"/>
      <c r="C209" s="301"/>
      <c r="D209" s="337"/>
      <c r="E209" s="301"/>
      <c r="F209" s="302"/>
      <c r="G209" s="301"/>
      <c r="H209" s="343"/>
      <c r="I209" s="301"/>
      <c r="J209" s="340"/>
      <c r="K209" s="303"/>
      <c r="L209" s="304"/>
      <c r="M209" s="305"/>
      <c r="N209" s="327" t="str">
        <f>IF(A209&lt;&gt;"", Таблица36[[#This Row],[Расход]] / VLOOKUP(A209, 'Курс валют'!$A:$D, 4, 0), "")</f>
        <v/>
      </c>
      <c r="O209" s="307"/>
    </row>
    <row r="210" spans="1:15" x14ac:dyDescent="0.45">
      <c r="A210" s="310"/>
      <c r="B210" s="309"/>
      <c r="C210" s="301"/>
      <c r="D210" s="337"/>
      <c r="E210" s="301"/>
      <c r="F210" s="302"/>
      <c r="G210" s="301"/>
      <c r="H210" s="343"/>
      <c r="I210" s="301"/>
      <c r="J210" s="340"/>
      <c r="K210" s="303"/>
      <c r="L210" s="304"/>
      <c r="M210" s="305"/>
      <c r="N210" s="327" t="str">
        <f>IF(A210&lt;&gt;"", Таблица36[[#This Row],[Расход]] / VLOOKUP(A210, 'Курс валют'!$A:$D, 4, 0), "")</f>
        <v/>
      </c>
      <c r="O210" s="307"/>
    </row>
    <row r="211" spans="1:15" x14ac:dyDescent="0.45">
      <c r="A211" s="310"/>
      <c r="B211" s="309"/>
      <c r="C211" s="301"/>
      <c r="D211" s="337"/>
      <c r="E211" s="301"/>
      <c r="F211" s="302"/>
      <c r="G211" s="301"/>
      <c r="H211" s="343"/>
      <c r="I211" s="301"/>
      <c r="J211" s="340"/>
      <c r="K211" s="303"/>
      <c r="L211" s="304"/>
      <c r="M211" s="305"/>
      <c r="N211" s="327" t="str">
        <f>IF(A211&lt;&gt;"", Таблица36[[#This Row],[Расход]] / VLOOKUP(A211, 'Курс валют'!$A:$D, 4, 0), "")</f>
        <v/>
      </c>
      <c r="O211" s="307"/>
    </row>
    <row r="212" spans="1:15" x14ac:dyDescent="0.45">
      <c r="A212" s="310"/>
      <c r="B212" s="309"/>
      <c r="C212" s="301"/>
      <c r="D212" s="337"/>
      <c r="E212" s="301"/>
      <c r="F212" s="302"/>
      <c r="G212" s="301"/>
      <c r="H212" s="343"/>
      <c r="I212" s="301"/>
      <c r="J212" s="340"/>
      <c r="K212" s="303"/>
      <c r="L212" s="304"/>
      <c r="M212" s="305"/>
      <c r="N212" s="327" t="str">
        <f>IF(A212&lt;&gt;"", Таблица36[[#This Row],[Расход]] / VLOOKUP(A212, 'Курс валют'!$A:$D, 4, 0), "")</f>
        <v/>
      </c>
      <c r="O212" s="307"/>
    </row>
    <row r="213" spans="1:15" x14ac:dyDescent="0.45">
      <c r="A213" s="310"/>
      <c r="B213" s="309"/>
      <c r="C213" s="301"/>
      <c r="D213" s="337"/>
      <c r="E213" s="301"/>
      <c r="F213" s="302"/>
      <c r="G213" s="301"/>
      <c r="H213" s="343"/>
      <c r="I213" s="301"/>
      <c r="J213" s="340"/>
      <c r="K213" s="303"/>
      <c r="L213" s="304"/>
      <c r="M213" s="305"/>
      <c r="N213" s="327" t="str">
        <f>IF(A213&lt;&gt;"", Таблица36[[#This Row],[Расход]] / VLOOKUP(A213, 'Курс валют'!$A:$D, 4, 0), "")</f>
        <v/>
      </c>
      <c r="O213" s="307"/>
    </row>
    <row r="214" spans="1:15" x14ac:dyDescent="0.45">
      <c r="A214" s="310"/>
      <c r="B214" s="309"/>
      <c r="C214" s="301"/>
      <c r="D214" s="337"/>
      <c r="E214" s="301"/>
      <c r="F214" s="302"/>
      <c r="G214" s="301"/>
      <c r="H214" s="343"/>
      <c r="I214" s="301"/>
      <c r="J214" s="340"/>
      <c r="K214" s="303"/>
      <c r="L214" s="304"/>
      <c r="M214" s="305"/>
      <c r="N214" s="327" t="str">
        <f>IF(A214&lt;&gt;"", Таблица36[[#This Row],[Расход]] / VLOOKUP(A214, 'Курс валют'!$A:$D, 4, 0), "")</f>
        <v/>
      </c>
      <c r="O214" s="307"/>
    </row>
    <row r="215" spans="1:15" x14ac:dyDescent="0.45">
      <c r="A215" s="310"/>
      <c r="B215" s="309"/>
      <c r="C215" s="301"/>
      <c r="D215" s="337"/>
      <c r="E215" s="301"/>
      <c r="F215" s="302"/>
      <c r="G215" s="301"/>
      <c r="H215" s="343"/>
      <c r="I215" s="301"/>
      <c r="J215" s="340"/>
      <c r="K215" s="303"/>
      <c r="L215" s="304"/>
      <c r="M215" s="305"/>
      <c r="N215" s="327" t="str">
        <f>IF(A215&lt;&gt;"", Таблица36[[#This Row],[Расход]] / VLOOKUP(A215, 'Курс валют'!$A:$D, 4, 0), "")</f>
        <v/>
      </c>
      <c r="O215" s="307"/>
    </row>
    <row r="216" spans="1:15" x14ac:dyDescent="0.45">
      <c r="A216" s="310"/>
      <c r="B216" s="309"/>
      <c r="C216" s="301"/>
      <c r="D216" s="337"/>
      <c r="E216" s="301"/>
      <c r="F216" s="302"/>
      <c r="G216" s="301"/>
      <c r="H216" s="343"/>
      <c r="I216" s="301"/>
      <c r="J216" s="340"/>
      <c r="K216" s="303"/>
      <c r="L216" s="304"/>
      <c r="M216" s="305"/>
      <c r="N216" s="327" t="str">
        <f>IF(A216&lt;&gt;"", Таблица36[[#This Row],[Расход]] / VLOOKUP(A216, 'Курс валют'!$A:$D, 4, 0), "")</f>
        <v/>
      </c>
      <c r="O216" s="307"/>
    </row>
    <row r="217" spans="1:15" x14ac:dyDescent="0.45">
      <c r="A217" s="310"/>
      <c r="B217" s="309"/>
      <c r="C217" s="301"/>
      <c r="D217" s="337"/>
      <c r="E217" s="301"/>
      <c r="F217" s="302"/>
      <c r="G217" s="301"/>
      <c r="H217" s="343"/>
      <c r="I217" s="301"/>
      <c r="J217" s="340"/>
      <c r="K217" s="303"/>
      <c r="L217" s="304"/>
      <c r="M217" s="305"/>
      <c r="N217" s="327" t="str">
        <f>IF(A217&lt;&gt;"", Таблица36[[#This Row],[Расход]] / VLOOKUP(A217, 'Курс валют'!$A:$D, 4, 0), "")</f>
        <v/>
      </c>
      <c r="O217" s="307"/>
    </row>
    <row r="218" spans="1:15" x14ac:dyDescent="0.45">
      <c r="A218" s="310"/>
      <c r="B218" s="309"/>
      <c r="C218" s="301"/>
      <c r="D218" s="337"/>
      <c r="E218" s="301"/>
      <c r="F218" s="302"/>
      <c r="G218" s="301"/>
      <c r="H218" s="343"/>
      <c r="I218" s="301"/>
      <c r="J218" s="340"/>
      <c r="K218" s="303"/>
      <c r="L218" s="304"/>
      <c r="M218" s="305"/>
      <c r="N218" s="327" t="str">
        <f>IF(A218&lt;&gt;"", Таблица36[[#This Row],[Расход]] / VLOOKUP(A218, 'Курс валют'!$A:$D, 4, 0), "")</f>
        <v/>
      </c>
      <c r="O218" s="307"/>
    </row>
    <row r="219" spans="1:15" x14ac:dyDescent="0.45">
      <c r="A219" s="310"/>
      <c r="B219" s="309"/>
      <c r="C219" s="301"/>
      <c r="D219" s="337"/>
      <c r="E219" s="301"/>
      <c r="F219" s="302"/>
      <c r="G219" s="301"/>
      <c r="H219" s="343"/>
      <c r="I219" s="301"/>
      <c r="J219" s="340"/>
      <c r="K219" s="303"/>
      <c r="L219" s="304"/>
      <c r="M219" s="305"/>
      <c r="N219" s="327" t="str">
        <f>IF(A219&lt;&gt;"", Таблица36[[#This Row],[Расход]] / VLOOKUP(A219, 'Курс валют'!$A:$D, 4, 0), "")</f>
        <v/>
      </c>
      <c r="O219" s="307"/>
    </row>
    <row r="220" spans="1:15" x14ac:dyDescent="0.45">
      <c r="A220" s="310"/>
      <c r="B220" s="309"/>
      <c r="C220" s="301"/>
      <c r="D220" s="337"/>
      <c r="E220" s="301"/>
      <c r="F220" s="302"/>
      <c r="G220" s="301"/>
      <c r="H220" s="343"/>
      <c r="I220" s="301"/>
      <c r="J220" s="340"/>
      <c r="K220" s="303"/>
      <c r="L220" s="304"/>
      <c r="M220" s="305"/>
      <c r="N220" s="327" t="str">
        <f>IF(A220&lt;&gt;"", Таблица36[[#This Row],[Расход]] / VLOOKUP(A220, 'Курс валют'!$A:$D, 4, 0), "")</f>
        <v/>
      </c>
      <c r="O220" s="307"/>
    </row>
    <row r="221" spans="1:15" x14ac:dyDescent="0.45">
      <c r="A221" s="310"/>
      <c r="B221" s="309"/>
      <c r="C221" s="301"/>
      <c r="D221" s="337"/>
      <c r="E221" s="301"/>
      <c r="F221" s="302"/>
      <c r="G221" s="301"/>
      <c r="H221" s="343"/>
      <c r="I221" s="301"/>
      <c r="J221" s="340"/>
      <c r="K221" s="303"/>
      <c r="L221" s="304"/>
      <c r="M221" s="305"/>
      <c r="N221" s="327" t="str">
        <f>IF(A221&lt;&gt;"", Таблица36[[#This Row],[Расход]] / VLOOKUP(A221, 'Курс валют'!$A:$D, 4, 0), "")</f>
        <v/>
      </c>
      <c r="O221" s="307"/>
    </row>
    <row r="222" spans="1:15" x14ac:dyDescent="0.45">
      <c r="A222" s="310"/>
      <c r="B222" s="309"/>
      <c r="C222" s="301"/>
      <c r="D222" s="337"/>
      <c r="E222" s="301"/>
      <c r="F222" s="302"/>
      <c r="G222" s="301"/>
      <c r="H222" s="343"/>
      <c r="I222" s="301"/>
      <c r="J222" s="340"/>
      <c r="K222" s="303"/>
      <c r="L222" s="304"/>
      <c r="M222" s="305"/>
      <c r="N222" s="327" t="str">
        <f>IF(A222&lt;&gt;"", Таблица36[[#This Row],[Расход]] / VLOOKUP(A222, 'Курс валют'!$A:$D, 4, 0), "")</f>
        <v/>
      </c>
      <c r="O222" s="307"/>
    </row>
    <row r="223" spans="1:15" x14ac:dyDescent="0.45">
      <c r="A223" s="310"/>
      <c r="B223" s="309"/>
      <c r="C223" s="301"/>
      <c r="D223" s="337"/>
      <c r="E223" s="301"/>
      <c r="F223" s="302"/>
      <c r="G223" s="301"/>
      <c r="H223" s="343"/>
      <c r="I223" s="301"/>
      <c r="J223" s="340"/>
      <c r="K223" s="303"/>
      <c r="L223" s="304"/>
      <c r="M223" s="305"/>
      <c r="N223" s="327" t="str">
        <f>IF(A223&lt;&gt;"", Таблица36[[#This Row],[Расход]] / VLOOKUP(A223, 'Курс валют'!$A:$D, 4, 0), "")</f>
        <v/>
      </c>
      <c r="O223" s="307"/>
    </row>
    <row r="224" spans="1:15" x14ac:dyDescent="0.45">
      <c r="A224" s="310"/>
      <c r="B224" s="309"/>
      <c r="C224" s="301"/>
      <c r="D224" s="337"/>
      <c r="E224" s="301"/>
      <c r="F224" s="302"/>
      <c r="G224" s="301"/>
      <c r="H224" s="343"/>
      <c r="I224" s="301"/>
      <c r="J224" s="340"/>
      <c r="K224" s="303"/>
      <c r="L224" s="304"/>
      <c r="M224" s="305"/>
      <c r="N224" s="327" t="str">
        <f>IF(A224&lt;&gt;"", Таблица36[[#This Row],[Расход]] / VLOOKUP(A224, 'Курс валют'!$A:$D, 4, 0), "")</f>
        <v/>
      </c>
      <c r="O224" s="307"/>
    </row>
    <row r="225" spans="1:15" x14ac:dyDescent="0.45">
      <c r="A225" s="310"/>
      <c r="B225" s="309"/>
      <c r="C225" s="301"/>
      <c r="D225" s="337"/>
      <c r="E225" s="301"/>
      <c r="F225" s="302"/>
      <c r="G225" s="301"/>
      <c r="H225" s="343"/>
      <c r="I225" s="301"/>
      <c r="J225" s="340"/>
      <c r="K225" s="303"/>
      <c r="L225" s="304"/>
      <c r="M225" s="305"/>
      <c r="N225" s="327" t="str">
        <f>IF(A225&lt;&gt;"", Таблица36[[#This Row],[Расход]] / VLOOKUP(A225, 'Курс валют'!$A:$D, 4, 0), "")</f>
        <v/>
      </c>
      <c r="O225" s="307"/>
    </row>
    <row r="226" spans="1:15" x14ac:dyDescent="0.45">
      <c r="A226" s="310"/>
      <c r="B226" s="309"/>
      <c r="C226" s="301"/>
      <c r="D226" s="337"/>
      <c r="E226" s="301"/>
      <c r="F226" s="302"/>
      <c r="G226" s="301"/>
      <c r="H226" s="343"/>
      <c r="I226" s="301"/>
      <c r="J226" s="340"/>
      <c r="K226" s="303"/>
      <c r="L226" s="304"/>
      <c r="M226" s="305"/>
      <c r="N226" s="327" t="str">
        <f>IF(A226&lt;&gt;"", Таблица36[[#This Row],[Расход]] / VLOOKUP(A226, 'Курс валют'!$A:$D, 4, 0), "")</f>
        <v/>
      </c>
      <c r="O226" s="307"/>
    </row>
    <row r="227" spans="1:15" x14ac:dyDescent="0.45">
      <c r="A227" s="310"/>
      <c r="B227" s="309"/>
      <c r="C227" s="301"/>
      <c r="D227" s="337"/>
      <c r="E227" s="301"/>
      <c r="F227" s="302"/>
      <c r="G227" s="301"/>
      <c r="H227" s="343"/>
      <c r="I227" s="301"/>
      <c r="J227" s="340"/>
      <c r="K227" s="303"/>
      <c r="L227" s="304"/>
      <c r="M227" s="305"/>
      <c r="N227" s="327" t="str">
        <f>IF(A227&lt;&gt;"", Таблица36[[#This Row],[Расход]] / VLOOKUP(A227, 'Курс валют'!$A:$D, 4, 0), "")</f>
        <v/>
      </c>
      <c r="O227" s="307"/>
    </row>
    <row r="228" spans="1:15" x14ac:dyDescent="0.45">
      <c r="A228" s="310"/>
      <c r="B228" s="309"/>
      <c r="C228" s="301"/>
      <c r="D228" s="337"/>
      <c r="E228" s="301"/>
      <c r="F228" s="302"/>
      <c r="G228" s="301"/>
      <c r="H228" s="343"/>
      <c r="I228" s="301"/>
      <c r="J228" s="340"/>
      <c r="K228" s="303"/>
      <c r="L228" s="304"/>
      <c r="M228" s="305"/>
      <c r="N228" s="327" t="str">
        <f>IF(A228&lt;&gt;"", Таблица36[[#This Row],[Расход]] / VLOOKUP(A228, 'Курс валют'!$A:$D, 4, 0), "")</f>
        <v/>
      </c>
      <c r="O228" s="307"/>
    </row>
    <row r="229" spans="1:15" x14ac:dyDescent="0.45">
      <c r="A229" s="310"/>
      <c r="B229" s="309"/>
      <c r="C229" s="301"/>
      <c r="D229" s="337"/>
      <c r="E229" s="301"/>
      <c r="F229" s="302"/>
      <c r="G229" s="301"/>
      <c r="H229" s="343"/>
      <c r="I229" s="301"/>
      <c r="J229" s="340"/>
      <c r="K229" s="303"/>
      <c r="L229" s="304"/>
      <c r="M229" s="305"/>
      <c r="N229" s="327" t="str">
        <f>IF(A229&lt;&gt;"", Таблица36[[#This Row],[Расход]] / VLOOKUP(A229, 'Курс валют'!$A:$D, 4, 0), "")</f>
        <v/>
      </c>
      <c r="O229" s="307"/>
    </row>
    <row r="230" spans="1:15" x14ac:dyDescent="0.45">
      <c r="A230" s="310"/>
      <c r="B230" s="309"/>
      <c r="C230" s="301"/>
      <c r="D230" s="337"/>
      <c r="E230" s="301"/>
      <c r="F230" s="302"/>
      <c r="G230" s="301"/>
      <c r="H230" s="343"/>
      <c r="I230" s="301"/>
      <c r="J230" s="340"/>
      <c r="K230" s="303"/>
      <c r="L230" s="304"/>
      <c r="M230" s="305"/>
      <c r="N230" s="327" t="str">
        <f>IF(A230&lt;&gt;"", Таблица36[[#This Row],[Расход]] / VLOOKUP(A230, 'Курс валют'!$A:$D, 4, 0), "")</f>
        <v/>
      </c>
      <c r="O230" s="307"/>
    </row>
    <row r="231" spans="1:15" x14ac:dyDescent="0.45">
      <c r="A231" s="310"/>
      <c r="B231" s="309"/>
      <c r="C231" s="301"/>
      <c r="D231" s="337"/>
      <c r="E231" s="301"/>
      <c r="F231" s="302"/>
      <c r="G231" s="301"/>
      <c r="H231" s="343"/>
      <c r="I231" s="301"/>
      <c r="J231" s="340"/>
      <c r="K231" s="303"/>
      <c r="L231" s="304"/>
      <c r="M231" s="305"/>
      <c r="N231" s="327" t="str">
        <f>IF(A231&lt;&gt;"", Таблица36[[#This Row],[Расход]] / VLOOKUP(A231, 'Курс валют'!$A:$D, 4, 0), "")</f>
        <v/>
      </c>
      <c r="O231" s="307"/>
    </row>
    <row r="232" spans="1:15" x14ac:dyDescent="0.45">
      <c r="A232" s="310"/>
      <c r="B232" s="309"/>
      <c r="C232" s="301"/>
      <c r="D232" s="337"/>
      <c r="E232" s="301"/>
      <c r="F232" s="302"/>
      <c r="G232" s="301"/>
      <c r="H232" s="343"/>
      <c r="I232" s="301"/>
      <c r="J232" s="340"/>
      <c r="K232" s="303"/>
      <c r="L232" s="304"/>
      <c r="M232" s="305"/>
      <c r="N232" s="327" t="str">
        <f>IF(A232&lt;&gt;"", Таблица36[[#This Row],[Расход]] / VLOOKUP(A232, 'Курс валют'!$A:$D, 4, 0), "")</f>
        <v/>
      </c>
      <c r="O232" s="307"/>
    </row>
    <row r="233" spans="1:15" x14ac:dyDescent="0.45">
      <c r="A233" s="310"/>
      <c r="B233" s="309"/>
      <c r="C233" s="301"/>
      <c r="D233" s="337"/>
      <c r="E233" s="301"/>
      <c r="F233" s="302"/>
      <c r="G233" s="301"/>
      <c r="H233" s="343"/>
      <c r="I233" s="301"/>
      <c r="J233" s="340"/>
      <c r="K233" s="303"/>
      <c r="L233" s="304"/>
      <c r="M233" s="305"/>
      <c r="N233" s="327" t="str">
        <f>IF(A233&lt;&gt;"", Таблица36[[#This Row],[Расход]] / VLOOKUP(A233, 'Курс валют'!$A:$D, 4, 0), "")</f>
        <v/>
      </c>
      <c r="O233" s="307"/>
    </row>
    <row r="234" spans="1:15" x14ac:dyDescent="0.45">
      <c r="A234" s="310"/>
      <c r="B234" s="309"/>
      <c r="C234" s="301"/>
      <c r="D234" s="337"/>
      <c r="E234" s="301"/>
      <c r="F234" s="302"/>
      <c r="G234" s="301"/>
      <c r="H234" s="343"/>
      <c r="I234" s="301"/>
      <c r="J234" s="340"/>
      <c r="K234" s="303"/>
      <c r="L234" s="304"/>
      <c r="M234" s="305"/>
      <c r="N234" s="327" t="str">
        <f>IF(A234&lt;&gt;"", Таблица36[[#This Row],[Расход]] / VLOOKUP(A234, 'Курс валют'!$A:$D, 4, 0), "")</f>
        <v/>
      </c>
      <c r="O234" s="307"/>
    </row>
    <row r="235" spans="1:15" x14ac:dyDescent="0.45">
      <c r="A235" s="310"/>
      <c r="B235" s="309"/>
      <c r="C235" s="301"/>
      <c r="D235" s="337"/>
      <c r="E235" s="301"/>
      <c r="F235" s="302"/>
      <c r="G235" s="301"/>
      <c r="H235" s="343"/>
      <c r="I235" s="301"/>
      <c r="J235" s="340"/>
      <c r="K235" s="303"/>
      <c r="L235" s="304"/>
      <c r="M235" s="305"/>
      <c r="N235" s="327" t="str">
        <f>IF(A235&lt;&gt;"", Таблица36[[#This Row],[Расход]] / VLOOKUP(A235, 'Курс валют'!$A:$D, 4, 0), "")</f>
        <v/>
      </c>
      <c r="O235" s="307"/>
    </row>
    <row r="236" spans="1:15" x14ac:dyDescent="0.45">
      <c r="A236" s="310"/>
      <c r="B236" s="309"/>
      <c r="C236" s="301"/>
      <c r="D236" s="337"/>
      <c r="E236" s="301"/>
      <c r="F236" s="302"/>
      <c r="G236" s="301"/>
      <c r="H236" s="343"/>
      <c r="I236" s="301"/>
      <c r="J236" s="340"/>
      <c r="K236" s="303"/>
      <c r="L236" s="304"/>
      <c r="M236" s="305"/>
      <c r="N236" s="327" t="str">
        <f>IF(A236&lt;&gt;"", Таблица36[[#This Row],[Расход]] / VLOOKUP(A236, 'Курс валют'!$A:$D, 4, 0), "")</f>
        <v/>
      </c>
      <c r="O236" s="307"/>
    </row>
    <row r="237" spans="1:15" x14ac:dyDescent="0.45">
      <c r="A237" s="310"/>
      <c r="B237" s="309"/>
      <c r="C237" s="301"/>
      <c r="D237" s="337"/>
      <c r="E237" s="301"/>
      <c r="F237" s="302"/>
      <c r="G237" s="301"/>
      <c r="H237" s="343"/>
      <c r="I237" s="301"/>
      <c r="J237" s="340"/>
      <c r="K237" s="303"/>
      <c r="L237" s="304"/>
      <c r="M237" s="305"/>
      <c r="N237" s="327" t="str">
        <f>IF(A237&lt;&gt;"", Таблица36[[#This Row],[Расход]] / VLOOKUP(A237, 'Курс валют'!$A:$D, 4, 0), "")</f>
        <v/>
      </c>
      <c r="O237" s="307"/>
    </row>
    <row r="238" spans="1:15" x14ac:dyDescent="0.45">
      <c r="A238" s="310"/>
      <c r="B238" s="309"/>
      <c r="C238" s="301"/>
      <c r="D238" s="337"/>
      <c r="E238" s="301"/>
      <c r="F238" s="302"/>
      <c r="G238" s="301"/>
      <c r="H238" s="343"/>
      <c r="I238" s="301"/>
      <c r="J238" s="340"/>
      <c r="K238" s="303"/>
      <c r="L238" s="304"/>
      <c r="M238" s="305"/>
      <c r="N238" s="327" t="str">
        <f>IF(A238&lt;&gt;"", Таблица36[[#This Row],[Расход]] / VLOOKUP(A238, 'Курс валют'!$A:$D, 4, 0), "")</f>
        <v/>
      </c>
      <c r="O238" s="307"/>
    </row>
    <row r="239" spans="1:15" x14ac:dyDescent="0.45">
      <c r="A239" s="310"/>
      <c r="B239" s="309"/>
      <c r="C239" s="301"/>
      <c r="D239" s="337"/>
      <c r="E239" s="301"/>
      <c r="F239" s="302"/>
      <c r="G239" s="301"/>
      <c r="H239" s="343"/>
      <c r="I239" s="301"/>
      <c r="J239" s="340"/>
      <c r="K239" s="303"/>
      <c r="L239" s="304"/>
      <c r="M239" s="305"/>
      <c r="N239" s="327" t="str">
        <f>IF(A239&lt;&gt;"", Таблица36[[#This Row],[Расход]] / VLOOKUP(A239, 'Курс валют'!$A:$D, 4, 0), "")</f>
        <v/>
      </c>
      <c r="O239" s="307"/>
    </row>
    <row r="240" spans="1:15" x14ac:dyDescent="0.45">
      <c r="A240" s="310"/>
      <c r="B240" s="309"/>
      <c r="C240" s="301"/>
      <c r="D240" s="337"/>
      <c r="E240" s="301"/>
      <c r="F240" s="302"/>
      <c r="G240" s="301"/>
      <c r="H240" s="343"/>
      <c r="I240" s="301"/>
      <c r="J240" s="340"/>
      <c r="K240" s="303"/>
      <c r="L240" s="304"/>
      <c r="M240" s="305"/>
      <c r="N240" s="327" t="str">
        <f>IF(A240&lt;&gt;"", Таблица36[[#This Row],[Расход]] / VLOOKUP(A240, 'Курс валют'!$A:$D, 4, 0), "")</f>
        <v/>
      </c>
      <c r="O240" s="307"/>
    </row>
    <row r="241" spans="1:15" x14ac:dyDescent="0.45">
      <c r="A241" s="310"/>
      <c r="B241" s="309"/>
      <c r="C241" s="301"/>
      <c r="D241" s="337"/>
      <c r="E241" s="301"/>
      <c r="F241" s="302"/>
      <c r="G241" s="301"/>
      <c r="H241" s="343"/>
      <c r="I241" s="301"/>
      <c r="J241" s="340"/>
      <c r="K241" s="303"/>
      <c r="L241" s="304"/>
      <c r="M241" s="305"/>
      <c r="N241" s="327" t="str">
        <f>IF(A241&lt;&gt;"", Таблица36[[#This Row],[Расход]] / VLOOKUP(A241, 'Курс валют'!$A:$D, 4, 0), "")</f>
        <v/>
      </c>
      <c r="O241" s="307"/>
    </row>
    <row r="242" spans="1:15" x14ac:dyDescent="0.45">
      <c r="A242" s="310"/>
      <c r="B242" s="309"/>
      <c r="C242" s="301"/>
      <c r="D242" s="337"/>
      <c r="E242" s="301"/>
      <c r="F242" s="302"/>
      <c r="G242" s="301"/>
      <c r="H242" s="343"/>
      <c r="I242" s="301"/>
      <c r="J242" s="340"/>
      <c r="K242" s="303"/>
      <c r="L242" s="304"/>
      <c r="M242" s="305"/>
      <c r="N242" s="327" t="str">
        <f>IF(A242&lt;&gt;"", Таблица36[[#This Row],[Расход]] / VLOOKUP(A242, 'Курс валют'!$A:$D, 4, 0), "")</f>
        <v/>
      </c>
      <c r="O242" s="307"/>
    </row>
    <row r="243" spans="1:15" x14ac:dyDescent="0.45">
      <c r="A243" s="310"/>
      <c r="B243" s="309"/>
      <c r="C243" s="301"/>
      <c r="D243" s="337"/>
      <c r="E243" s="301"/>
      <c r="F243" s="302"/>
      <c r="G243" s="301"/>
      <c r="H243" s="343"/>
      <c r="I243" s="301"/>
      <c r="J243" s="340"/>
      <c r="K243" s="303"/>
      <c r="L243" s="304"/>
      <c r="M243" s="305"/>
      <c r="N243" s="327" t="str">
        <f>IF(A243&lt;&gt;"", Таблица36[[#This Row],[Расход]] / VLOOKUP(A243, 'Курс валют'!$A:$D, 4, 0), "")</f>
        <v/>
      </c>
      <c r="O243" s="307"/>
    </row>
    <row r="244" spans="1:15" x14ac:dyDescent="0.45">
      <c r="A244" s="310"/>
      <c r="B244" s="309"/>
      <c r="C244" s="301"/>
      <c r="D244" s="337"/>
      <c r="E244" s="301"/>
      <c r="F244" s="302"/>
      <c r="G244" s="301"/>
      <c r="H244" s="343"/>
      <c r="I244" s="301"/>
      <c r="J244" s="340"/>
      <c r="K244" s="303"/>
      <c r="L244" s="304"/>
      <c r="M244" s="305"/>
      <c r="N244" s="327" t="str">
        <f>IF(A244&lt;&gt;"", Таблица36[[#This Row],[Расход]] / VLOOKUP(A244, 'Курс валют'!$A:$D, 4, 0), "")</f>
        <v/>
      </c>
      <c r="O244" s="307"/>
    </row>
    <row r="245" spans="1:15" x14ac:dyDescent="0.45">
      <c r="A245" s="310"/>
      <c r="B245" s="309"/>
      <c r="C245" s="301"/>
      <c r="D245" s="337"/>
      <c r="E245" s="301"/>
      <c r="F245" s="302"/>
      <c r="G245" s="301"/>
      <c r="H245" s="343"/>
      <c r="I245" s="301"/>
      <c r="J245" s="340"/>
      <c r="K245" s="303"/>
      <c r="L245" s="304"/>
      <c r="M245" s="305"/>
      <c r="N245" s="327" t="str">
        <f>IF(A245&lt;&gt;"", Таблица36[[#This Row],[Расход]] / VLOOKUP(A245, 'Курс валют'!$A:$D, 4, 0), "")</f>
        <v/>
      </c>
      <c r="O245" s="307"/>
    </row>
    <row r="246" spans="1:15" x14ac:dyDescent="0.45">
      <c r="A246" s="310"/>
      <c r="B246" s="309"/>
      <c r="C246" s="301"/>
      <c r="D246" s="337"/>
      <c r="E246" s="301"/>
      <c r="F246" s="302"/>
      <c r="G246" s="301"/>
      <c r="H246" s="343"/>
      <c r="I246" s="301"/>
      <c r="J246" s="340"/>
      <c r="K246" s="303"/>
      <c r="L246" s="304"/>
      <c r="M246" s="305"/>
      <c r="N246" s="327" t="str">
        <f>IF(A246&lt;&gt;"", Таблица36[[#This Row],[Расход]] / VLOOKUP(A246, 'Курс валют'!$A:$D, 4, 0), "")</f>
        <v/>
      </c>
      <c r="O246" s="307"/>
    </row>
    <row r="247" spans="1:15" x14ac:dyDescent="0.45">
      <c r="A247" s="310"/>
      <c r="B247" s="309"/>
      <c r="C247" s="301"/>
      <c r="D247" s="337"/>
      <c r="E247" s="301"/>
      <c r="F247" s="302"/>
      <c r="G247" s="301"/>
      <c r="H247" s="343"/>
      <c r="I247" s="301"/>
      <c r="J247" s="340"/>
      <c r="K247" s="303"/>
      <c r="L247" s="304"/>
      <c r="M247" s="305"/>
      <c r="N247" s="327" t="str">
        <f>IF(A247&lt;&gt;"", Таблица36[[#This Row],[Расход]] / VLOOKUP(A247, 'Курс валют'!$A:$D, 4, 0), "")</f>
        <v/>
      </c>
      <c r="O247" s="307"/>
    </row>
    <row r="248" spans="1:15" x14ac:dyDescent="0.45">
      <c r="A248" s="310"/>
      <c r="B248" s="309"/>
      <c r="C248" s="301"/>
      <c r="D248" s="337"/>
      <c r="E248" s="301"/>
      <c r="F248" s="302"/>
      <c r="G248" s="301"/>
      <c r="H248" s="343"/>
      <c r="I248" s="301"/>
      <c r="J248" s="340"/>
      <c r="K248" s="303"/>
      <c r="L248" s="304"/>
      <c r="M248" s="305"/>
      <c r="N248" s="327" t="str">
        <f>IF(A248&lt;&gt;"", Таблица36[[#This Row],[Расход]] / VLOOKUP(A248, 'Курс валют'!$A:$D, 4, 0), "")</f>
        <v/>
      </c>
      <c r="O248" s="307"/>
    </row>
    <row r="249" spans="1:15" x14ac:dyDescent="0.45">
      <c r="A249" s="310"/>
      <c r="B249" s="309"/>
      <c r="C249" s="301"/>
      <c r="D249" s="337"/>
      <c r="E249" s="301"/>
      <c r="F249" s="302"/>
      <c r="G249" s="301"/>
      <c r="H249" s="343"/>
      <c r="I249" s="301"/>
      <c r="J249" s="340"/>
      <c r="K249" s="303"/>
      <c r="L249" s="304"/>
      <c r="M249" s="305"/>
      <c r="N249" s="327" t="str">
        <f>IF(A249&lt;&gt;"", Таблица36[[#This Row],[Расход]] / VLOOKUP(A249, 'Курс валют'!$A:$D, 4, 0), "")</f>
        <v/>
      </c>
      <c r="O249" s="307"/>
    </row>
    <row r="250" spans="1:15" x14ac:dyDescent="0.45">
      <c r="A250" s="310"/>
      <c r="B250" s="309"/>
      <c r="C250" s="301"/>
      <c r="D250" s="337"/>
      <c r="E250" s="301"/>
      <c r="F250" s="302"/>
      <c r="G250" s="301"/>
      <c r="H250" s="343"/>
      <c r="I250" s="301"/>
      <c r="J250" s="340"/>
      <c r="K250" s="303"/>
      <c r="L250" s="304"/>
      <c r="M250" s="305"/>
      <c r="N250" s="327" t="str">
        <f>IF(A250&lt;&gt;"", Таблица36[[#This Row],[Расход]] / VLOOKUP(A250, 'Курс валют'!$A:$D, 4, 0), "")</f>
        <v/>
      </c>
      <c r="O250" s="307"/>
    </row>
    <row r="251" spans="1:15" x14ac:dyDescent="0.45">
      <c r="A251" s="310"/>
      <c r="B251" s="309"/>
      <c r="C251" s="301"/>
      <c r="D251" s="337"/>
      <c r="E251" s="301"/>
      <c r="F251" s="302"/>
      <c r="G251" s="301"/>
      <c r="H251" s="343"/>
      <c r="I251" s="301"/>
      <c r="J251" s="340"/>
      <c r="K251" s="303"/>
      <c r="L251" s="304"/>
      <c r="M251" s="305"/>
      <c r="N251" s="306" t="str">
        <f>IF(A251&lt;&gt;"", J251 / VLOOKUP(A251, '[1]Курс валют'!$A:$D, 4, 0), "")</f>
        <v/>
      </c>
      <c r="O251" s="307"/>
    </row>
    <row r="252" spans="1:15" x14ac:dyDescent="0.45">
      <c r="A252" s="310"/>
      <c r="B252" s="309"/>
      <c r="C252" s="301"/>
      <c r="D252" s="337"/>
      <c r="E252" s="301"/>
      <c r="F252" s="302"/>
      <c r="G252" s="301"/>
      <c r="H252" s="343"/>
      <c r="I252" s="301"/>
      <c r="J252" s="340"/>
      <c r="K252" s="303"/>
      <c r="L252" s="304"/>
      <c r="M252" s="305"/>
      <c r="N252" s="306" t="str">
        <f>IF(A252&lt;&gt;"", J252 / VLOOKUP(A252, '[1]Курс валют'!$A:$D, 4, 0), "")</f>
        <v/>
      </c>
      <c r="O252" s="307"/>
    </row>
    <row r="253" spans="1:15" x14ac:dyDescent="0.45">
      <c r="A253" s="310"/>
      <c r="B253" s="309"/>
      <c r="C253" s="301"/>
      <c r="D253" s="337"/>
      <c r="E253" s="301"/>
      <c r="F253" s="302"/>
      <c r="G253" s="301"/>
      <c r="H253" s="343"/>
      <c r="I253" s="301"/>
      <c r="J253" s="340"/>
      <c r="K253" s="303"/>
      <c r="L253" s="304"/>
      <c r="M253" s="305"/>
      <c r="N253" s="306" t="str">
        <f>IF(A253&lt;&gt;"", J253 / VLOOKUP(A253, '[1]Курс валют'!$A:$D, 4, 0), "")</f>
        <v/>
      </c>
      <c r="O253" s="307"/>
    </row>
    <row r="254" spans="1:15" x14ac:dyDescent="0.45">
      <c r="A254" s="310"/>
      <c r="B254" s="309"/>
      <c r="C254" s="301"/>
      <c r="D254" s="337"/>
      <c r="E254" s="301"/>
      <c r="F254" s="302"/>
      <c r="G254" s="301"/>
      <c r="H254" s="343"/>
      <c r="I254" s="301"/>
      <c r="J254" s="340"/>
      <c r="K254" s="303"/>
      <c r="L254" s="304"/>
      <c r="M254" s="305"/>
      <c r="N254" s="306" t="str">
        <f>IF(A254&lt;&gt;"", J254 / VLOOKUP(A254, '[1]Курс валют'!$A:$D, 4, 0), "")</f>
        <v/>
      </c>
      <c r="O254" s="307"/>
    </row>
    <row r="255" spans="1:15" x14ac:dyDescent="0.45">
      <c r="A255" s="310"/>
      <c r="B255" s="309"/>
      <c r="C255" s="301"/>
      <c r="D255" s="337"/>
      <c r="E255" s="301"/>
      <c r="F255" s="302"/>
      <c r="G255" s="301"/>
      <c r="H255" s="343"/>
      <c r="I255" s="301"/>
      <c r="J255" s="340"/>
      <c r="K255" s="303"/>
      <c r="L255" s="304"/>
      <c r="M255" s="305"/>
      <c r="N255" s="306" t="str">
        <f>IF(A255&lt;&gt;"", J255 / VLOOKUP(A255, '[1]Курс валют'!$A:$D, 4, 0), "")</f>
        <v/>
      </c>
      <c r="O255" s="307"/>
    </row>
    <row r="256" spans="1:15" x14ac:dyDescent="0.45">
      <c r="A256" s="310"/>
      <c r="B256" s="309"/>
      <c r="C256" s="301"/>
      <c r="D256" s="337"/>
      <c r="E256" s="301"/>
      <c r="F256" s="302"/>
      <c r="G256" s="301"/>
      <c r="H256" s="343"/>
      <c r="I256" s="301"/>
      <c r="J256" s="340"/>
      <c r="K256" s="303"/>
      <c r="L256" s="304"/>
      <c r="M256" s="305"/>
      <c r="N256" s="306" t="str">
        <f>IF(A256&lt;&gt;"", J256 / VLOOKUP(A256, '[1]Курс валют'!$A:$D, 4, 0), "")</f>
        <v/>
      </c>
      <c r="O256" s="307"/>
    </row>
    <row r="257" spans="1:15" x14ac:dyDescent="0.45">
      <c r="A257" s="310"/>
      <c r="B257" s="309"/>
      <c r="C257" s="301"/>
      <c r="D257" s="337"/>
      <c r="E257" s="301"/>
      <c r="F257" s="302"/>
      <c r="G257" s="301"/>
      <c r="H257" s="343"/>
      <c r="I257" s="301"/>
      <c r="J257" s="340"/>
      <c r="K257" s="303"/>
      <c r="L257" s="304"/>
      <c r="M257" s="305"/>
      <c r="N257" s="306" t="str">
        <f>IF(A257&lt;&gt;"", J257 / VLOOKUP(A257, '[1]Курс валют'!$A:$D, 4, 0), "")</f>
        <v/>
      </c>
      <c r="O257" s="307"/>
    </row>
    <row r="258" spans="1:15" x14ac:dyDescent="0.45">
      <c r="A258" s="310"/>
      <c r="B258" s="309"/>
      <c r="C258" s="301"/>
      <c r="D258" s="337"/>
      <c r="E258" s="301"/>
      <c r="F258" s="302"/>
      <c r="G258" s="301"/>
      <c r="H258" s="343"/>
      <c r="I258" s="301"/>
      <c r="J258" s="340"/>
      <c r="K258" s="303"/>
      <c r="L258" s="304"/>
      <c r="M258" s="305"/>
      <c r="N258" s="306" t="str">
        <f>IF(A258&lt;&gt;"", J258 / VLOOKUP(A258, '[1]Курс валют'!$A:$D, 4, 0), "")</f>
        <v/>
      </c>
      <c r="O258" s="307"/>
    </row>
    <row r="259" spans="1:15" x14ac:dyDescent="0.45">
      <c r="A259" s="310"/>
      <c r="B259" s="309"/>
      <c r="C259" s="301"/>
      <c r="D259" s="337"/>
      <c r="E259" s="301"/>
      <c r="F259" s="302"/>
      <c r="G259" s="301"/>
      <c r="H259" s="343"/>
      <c r="I259" s="301"/>
      <c r="J259" s="340"/>
      <c r="K259" s="303"/>
      <c r="L259" s="304"/>
      <c r="M259" s="305"/>
      <c r="N259" s="306" t="str">
        <f>IF(A259&lt;&gt;"", J259 / VLOOKUP(A259, '[1]Курс валют'!$A:$D, 4, 0), "")</f>
        <v/>
      </c>
      <c r="O259" s="307"/>
    </row>
    <row r="260" spans="1:15" x14ac:dyDescent="0.45">
      <c r="A260" s="310"/>
      <c r="B260" s="309"/>
      <c r="C260" s="301"/>
      <c r="D260" s="337"/>
      <c r="E260" s="301"/>
      <c r="F260" s="302"/>
      <c r="G260" s="301"/>
      <c r="H260" s="343"/>
      <c r="I260" s="301"/>
      <c r="J260" s="340"/>
      <c r="K260" s="303"/>
      <c r="L260" s="304"/>
      <c r="M260" s="305"/>
      <c r="N260" s="306" t="str">
        <f>IF(A260&lt;&gt;"", J260 / VLOOKUP(A260, '[1]Курс валют'!$A:$D, 4, 0), "")</f>
        <v/>
      </c>
      <c r="O260" s="307"/>
    </row>
    <row r="261" spans="1:15" x14ac:dyDescent="0.45">
      <c r="A261" s="310"/>
      <c r="B261" s="309"/>
      <c r="C261" s="301"/>
      <c r="D261" s="337"/>
      <c r="E261" s="301"/>
      <c r="F261" s="302"/>
      <c r="G261" s="301"/>
      <c r="H261" s="343"/>
      <c r="I261" s="301"/>
      <c r="J261" s="340"/>
      <c r="K261" s="303"/>
      <c r="L261" s="304"/>
      <c r="M261" s="305"/>
      <c r="N261" s="306" t="str">
        <f>IF(A261&lt;&gt;"", J261 / VLOOKUP(A261, '[1]Курс валют'!$A:$D, 4, 0), "")</f>
        <v/>
      </c>
      <c r="O261" s="307"/>
    </row>
    <row r="262" spans="1:15" x14ac:dyDescent="0.45">
      <c r="A262" s="310"/>
      <c r="B262" s="309"/>
      <c r="C262" s="301"/>
      <c r="D262" s="337"/>
      <c r="E262" s="301"/>
      <c r="F262" s="302"/>
      <c r="G262" s="301"/>
      <c r="H262" s="343"/>
      <c r="I262" s="301"/>
      <c r="J262" s="340"/>
      <c r="K262" s="303"/>
      <c r="L262" s="304"/>
      <c r="M262" s="305"/>
      <c r="N262" s="306" t="str">
        <f>IF(A262&lt;&gt;"", J262 / VLOOKUP(A262, '[1]Курс валют'!$A:$D, 4, 0), "")</f>
        <v/>
      </c>
      <c r="O262" s="307"/>
    </row>
    <row r="263" spans="1:15" x14ac:dyDescent="0.45">
      <c r="A263" s="310"/>
      <c r="B263" s="309"/>
      <c r="C263" s="301"/>
      <c r="D263" s="337"/>
      <c r="E263" s="301"/>
      <c r="F263" s="302"/>
      <c r="G263" s="301"/>
      <c r="H263" s="343"/>
      <c r="I263" s="301"/>
      <c r="J263" s="340"/>
      <c r="K263" s="303"/>
      <c r="L263" s="304"/>
      <c r="M263" s="305"/>
      <c r="N263" s="306" t="str">
        <f>IF(A263&lt;&gt;"", J263 / VLOOKUP(A263, '[1]Курс валют'!$A:$D, 4, 0), "")</f>
        <v/>
      </c>
      <c r="O263" s="307"/>
    </row>
    <row r="264" spans="1:15" x14ac:dyDescent="0.45">
      <c r="A264" s="310"/>
      <c r="B264" s="309"/>
      <c r="C264" s="301"/>
      <c r="D264" s="337"/>
      <c r="E264" s="301"/>
      <c r="F264" s="302"/>
      <c r="G264" s="301"/>
      <c r="H264" s="343"/>
      <c r="I264" s="301"/>
      <c r="J264" s="340"/>
      <c r="K264" s="303"/>
      <c r="L264" s="304"/>
      <c r="M264" s="305"/>
      <c r="N264" s="306" t="str">
        <f>IF(A264&lt;&gt;"", J264 / VLOOKUP(A264, '[1]Курс валют'!$A:$D, 4, 0), "")</f>
        <v/>
      </c>
      <c r="O264" s="307"/>
    </row>
    <row r="265" spans="1:15" x14ac:dyDescent="0.45">
      <c r="A265" s="310"/>
      <c r="B265" s="309"/>
      <c r="C265" s="301"/>
      <c r="D265" s="337"/>
      <c r="E265" s="301"/>
      <c r="F265" s="302"/>
      <c r="G265" s="301"/>
      <c r="H265" s="343"/>
      <c r="I265" s="301"/>
      <c r="J265" s="340"/>
      <c r="K265" s="303"/>
      <c r="L265" s="304"/>
      <c r="M265" s="305"/>
      <c r="N265" s="306" t="str">
        <f>IF(A265&lt;&gt;"", J265 / VLOOKUP(A265, '[1]Курс валют'!$A:$D, 4, 0), "")</f>
        <v/>
      </c>
      <c r="O265" s="307"/>
    </row>
    <row r="266" spans="1:15" x14ac:dyDescent="0.45">
      <c r="A266" s="310"/>
      <c r="B266" s="309"/>
      <c r="C266" s="301"/>
      <c r="D266" s="337"/>
      <c r="E266" s="301"/>
      <c r="F266" s="302"/>
      <c r="G266" s="301"/>
      <c r="H266" s="343"/>
      <c r="I266" s="301"/>
      <c r="J266" s="340"/>
      <c r="K266" s="303"/>
      <c r="L266" s="304"/>
      <c r="M266" s="305"/>
      <c r="N266" s="306" t="str">
        <f>IF(A266&lt;&gt;"", J266 / VLOOKUP(A266, '[1]Курс валют'!$A:$D, 4, 0), "")</f>
        <v/>
      </c>
      <c r="O266" s="307"/>
    </row>
    <row r="267" spans="1:15" x14ac:dyDescent="0.45">
      <c r="A267" s="310"/>
      <c r="B267" s="309"/>
      <c r="C267" s="301"/>
      <c r="D267" s="337"/>
      <c r="E267" s="301"/>
      <c r="F267" s="302"/>
      <c r="G267" s="301"/>
      <c r="H267" s="343"/>
      <c r="I267" s="301"/>
      <c r="J267" s="340"/>
      <c r="K267" s="303"/>
      <c r="L267" s="304"/>
      <c r="M267" s="305"/>
      <c r="N267" s="306" t="str">
        <f>IF(A267&lt;&gt;"", J267 / VLOOKUP(A267, '[1]Курс валют'!$A:$D, 4, 0), "")</f>
        <v/>
      </c>
      <c r="O267" s="307"/>
    </row>
    <row r="268" spans="1:15" x14ac:dyDescent="0.45">
      <c r="A268" s="310"/>
      <c r="B268" s="309"/>
      <c r="C268" s="301"/>
      <c r="D268" s="337"/>
      <c r="E268" s="301"/>
      <c r="F268" s="302"/>
      <c r="G268" s="301"/>
      <c r="H268" s="343"/>
      <c r="I268" s="301"/>
      <c r="J268" s="340"/>
      <c r="K268" s="303"/>
      <c r="L268" s="304"/>
      <c r="M268" s="305"/>
      <c r="N268" s="306" t="str">
        <f>IF(A268&lt;&gt;"", J268 / VLOOKUP(A268, '[1]Курс валют'!$A:$D, 4, 0), "")</f>
        <v/>
      </c>
      <c r="O268" s="307"/>
    </row>
    <row r="269" spans="1:15" x14ac:dyDescent="0.45">
      <c r="A269" s="310"/>
      <c r="B269" s="309"/>
      <c r="C269" s="301"/>
      <c r="D269" s="337"/>
      <c r="E269" s="301"/>
      <c r="F269" s="302"/>
      <c r="G269" s="301"/>
      <c r="H269" s="343"/>
      <c r="I269" s="301"/>
      <c r="J269" s="340"/>
      <c r="K269" s="303"/>
      <c r="L269" s="304"/>
      <c r="M269" s="305"/>
      <c r="N269" s="306" t="str">
        <f>IF(A269&lt;&gt;"", J269 / VLOOKUP(A269, '[1]Курс валют'!$A:$D, 4, 0), "")</f>
        <v/>
      </c>
      <c r="O269" s="307"/>
    </row>
    <row r="270" spans="1:15" x14ac:dyDescent="0.45">
      <c r="A270" s="310"/>
      <c r="B270" s="309"/>
      <c r="C270" s="301"/>
      <c r="D270" s="337"/>
      <c r="E270" s="301"/>
      <c r="F270" s="302"/>
      <c r="G270" s="301"/>
      <c r="H270" s="343"/>
      <c r="I270" s="301"/>
      <c r="J270" s="340"/>
      <c r="K270" s="303"/>
      <c r="L270" s="304"/>
      <c r="M270" s="305"/>
      <c r="N270" s="306" t="str">
        <f>IF(A270&lt;&gt;"", J270 / VLOOKUP(A270, '[1]Курс валют'!$A:$D, 4, 0), "")</f>
        <v/>
      </c>
      <c r="O270" s="307"/>
    </row>
    <row r="271" spans="1:15" x14ac:dyDescent="0.45">
      <c r="A271" s="310"/>
      <c r="B271" s="309"/>
      <c r="C271" s="301"/>
      <c r="D271" s="337"/>
      <c r="E271" s="301"/>
      <c r="F271" s="302"/>
      <c r="G271" s="301"/>
      <c r="H271" s="343"/>
      <c r="I271" s="301"/>
      <c r="J271" s="340"/>
      <c r="K271" s="303"/>
      <c r="L271" s="304"/>
      <c r="M271" s="305"/>
      <c r="N271" s="306" t="str">
        <f>IF(A271&lt;&gt;"", J271 / VLOOKUP(A271, '[1]Курс валют'!$A:$D, 4, 0), "")</f>
        <v/>
      </c>
      <c r="O271" s="307"/>
    </row>
    <row r="272" spans="1:15" x14ac:dyDescent="0.45">
      <c r="A272" s="310"/>
      <c r="B272" s="309"/>
      <c r="C272" s="301"/>
      <c r="D272" s="337"/>
      <c r="E272" s="301"/>
      <c r="F272" s="302"/>
      <c r="G272" s="301"/>
      <c r="H272" s="343"/>
      <c r="I272" s="301"/>
      <c r="J272" s="340"/>
      <c r="K272" s="303"/>
      <c r="L272" s="304"/>
      <c r="M272" s="305"/>
      <c r="N272" s="306" t="str">
        <f>IF(A272&lt;&gt;"", J272 / VLOOKUP(A272, '[1]Курс валют'!$A:$D, 4, 0), "")</f>
        <v/>
      </c>
      <c r="O272" s="307"/>
    </row>
    <row r="273" spans="1:15" x14ac:dyDescent="0.45">
      <c r="A273" s="310"/>
      <c r="B273" s="309"/>
      <c r="C273" s="301"/>
      <c r="D273" s="337"/>
      <c r="E273" s="301"/>
      <c r="F273" s="302"/>
      <c r="G273" s="301"/>
      <c r="H273" s="343"/>
      <c r="I273" s="301"/>
      <c r="J273" s="340"/>
      <c r="K273" s="303"/>
      <c r="L273" s="304"/>
      <c r="M273" s="305"/>
      <c r="N273" s="306" t="str">
        <f>IF(A273&lt;&gt;"", J273 / VLOOKUP(A273, '[1]Курс валют'!$A:$D, 4, 0), "")</f>
        <v/>
      </c>
      <c r="O273" s="307"/>
    </row>
    <row r="274" spans="1:15" x14ac:dyDescent="0.45">
      <c r="A274" s="310"/>
      <c r="B274" s="309"/>
      <c r="C274" s="301"/>
      <c r="D274" s="337"/>
      <c r="E274" s="301"/>
      <c r="F274" s="302"/>
      <c r="G274" s="301"/>
      <c r="H274" s="343"/>
      <c r="I274" s="301"/>
      <c r="J274" s="340"/>
      <c r="K274" s="303"/>
      <c r="L274" s="304"/>
      <c r="M274" s="305"/>
      <c r="N274" s="306" t="str">
        <f>IF(A274&lt;&gt;"", J274 / VLOOKUP(A274, '[1]Курс валют'!$A:$D, 4, 0), "")</f>
        <v/>
      </c>
      <c r="O274" s="307"/>
    </row>
    <row r="275" spans="1:15" x14ac:dyDescent="0.45">
      <c r="A275" s="310"/>
      <c r="B275" s="309"/>
      <c r="C275" s="301"/>
      <c r="D275" s="337"/>
      <c r="E275" s="301"/>
      <c r="F275" s="302"/>
      <c r="G275" s="301"/>
      <c r="H275" s="343"/>
      <c r="I275" s="301"/>
      <c r="J275" s="340"/>
      <c r="K275" s="303"/>
      <c r="L275" s="304"/>
      <c r="M275" s="305"/>
      <c r="N275" s="306" t="str">
        <f>IF(A275&lt;&gt;"", J275 / VLOOKUP(A275, '[1]Курс валют'!$A:$D, 4, 0), "")</f>
        <v/>
      </c>
      <c r="O275" s="307"/>
    </row>
    <row r="276" spans="1:15" x14ac:dyDescent="0.45">
      <c r="A276" s="310"/>
      <c r="B276" s="309"/>
      <c r="C276" s="301"/>
      <c r="D276" s="337"/>
      <c r="E276" s="301"/>
      <c r="F276" s="302"/>
      <c r="G276" s="301"/>
      <c r="H276" s="343"/>
      <c r="I276" s="301"/>
      <c r="J276" s="340"/>
      <c r="K276" s="303"/>
      <c r="L276" s="304"/>
      <c r="M276" s="305"/>
      <c r="N276" s="306" t="str">
        <f>IF(A276&lt;&gt;"", J276 / VLOOKUP(A276, '[1]Курс валют'!$A:$D, 4, 0), "")</f>
        <v/>
      </c>
      <c r="O276" s="307"/>
    </row>
    <row r="277" spans="1:15" x14ac:dyDescent="0.45">
      <c r="A277" s="310"/>
      <c r="B277" s="309"/>
      <c r="C277" s="301"/>
      <c r="D277" s="337"/>
      <c r="E277" s="301"/>
      <c r="F277" s="302"/>
      <c r="G277" s="301"/>
      <c r="H277" s="343"/>
      <c r="I277" s="301"/>
      <c r="J277" s="340"/>
      <c r="K277" s="303"/>
      <c r="L277" s="304"/>
      <c r="M277" s="305"/>
      <c r="N277" s="306" t="str">
        <f>IF(A277&lt;&gt;"", J277 / VLOOKUP(A277, '[1]Курс валют'!$A:$D, 4, 0), "")</f>
        <v/>
      </c>
      <c r="O277" s="307"/>
    </row>
    <row r="278" spans="1:15" x14ac:dyDescent="0.45">
      <c r="A278" s="310"/>
      <c r="B278" s="309"/>
      <c r="C278" s="301"/>
      <c r="D278" s="337"/>
      <c r="E278" s="301"/>
      <c r="F278" s="302"/>
      <c r="G278" s="301"/>
      <c r="H278" s="343"/>
      <c r="I278" s="301"/>
      <c r="J278" s="340"/>
      <c r="K278" s="303"/>
      <c r="L278" s="304"/>
      <c r="M278" s="305"/>
      <c r="N278" s="306" t="str">
        <f>IF(A278&lt;&gt;"", J278 / VLOOKUP(A278, '[1]Курс валют'!$A:$D, 4, 0), "")</f>
        <v/>
      </c>
      <c r="O278" s="307"/>
    </row>
    <row r="279" spans="1:15" x14ac:dyDescent="0.45">
      <c r="A279" s="310"/>
      <c r="B279" s="309"/>
      <c r="C279" s="301"/>
      <c r="D279" s="337"/>
      <c r="E279" s="301"/>
      <c r="F279" s="302"/>
      <c r="G279" s="301"/>
      <c r="H279" s="343"/>
      <c r="I279" s="301"/>
      <c r="J279" s="340"/>
      <c r="K279" s="303"/>
      <c r="L279" s="304"/>
      <c r="M279" s="305"/>
      <c r="N279" s="306" t="str">
        <f>IF(A279&lt;&gt;"", J279 / VLOOKUP(A279, '[1]Курс валют'!$A:$D, 4, 0), "")</f>
        <v/>
      </c>
      <c r="O279" s="307"/>
    </row>
    <row r="280" spans="1:15" x14ac:dyDescent="0.45">
      <c r="A280" s="310"/>
      <c r="B280" s="309"/>
      <c r="C280" s="301"/>
      <c r="D280" s="337"/>
      <c r="E280" s="301"/>
      <c r="F280" s="302"/>
      <c r="G280" s="301"/>
      <c r="H280" s="343"/>
      <c r="I280" s="301"/>
      <c r="J280" s="340"/>
      <c r="K280" s="303"/>
      <c r="L280" s="304"/>
      <c r="M280" s="305"/>
      <c r="N280" s="306" t="str">
        <f>IF(A280&lt;&gt;"", J280 / VLOOKUP(A280, '[1]Курс валют'!$A:$D, 4, 0), "")</f>
        <v/>
      </c>
      <c r="O280" s="307"/>
    </row>
    <row r="281" spans="1:15" x14ac:dyDescent="0.45">
      <c r="A281" s="310"/>
      <c r="B281" s="309"/>
      <c r="C281" s="301"/>
      <c r="D281" s="337"/>
      <c r="E281" s="301"/>
      <c r="F281" s="302"/>
      <c r="G281" s="301"/>
      <c r="H281" s="343"/>
      <c r="I281" s="301"/>
      <c r="J281" s="340"/>
      <c r="K281" s="303"/>
      <c r="L281" s="304"/>
      <c r="M281" s="305"/>
      <c r="N281" s="306" t="str">
        <f>IF(A281&lt;&gt;"", J281 / VLOOKUP(A281, '[1]Курс валют'!$A:$D, 4, 0), "")</f>
        <v/>
      </c>
      <c r="O281" s="307"/>
    </row>
    <row r="282" spans="1:15" x14ac:dyDescent="0.45">
      <c r="A282" s="310"/>
      <c r="B282" s="309"/>
      <c r="C282" s="301"/>
      <c r="D282" s="337"/>
      <c r="E282" s="301"/>
      <c r="F282" s="302"/>
      <c r="G282" s="301"/>
      <c r="H282" s="343"/>
      <c r="I282" s="301"/>
      <c r="J282" s="340"/>
      <c r="K282" s="303"/>
      <c r="L282" s="304"/>
      <c r="M282" s="305"/>
      <c r="N282" s="306" t="str">
        <f>IF(A282&lt;&gt;"", J282 / VLOOKUP(A282, '[1]Курс валют'!$A:$D, 4, 0), "")</f>
        <v/>
      </c>
      <c r="O282" s="307"/>
    </row>
    <row r="283" spans="1:15" x14ac:dyDescent="0.45">
      <c r="A283" s="310"/>
      <c r="B283" s="309"/>
      <c r="C283" s="301"/>
      <c r="D283" s="337"/>
      <c r="E283" s="301"/>
      <c r="F283" s="302"/>
      <c r="G283" s="301"/>
      <c r="H283" s="343"/>
      <c r="I283" s="301"/>
      <c r="J283" s="340"/>
      <c r="K283" s="303"/>
      <c r="L283" s="304"/>
      <c r="M283" s="305"/>
      <c r="N283" s="306" t="str">
        <f>IF(A283&lt;&gt;"", J283 / VLOOKUP(A283, '[1]Курс валют'!$A:$D, 4, 0), "")</f>
        <v/>
      </c>
      <c r="O283" s="307"/>
    </row>
    <row r="284" spans="1:15" x14ac:dyDescent="0.45">
      <c r="A284" s="310"/>
      <c r="B284" s="309"/>
      <c r="C284" s="301"/>
      <c r="D284" s="337"/>
      <c r="E284" s="301"/>
      <c r="F284" s="302"/>
      <c r="G284" s="301"/>
      <c r="H284" s="343"/>
      <c r="I284" s="301"/>
      <c r="J284" s="340"/>
      <c r="K284" s="303"/>
      <c r="L284" s="304"/>
      <c r="M284" s="305"/>
      <c r="N284" s="306" t="str">
        <f>IF(A284&lt;&gt;"", J284 / VLOOKUP(A284, '[1]Курс валют'!$A:$D, 4, 0), "")</f>
        <v/>
      </c>
      <c r="O284" s="307"/>
    </row>
    <row r="285" spans="1:15" x14ac:dyDescent="0.45">
      <c r="A285" s="310"/>
      <c r="B285" s="309"/>
      <c r="C285" s="301"/>
      <c r="D285" s="337"/>
      <c r="E285" s="301"/>
      <c r="F285" s="302"/>
      <c r="G285" s="301"/>
      <c r="H285" s="343"/>
      <c r="I285" s="301"/>
      <c r="J285" s="340"/>
      <c r="K285" s="303"/>
      <c r="L285" s="304"/>
      <c r="M285" s="305"/>
      <c r="N285" s="306" t="str">
        <f>IF(A285&lt;&gt;"", J285 / VLOOKUP(A285, '[1]Курс валют'!$A:$D, 4, 0), "")</f>
        <v/>
      </c>
      <c r="O285" s="307"/>
    </row>
    <row r="286" spans="1:15" x14ac:dyDescent="0.45">
      <c r="A286" s="310"/>
      <c r="B286" s="309"/>
      <c r="C286" s="301"/>
      <c r="D286" s="337"/>
      <c r="E286" s="301"/>
      <c r="F286" s="302"/>
      <c r="G286" s="301"/>
      <c r="H286" s="343"/>
      <c r="I286" s="301"/>
      <c r="J286" s="340"/>
      <c r="K286" s="303"/>
      <c r="L286" s="304"/>
      <c r="M286" s="305"/>
      <c r="N286" s="306" t="str">
        <f>IF(A286&lt;&gt;"", J286 / VLOOKUP(A286, '[1]Курс валют'!$A:$D, 4, 0), "")</f>
        <v/>
      </c>
      <c r="O286" s="307"/>
    </row>
    <row r="287" spans="1:15" x14ac:dyDescent="0.45">
      <c r="A287" s="310"/>
      <c r="B287" s="309"/>
      <c r="C287" s="301"/>
      <c r="D287" s="337"/>
      <c r="E287" s="301"/>
      <c r="F287" s="302"/>
      <c r="G287" s="301"/>
      <c r="H287" s="343"/>
      <c r="I287" s="301"/>
      <c r="J287" s="340"/>
      <c r="K287" s="303"/>
      <c r="L287" s="304"/>
      <c r="M287" s="305"/>
      <c r="N287" s="306" t="str">
        <f>IF(A287&lt;&gt;"", J287 / VLOOKUP(A287, '[1]Курс валют'!$A:$D, 4, 0), "")</f>
        <v/>
      </c>
      <c r="O287" s="307"/>
    </row>
    <row r="288" spans="1:15" x14ac:dyDescent="0.45">
      <c r="A288" s="310"/>
      <c r="B288" s="309"/>
      <c r="C288" s="301"/>
      <c r="D288" s="337"/>
      <c r="E288" s="301"/>
      <c r="F288" s="302"/>
      <c r="G288" s="301"/>
      <c r="H288" s="343"/>
      <c r="I288" s="301"/>
      <c r="J288" s="340"/>
      <c r="K288" s="303"/>
      <c r="L288" s="304"/>
      <c r="M288" s="305"/>
      <c r="N288" s="306" t="str">
        <f>IF(A288&lt;&gt;"", J288 / VLOOKUP(A288, '[1]Курс валют'!$A:$D, 4, 0), "")</f>
        <v/>
      </c>
      <c r="O288" s="307"/>
    </row>
    <row r="289" spans="1:15" x14ac:dyDescent="0.45">
      <c r="A289" s="310"/>
      <c r="B289" s="309"/>
      <c r="C289" s="301"/>
      <c r="D289" s="337"/>
      <c r="E289" s="301"/>
      <c r="F289" s="302"/>
      <c r="G289" s="301"/>
      <c r="H289" s="343"/>
      <c r="I289" s="301"/>
      <c r="J289" s="340"/>
      <c r="K289" s="303"/>
      <c r="L289" s="304"/>
      <c r="M289" s="305"/>
      <c r="N289" s="306" t="str">
        <f>IF(A289&lt;&gt;"", J289 / VLOOKUP(A289, '[1]Курс валют'!$A:$D, 4, 0), "")</f>
        <v/>
      </c>
      <c r="O289" s="307"/>
    </row>
    <row r="290" spans="1:15" x14ac:dyDescent="0.45">
      <c r="A290" s="310"/>
      <c r="B290" s="309"/>
      <c r="C290" s="301"/>
      <c r="D290" s="337"/>
      <c r="E290" s="301"/>
      <c r="F290" s="302"/>
      <c r="G290" s="301"/>
      <c r="H290" s="343"/>
      <c r="I290" s="301"/>
      <c r="J290" s="340"/>
      <c r="K290" s="303"/>
      <c r="L290" s="304"/>
      <c r="M290" s="305"/>
      <c r="N290" s="306" t="str">
        <f>IF(A290&lt;&gt;"", J290 / VLOOKUP(A290, '[1]Курс валют'!$A:$D, 4, 0), "")</f>
        <v/>
      </c>
      <c r="O290" s="307"/>
    </row>
    <row r="291" spans="1:15" x14ac:dyDescent="0.45">
      <c r="A291" s="310"/>
      <c r="B291" s="309"/>
      <c r="C291" s="301"/>
      <c r="D291" s="337"/>
      <c r="E291" s="301"/>
      <c r="F291" s="302"/>
      <c r="G291" s="301"/>
      <c r="H291" s="343"/>
      <c r="I291" s="301"/>
      <c r="J291" s="340"/>
      <c r="K291" s="303"/>
      <c r="L291" s="304"/>
      <c r="M291" s="305"/>
      <c r="N291" s="306" t="str">
        <f>IF(A291&lt;&gt;"", J291 / VLOOKUP(A291, '[1]Курс валют'!$A:$D, 4, 0), "")</f>
        <v/>
      </c>
      <c r="O291" s="307"/>
    </row>
    <row r="292" spans="1:15" x14ac:dyDescent="0.45">
      <c r="A292" s="310"/>
      <c r="B292" s="309"/>
      <c r="C292" s="301"/>
      <c r="D292" s="337"/>
      <c r="E292" s="301"/>
      <c r="F292" s="302"/>
      <c r="G292" s="301"/>
      <c r="H292" s="343"/>
      <c r="I292" s="301"/>
      <c r="J292" s="340"/>
      <c r="K292" s="303"/>
      <c r="L292" s="304"/>
      <c r="M292" s="305"/>
      <c r="N292" s="306" t="str">
        <f>IF(A292&lt;&gt;"", J292 / VLOOKUP(A292, '[1]Курс валют'!$A:$D, 4, 0), "")</f>
        <v/>
      </c>
      <c r="O292" s="307"/>
    </row>
    <row r="293" spans="1:15" x14ac:dyDescent="0.45">
      <c r="A293" s="310"/>
      <c r="B293" s="309"/>
      <c r="C293" s="301"/>
      <c r="D293" s="337"/>
      <c r="E293" s="301"/>
      <c r="F293" s="302"/>
      <c r="G293" s="301"/>
      <c r="H293" s="343"/>
      <c r="I293" s="301"/>
      <c r="J293" s="340"/>
      <c r="K293" s="303"/>
      <c r="L293" s="304"/>
      <c r="M293" s="305"/>
      <c r="N293" s="306" t="str">
        <f>IF(A293&lt;&gt;"", J293 / VLOOKUP(A293, '[1]Курс валют'!$A:$D, 4, 0), "")</f>
        <v/>
      </c>
      <c r="O293" s="307"/>
    </row>
    <row r="294" spans="1:15" x14ac:dyDescent="0.45">
      <c r="A294" s="310"/>
      <c r="B294" s="309"/>
      <c r="C294" s="301"/>
      <c r="D294" s="337"/>
      <c r="E294" s="301"/>
      <c r="F294" s="302"/>
      <c r="G294" s="301"/>
      <c r="H294" s="343"/>
      <c r="I294" s="301"/>
      <c r="J294" s="340"/>
      <c r="K294" s="303"/>
      <c r="L294" s="304"/>
      <c r="M294" s="305"/>
      <c r="N294" s="306" t="str">
        <f>IF(A294&lt;&gt;"", J294 / VLOOKUP(A294, '[1]Курс валют'!$A:$D, 4, 0), "")</f>
        <v/>
      </c>
      <c r="O294" s="307"/>
    </row>
    <row r="295" spans="1:15" x14ac:dyDescent="0.45">
      <c r="A295" s="310"/>
      <c r="B295" s="309"/>
      <c r="C295" s="301"/>
      <c r="D295" s="337"/>
      <c r="E295" s="301"/>
      <c r="F295" s="302"/>
      <c r="G295" s="301"/>
      <c r="H295" s="343"/>
      <c r="I295" s="301"/>
      <c r="J295" s="340"/>
      <c r="K295" s="303"/>
      <c r="L295" s="304"/>
      <c r="M295" s="305"/>
      <c r="N295" s="306" t="str">
        <f>IF(A295&lt;&gt;"", J295 / VLOOKUP(A295, '[1]Курс валют'!$A:$D, 4, 0), "")</f>
        <v/>
      </c>
      <c r="O295" s="307"/>
    </row>
    <row r="296" spans="1:15" x14ac:dyDescent="0.45">
      <c r="A296" s="310"/>
      <c r="B296" s="309"/>
      <c r="C296" s="301"/>
      <c r="D296" s="337"/>
      <c r="E296" s="301"/>
      <c r="F296" s="302"/>
      <c r="G296" s="301"/>
      <c r="H296" s="343"/>
      <c r="I296" s="301"/>
      <c r="J296" s="340"/>
      <c r="K296" s="303"/>
      <c r="L296" s="304"/>
      <c r="M296" s="305"/>
      <c r="N296" s="306" t="str">
        <f>IF(A296&lt;&gt;"", J296 / VLOOKUP(A296, '[1]Курс валют'!$A:$D, 4, 0), "")</f>
        <v/>
      </c>
      <c r="O296" s="307"/>
    </row>
    <row r="297" spans="1:15" x14ac:dyDescent="0.45">
      <c r="A297" s="310"/>
      <c r="B297" s="309"/>
      <c r="C297" s="301"/>
      <c r="D297" s="337"/>
      <c r="E297" s="301"/>
      <c r="F297" s="302"/>
      <c r="G297" s="301"/>
      <c r="H297" s="343"/>
      <c r="I297" s="301"/>
      <c r="J297" s="340"/>
      <c r="K297" s="303"/>
      <c r="L297" s="304"/>
      <c r="M297" s="305"/>
      <c r="N297" s="306" t="str">
        <f>IF(A297&lt;&gt;"", J297 / VLOOKUP(A297, '[1]Курс валют'!$A:$D, 4, 0), "")</f>
        <v/>
      </c>
      <c r="O297" s="307"/>
    </row>
    <row r="298" spans="1:15" x14ac:dyDescent="0.45">
      <c r="A298" s="310"/>
      <c r="B298" s="309"/>
      <c r="C298" s="301"/>
      <c r="D298" s="337"/>
      <c r="E298" s="301"/>
      <c r="F298" s="302"/>
      <c r="G298" s="301"/>
      <c r="H298" s="343"/>
      <c r="I298" s="301"/>
      <c r="J298" s="340"/>
      <c r="K298" s="303"/>
      <c r="L298" s="304"/>
      <c r="M298" s="305"/>
      <c r="N298" s="306" t="str">
        <f>IF(A298&lt;&gt;"", J298 / VLOOKUP(A298, '[1]Курс валют'!$A:$D, 4, 0), "")</f>
        <v/>
      </c>
      <c r="O298" s="307"/>
    </row>
    <row r="299" spans="1:15" x14ac:dyDescent="0.45">
      <c r="A299" s="310"/>
      <c r="B299" s="309"/>
      <c r="C299" s="301"/>
      <c r="D299" s="337"/>
      <c r="E299" s="301"/>
      <c r="F299" s="302"/>
      <c r="G299" s="301"/>
      <c r="H299" s="343"/>
      <c r="I299" s="301"/>
      <c r="J299" s="340"/>
      <c r="K299" s="303"/>
      <c r="L299" s="304"/>
      <c r="M299" s="305"/>
      <c r="N299" s="306" t="str">
        <f>IF(A299&lt;&gt;"", J299 / VLOOKUP(A299, '[1]Курс валют'!$A:$D, 4, 0), "")</f>
        <v/>
      </c>
      <c r="O299" s="307"/>
    </row>
    <row r="300" spans="1:15" x14ac:dyDescent="0.45">
      <c r="A300" s="310"/>
      <c r="B300" s="309"/>
      <c r="C300" s="301"/>
      <c r="D300" s="337"/>
      <c r="E300" s="301"/>
      <c r="F300" s="302"/>
      <c r="G300" s="301"/>
      <c r="H300" s="343"/>
      <c r="I300" s="301"/>
      <c r="J300" s="340"/>
      <c r="K300" s="303"/>
      <c r="L300" s="304"/>
      <c r="M300" s="305"/>
      <c r="N300" s="306" t="str">
        <f>IF(A300&lt;&gt;"", J300 / VLOOKUP(A300, '[1]Курс валют'!$A:$D, 4, 0), "")</f>
        <v/>
      </c>
      <c r="O300" s="307"/>
    </row>
    <row r="301" spans="1:15" x14ac:dyDescent="0.45">
      <c r="A301" s="311"/>
      <c r="B301" s="312"/>
      <c r="C301" s="313"/>
      <c r="D301" s="338"/>
      <c r="E301" s="313"/>
      <c r="F301" s="314"/>
      <c r="G301" s="313"/>
      <c r="H301" s="344"/>
      <c r="I301" s="313"/>
      <c r="J301" s="341"/>
      <c r="K301" s="315"/>
      <c r="L301" s="316"/>
      <c r="M301" s="317"/>
      <c r="N301" s="318" t="str">
        <f>IF(A301&lt;&gt;"", J301 / VLOOKUP(A301, '[1]Курс валют'!$A:$D, 4, 0), "")</f>
        <v/>
      </c>
      <c r="O301" s="319"/>
    </row>
    <row r="302" spans="1:15" x14ac:dyDescent="0.45">
      <c r="A302" s="245"/>
      <c r="B302" s="246"/>
      <c r="C302" s="247"/>
      <c r="D302" s="248"/>
      <c r="E302" s="249"/>
      <c r="F302" s="249"/>
      <c r="G302" s="249"/>
      <c r="H302" s="250"/>
      <c r="I302" s="249"/>
      <c r="J302" s="251"/>
      <c r="K302" s="249"/>
      <c r="L302" s="249"/>
      <c r="M302" s="252"/>
      <c r="O302" s="249"/>
    </row>
  </sheetData>
  <conditionalFormatting sqref="A2:G301">
    <cfRule type="expression" dxfId="20" priority="1">
      <formula>MOD(ROW(),2)=0</formula>
    </cfRule>
  </conditionalFormatting>
  <conditionalFormatting sqref="A2:O301">
    <cfRule type="expression" dxfId="19" priority="4">
      <formula>OR(ISNUMBER(SEARCH("Итог",$A2)),ISNUMBER(SEARCH("Итог",$B2)))</formula>
    </cfRule>
  </conditionalFormatting>
  <conditionalFormatting sqref="C2:C301">
    <cfRule type="expression" dxfId="18" priority="6">
      <formula>AND($C2&lt;&gt;"",ISERROR(SEARCH("Итог",$B2)))</formula>
    </cfRule>
  </conditionalFormatting>
  <conditionalFormatting sqref="G2:G301">
    <cfRule type="expression" dxfId="17" priority="5">
      <formula>$G2="USD"</formula>
    </cfRule>
  </conditionalFormatting>
  <conditionalFormatting sqref="I2:I301">
    <cfRule type="expression" dxfId="16" priority="2">
      <formula>MOD(ROW(),2)=0</formula>
    </cfRule>
  </conditionalFormatting>
  <conditionalFormatting sqref="K2:L301">
    <cfRule type="expression" dxfId="15" priority="3">
      <formula>MOD(ROW(),2)=0</formula>
    </cfRule>
  </conditionalFormatting>
  <dataValidations count="3">
    <dataValidation type="list" allowBlank="1" showInputMessage="1" showErrorMessage="1" sqref="G1:G1048576" xr:uid="{E8E63C95-72E2-45E3-AC3F-C310DF2A7635}">
      <formula1>"UZS,USD"</formula1>
    </dataValidation>
    <dataValidation type="list" allowBlank="1" showInputMessage="1" showErrorMessage="1" sqref="F1:F1048576" xr:uid="{292B3CFD-521C-40AE-BDA0-6530AFB2158B}">
      <formula1>"Наличные, Карта"</formula1>
    </dataValidation>
    <dataValidation type="list" allowBlank="1" showInputMessage="1" showErrorMessage="1" sqref="O1:O1048576" xr:uid="{89E9674C-2BA0-4205-A627-8ED737047A4B}">
      <formula1>"Возвращен, При себе"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CF574-C206-4583-AD73-E67F5E0580DD}">
  <sheetPr codeName="Worksheet____12"/>
  <dimension ref="A1:G64"/>
  <sheetViews>
    <sheetView workbookViewId="0">
      <pane ySplit="1" topLeftCell="A33" activePane="bottomLeft" state="frozen"/>
      <selection pane="bottomLeft" activeCell="A7" sqref="A7:G7"/>
    </sheetView>
  </sheetViews>
  <sheetFormatPr defaultRowHeight="14.25" outlineLevelRow="2" x14ac:dyDescent="0.45"/>
  <cols>
    <col min="1" max="1" width="19.6640625" customWidth="1"/>
    <col min="2" max="2" width="28.3984375" customWidth="1"/>
    <col min="3" max="3" width="16.796875" customWidth="1"/>
    <col min="4" max="4" width="13.33203125" customWidth="1"/>
    <col min="5" max="5" width="24.86328125" customWidth="1"/>
    <col min="6" max="6" width="26.796875" customWidth="1"/>
    <col min="7" max="7" width="19.6640625" customWidth="1"/>
  </cols>
  <sheetData>
    <row r="1" spans="1:7" ht="42" customHeight="1" thickBot="1" x14ac:dyDescent="0.5">
      <c r="A1" s="375" t="s">
        <v>26</v>
      </c>
      <c r="B1" s="376" t="s">
        <v>54</v>
      </c>
      <c r="C1" s="376" t="s">
        <v>33</v>
      </c>
      <c r="D1" s="376" t="s">
        <v>34</v>
      </c>
      <c r="E1" s="376" t="s">
        <v>55</v>
      </c>
      <c r="F1" s="376" t="s">
        <v>56</v>
      </c>
      <c r="G1" s="377" t="s">
        <v>36</v>
      </c>
    </row>
    <row r="2" spans="1:7" ht="14.65" outlineLevel="2" thickTop="1" x14ac:dyDescent="0.45">
      <c r="A2" s="369">
        <v>46058</v>
      </c>
      <c r="B2" s="370" t="s">
        <v>517</v>
      </c>
      <c r="C2" s="371" t="s">
        <v>512</v>
      </c>
      <c r="D2" s="539">
        <v>8</v>
      </c>
      <c r="E2" s="372">
        <f>F2/D2</f>
        <v>387500</v>
      </c>
      <c r="F2" s="373">
        <v>3100000</v>
      </c>
      <c r="G2" s="374">
        <f>IF(A2&lt;&gt;"", F2 / VLOOKUP(A2, 'Курс валют'!$A:$D, 4, 0), "")</f>
        <v>254.09836065573771</v>
      </c>
    </row>
    <row r="3" spans="1:7" outlineLevel="2" x14ac:dyDescent="0.45">
      <c r="A3" s="365">
        <v>46058</v>
      </c>
      <c r="B3" s="355" t="s">
        <v>539</v>
      </c>
      <c r="C3" s="356" t="s">
        <v>558</v>
      </c>
      <c r="D3" s="540">
        <v>1</v>
      </c>
      <c r="E3" s="358">
        <f>F3/D3</f>
        <v>1000000</v>
      </c>
      <c r="F3" s="359">
        <v>1000000</v>
      </c>
      <c r="G3" s="374">
        <f>IF(A3&lt;&gt;"", F3 / VLOOKUP(A3, 'Курс валют'!$A:$D, 4, 0), "")</f>
        <v>81.967213114754102</v>
      </c>
    </row>
    <row r="4" spans="1:7" outlineLevel="1" x14ac:dyDescent="0.45">
      <c r="A4" s="365" t="s">
        <v>368</v>
      </c>
      <c r="B4" s="355"/>
      <c r="C4" s="356"/>
      <c r="D4" s="540"/>
      <c r="E4" s="358"/>
      <c r="F4" s="359">
        <f>SUBTOTAL(9,F2:F3)</f>
        <v>4100000</v>
      </c>
      <c r="G4" s="374" t="e">
        <f>IF(A4&lt;&gt;"", F4 / VLOOKUP(A4, 'Курс валют'!$A:$D, 4, 0), "")</f>
        <v>#N/A</v>
      </c>
    </row>
    <row r="5" spans="1:7" outlineLevel="2" x14ac:dyDescent="0.45">
      <c r="A5" s="365">
        <v>46061</v>
      </c>
      <c r="B5" s="355" t="s">
        <v>531</v>
      </c>
      <c r="C5" s="356" t="s">
        <v>660</v>
      </c>
      <c r="D5" s="540">
        <v>14</v>
      </c>
      <c r="E5" s="358">
        <f>F5/D5</f>
        <v>74285.71428571429</v>
      </c>
      <c r="F5" s="359">
        <v>1040000</v>
      </c>
      <c r="G5" s="374">
        <f>IF(A5&lt;&gt;"", F5 / VLOOKUP(A5, 'Курс валют'!$A:$D, 4, 0), "")</f>
        <v>85.245901639344268</v>
      </c>
    </row>
    <row r="6" spans="1:7" outlineLevel="2" x14ac:dyDescent="0.45">
      <c r="A6" s="365">
        <v>46061</v>
      </c>
      <c r="B6" s="355" t="s">
        <v>517</v>
      </c>
      <c r="C6" s="356" t="s">
        <v>512</v>
      </c>
      <c r="D6" s="540">
        <v>8</v>
      </c>
      <c r="E6" s="358">
        <f t="shared" ref="E6:E64" si="0">F6/D6</f>
        <v>400000</v>
      </c>
      <c r="F6" s="359">
        <v>3200000</v>
      </c>
      <c r="G6" s="374">
        <f>IF(A6&lt;&gt;"", F6 / VLOOKUP(A6, 'Курс валют'!$A:$D, 4, 0), "")</f>
        <v>262.29508196721309</v>
      </c>
    </row>
    <row r="7" spans="1:7" outlineLevel="1" x14ac:dyDescent="0.45">
      <c r="A7" s="365" t="s">
        <v>661</v>
      </c>
      <c r="B7" s="355"/>
      <c r="C7" s="356"/>
      <c r="D7" s="540"/>
      <c r="E7" s="358"/>
      <c r="F7" s="359">
        <f>SUBTOTAL(9,F5:F6)</f>
        <v>4240000</v>
      </c>
      <c r="G7" s="374" t="e">
        <f>IF(A7&lt;&gt;"", F7 / VLOOKUP(A7, 'Курс валют'!$A:$D, 4, 0), "")</f>
        <v>#N/A</v>
      </c>
    </row>
    <row r="8" spans="1:7" outlineLevel="2" x14ac:dyDescent="0.45">
      <c r="A8" s="365">
        <v>46063</v>
      </c>
      <c r="B8" s="355" t="s">
        <v>538</v>
      </c>
      <c r="C8" s="356" t="s">
        <v>512</v>
      </c>
      <c r="D8" s="540">
        <v>4.5</v>
      </c>
      <c r="E8" s="358">
        <f t="shared" si="0"/>
        <v>380000</v>
      </c>
      <c r="F8" s="359">
        <v>1710000</v>
      </c>
      <c r="G8" s="374">
        <f>IF(A8&lt;&gt;"", F8 / VLOOKUP(A8, 'Курс валют'!$A:$D, 4, 0), "")</f>
        <v>140.1639344262295</v>
      </c>
    </row>
    <row r="9" spans="1:7" outlineLevel="2" x14ac:dyDescent="0.45">
      <c r="A9" s="365">
        <v>46063</v>
      </c>
      <c r="B9" s="355" t="s">
        <v>531</v>
      </c>
      <c r="C9" s="356" t="s">
        <v>660</v>
      </c>
      <c r="D9" s="540">
        <v>6.5</v>
      </c>
      <c r="E9" s="358">
        <f t="shared" si="0"/>
        <v>100000</v>
      </c>
      <c r="F9" s="359">
        <v>650000</v>
      </c>
      <c r="G9" s="374">
        <f>IF(A9&lt;&gt;"", F9 / VLOOKUP(A9, 'Курс валют'!$A:$D, 4, 0), "")</f>
        <v>53.278688524590166</v>
      </c>
    </row>
    <row r="10" spans="1:7" outlineLevel="2" x14ac:dyDescent="0.45">
      <c r="A10" s="365">
        <v>46063</v>
      </c>
      <c r="B10" s="355" t="s">
        <v>517</v>
      </c>
      <c r="C10" s="356" t="s">
        <v>512</v>
      </c>
      <c r="D10" s="540">
        <v>5</v>
      </c>
      <c r="E10" s="358">
        <f t="shared" si="0"/>
        <v>650000</v>
      </c>
      <c r="F10" s="359">
        <v>3250000</v>
      </c>
      <c r="G10" s="374">
        <f>IF(A10&lt;&gt;"", F10 / VLOOKUP(A10, 'Курс валют'!$A:$D, 4, 0), "")</f>
        <v>266.39344262295083</v>
      </c>
    </row>
    <row r="11" spans="1:7" outlineLevel="1" x14ac:dyDescent="0.45">
      <c r="A11" s="365" t="s">
        <v>86</v>
      </c>
      <c r="B11" s="355"/>
      <c r="C11" s="356"/>
      <c r="D11" s="540"/>
      <c r="E11" s="358"/>
      <c r="F11" s="359">
        <f>SUBTOTAL(9,F8:F10)</f>
        <v>5610000</v>
      </c>
      <c r="G11" s="374" t="e">
        <f>IF(A11&lt;&gt;"", F11 / VLOOKUP(A11, 'Курс валют'!$A:$D, 4, 0), "")</f>
        <v>#N/A</v>
      </c>
    </row>
    <row r="12" spans="1:7" outlineLevel="2" x14ac:dyDescent="0.45">
      <c r="A12" s="365">
        <v>46064</v>
      </c>
      <c r="B12" s="355" t="s">
        <v>539</v>
      </c>
      <c r="C12" s="356" t="s">
        <v>540</v>
      </c>
      <c r="D12" s="540">
        <v>1</v>
      </c>
      <c r="E12" s="358">
        <f t="shared" si="0"/>
        <v>2100000</v>
      </c>
      <c r="F12" s="359">
        <v>2100000</v>
      </c>
      <c r="G12" s="374">
        <f>IF(A12&lt;&gt;"", F12 / VLOOKUP(A12, 'Курс валют'!$A:$D, 4, 0), "")</f>
        <v>170.59301380991064</v>
      </c>
    </row>
    <row r="13" spans="1:7" outlineLevel="2" x14ac:dyDescent="0.45">
      <c r="A13" s="365">
        <v>46064</v>
      </c>
      <c r="B13" s="355" t="s">
        <v>541</v>
      </c>
      <c r="C13" s="356" t="s">
        <v>660</v>
      </c>
      <c r="D13" s="540">
        <v>9</v>
      </c>
      <c r="E13" s="358">
        <f t="shared" si="0"/>
        <v>70000</v>
      </c>
      <c r="F13" s="359">
        <v>630000</v>
      </c>
      <c r="G13" s="374">
        <f>IF(A13&lt;&gt;"", F13 / VLOOKUP(A13, 'Курс валют'!$A:$D, 4, 0), "")</f>
        <v>51.17790414297319</v>
      </c>
    </row>
    <row r="14" spans="1:7" outlineLevel="2" x14ac:dyDescent="0.45">
      <c r="A14" s="365">
        <v>46064</v>
      </c>
      <c r="B14" s="355" t="s">
        <v>531</v>
      </c>
      <c r="C14" s="356" t="s">
        <v>660</v>
      </c>
      <c r="D14" s="540">
        <v>12</v>
      </c>
      <c r="E14" s="358">
        <f t="shared" si="0"/>
        <v>130000</v>
      </c>
      <c r="F14" s="359">
        <v>1560000</v>
      </c>
      <c r="G14" s="374">
        <f>IF(A14&lt;&gt;"", F14 / VLOOKUP(A14, 'Курс валют'!$A:$D, 4, 0), "")</f>
        <v>126.72623883021933</v>
      </c>
    </row>
    <row r="15" spans="1:7" outlineLevel="2" x14ac:dyDescent="0.45">
      <c r="A15" s="365">
        <v>46064</v>
      </c>
      <c r="B15" s="355" t="s">
        <v>517</v>
      </c>
      <c r="C15" s="356" t="s">
        <v>512</v>
      </c>
      <c r="D15" s="540">
        <v>4.5</v>
      </c>
      <c r="E15" s="358">
        <f t="shared" si="0"/>
        <v>400000</v>
      </c>
      <c r="F15" s="359">
        <v>1800000</v>
      </c>
      <c r="G15" s="374">
        <f>IF(A15&lt;&gt;"", F15 / VLOOKUP(A15, 'Курс валют'!$A:$D, 4, 0), "")</f>
        <v>146.2225832656377</v>
      </c>
    </row>
    <row r="16" spans="1:7" outlineLevel="2" x14ac:dyDescent="0.45">
      <c r="A16" s="365">
        <v>46064</v>
      </c>
      <c r="B16" s="355" t="s">
        <v>517</v>
      </c>
      <c r="C16" s="356" t="s">
        <v>512</v>
      </c>
      <c r="D16" s="540">
        <v>9</v>
      </c>
      <c r="E16" s="358">
        <f t="shared" si="0"/>
        <v>650000</v>
      </c>
      <c r="F16" s="359">
        <v>5850000</v>
      </c>
      <c r="G16" s="374">
        <f>IF(A16&lt;&gt;"", F16 / VLOOKUP(A16, 'Курс валют'!$A:$D, 4, 0), "")</f>
        <v>475.22339561332251</v>
      </c>
    </row>
    <row r="17" spans="1:7" outlineLevel="2" x14ac:dyDescent="0.45">
      <c r="A17" s="365">
        <v>46064</v>
      </c>
      <c r="B17" s="355" t="s">
        <v>542</v>
      </c>
      <c r="C17" s="356" t="s">
        <v>543</v>
      </c>
      <c r="D17" s="540">
        <v>1</v>
      </c>
      <c r="E17" s="358">
        <f t="shared" si="0"/>
        <v>4000000</v>
      </c>
      <c r="F17" s="359">
        <v>4000000</v>
      </c>
      <c r="G17" s="374">
        <f>IF(A17&lt;&gt;"", F17 / VLOOKUP(A17, 'Курс валют'!$A:$D, 4, 0), "")</f>
        <v>324.93907392363934</v>
      </c>
    </row>
    <row r="18" spans="1:7" outlineLevel="2" x14ac:dyDescent="0.45">
      <c r="A18" s="365">
        <v>46064</v>
      </c>
      <c r="B18" s="355" t="s">
        <v>539</v>
      </c>
      <c r="C18" s="356" t="s">
        <v>540</v>
      </c>
      <c r="D18" s="540">
        <v>1</v>
      </c>
      <c r="E18" s="358">
        <f t="shared" si="0"/>
        <v>2300000</v>
      </c>
      <c r="F18" s="359">
        <v>2300000</v>
      </c>
      <c r="G18" s="374">
        <f>IF(A18&lt;&gt;"", F18 / VLOOKUP(A18, 'Курс валют'!$A:$D, 4, 0), "")</f>
        <v>186.83996750609262</v>
      </c>
    </row>
    <row r="19" spans="1:7" outlineLevel="1" x14ac:dyDescent="0.45">
      <c r="A19" s="365" t="s">
        <v>662</v>
      </c>
      <c r="B19" s="355"/>
      <c r="C19" s="356"/>
      <c r="D19" s="540"/>
      <c r="E19" s="358"/>
      <c r="F19" s="359">
        <f>SUBTOTAL(9,F12:F18)</f>
        <v>18240000</v>
      </c>
      <c r="G19" s="374" t="e">
        <f>IF(A19&lt;&gt;"", F19 / VLOOKUP(A19, 'Курс валют'!$A:$D, 4, 0), "")</f>
        <v>#N/A</v>
      </c>
    </row>
    <row r="20" spans="1:7" outlineLevel="2" x14ac:dyDescent="0.45">
      <c r="A20" s="365">
        <v>46066</v>
      </c>
      <c r="B20" s="355" t="s">
        <v>517</v>
      </c>
      <c r="C20" s="356" t="s">
        <v>512</v>
      </c>
      <c r="D20" s="540">
        <v>2</v>
      </c>
      <c r="E20" s="358">
        <f t="shared" si="0"/>
        <v>750000</v>
      </c>
      <c r="F20" s="359">
        <v>1500000</v>
      </c>
      <c r="G20" s="374">
        <f>IF(A20&lt;&gt;"", F20 / VLOOKUP(A20, 'Курс валют'!$A:$D, 4, 0), "")</f>
        <v>122.95081967213115</v>
      </c>
    </row>
    <row r="21" spans="1:7" outlineLevel="1" x14ac:dyDescent="0.45">
      <c r="A21" s="365" t="s">
        <v>663</v>
      </c>
      <c r="B21" s="355"/>
      <c r="C21" s="356"/>
      <c r="D21" s="540"/>
      <c r="E21" s="358"/>
      <c r="F21" s="359">
        <f>SUBTOTAL(9,F20:F20)</f>
        <v>1500000</v>
      </c>
      <c r="G21" s="374" t="e">
        <f>IF(A21&lt;&gt;"", F21 / VLOOKUP(A21, 'Курс валют'!$A:$D, 4, 0), "")</f>
        <v>#N/A</v>
      </c>
    </row>
    <row r="22" spans="1:7" outlineLevel="2" x14ac:dyDescent="0.45">
      <c r="A22" s="365">
        <v>46070</v>
      </c>
      <c r="B22" s="355" t="s">
        <v>552</v>
      </c>
      <c r="C22" s="356" t="s">
        <v>512</v>
      </c>
      <c r="D22" s="540">
        <v>5</v>
      </c>
      <c r="E22" s="358">
        <f t="shared" si="0"/>
        <v>600000</v>
      </c>
      <c r="F22" s="359">
        <v>3000000</v>
      </c>
      <c r="G22" s="374">
        <f>IF(A22&lt;&gt;"", F22 / VLOOKUP(A22, 'Курс валют'!$A:$D, 4, 0), "")</f>
        <v>246.91358024691357</v>
      </c>
    </row>
    <row r="23" spans="1:7" outlineLevel="2" x14ac:dyDescent="0.45">
      <c r="A23" s="365">
        <v>46070</v>
      </c>
      <c r="B23" s="355" t="s">
        <v>517</v>
      </c>
      <c r="C23" s="356" t="s">
        <v>512</v>
      </c>
      <c r="D23" s="540">
        <v>1</v>
      </c>
      <c r="E23" s="358">
        <f t="shared" si="0"/>
        <v>400000</v>
      </c>
      <c r="F23" s="359">
        <v>400000</v>
      </c>
      <c r="G23" s="374">
        <f>IF(A23&lt;&gt;"", F23 / VLOOKUP(A23, 'Курс валют'!$A:$D, 4, 0), "")</f>
        <v>32.921810699588477</v>
      </c>
    </row>
    <row r="24" spans="1:7" outlineLevel="2" x14ac:dyDescent="0.45">
      <c r="A24" s="365">
        <v>46070</v>
      </c>
      <c r="B24" s="355" t="s">
        <v>539</v>
      </c>
      <c r="C24" s="356" t="s">
        <v>558</v>
      </c>
      <c r="D24" s="540">
        <v>1</v>
      </c>
      <c r="E24" s="358">
        <f t="shared" si="0"/>
        <v>1000000</v>
      </c>
      <c r="F24" s="359">
        <v>1000000</v>
      </c>
      <c r="G24" s="374">
        <f>IF(A24&lt;&gt;"", F24 / VLOOKUP(A24, 'Курс валют'!$A:$D, 4, 0), "")</f>
        <v>82.304526748971199</v>
      </c>
    </row>
    <row r="25" spans="1:7" outlineLevel="1" x14ac:dyDescent="0.45">
      <c r="A25" s="365" t="s">
        <v>92</v>
      </c>
      <c r="B25" s="355"/>
      <c r="C25" s="356"/>
      <c r="D25" s="540"/>
      <c r="E25" s="358"/>
      <c r="F25" s="359">
        <f>SUBTOTAL(9,F22:F24)</f>
        <v>4400000</v>
      </c>
      <c r="G25" s="374" t="e">
        <f>IF(A25&lt;&gt;"", F25 / VLOOKUP(A25, 'Курс валют'!$A:$D, 4, 0), "")</f>
        <v>#N/A</v>
      </c>
    </row>
    <row r="26" spans="1:7" outlineLevel="2" x14ac:dyDescent="0.45">
      <c r="A26" s="365">
        <v>46071</v>
      </c>
      <c r="B26" s="355" t="s">
        <v>559</v>
      </c>
      <c r="C26" s="356" t="s">
        <v>512</v>
      </c>
      <c r="D26" s="540">
        <v>2</v>
      </c>
      <c r="E26" s="358">
        <f t="shared" si="0"/>
        <v>1000000</v>
      </c>
      <c r="F26" s="359">
        <v>2000000</v>
      </c>
      <c r="G26" s="374">
        <f>IF(A26&lt;&gt;"", F26 / VLOOKUP(A26, 'Курс валют'!$A:$D, 4, 0), "")</f>
        <v>165.56291390728478</v>
      </c>
    </row>
    <row r="27" spans="1:7" outlineLevel="2" x14ac:dyDescent="0.45">
      <c r="A27" s="365">
        <v>46071</v>
      </c>
      <c r="B27" s="355" t="s">
        <v>560</v>
      </c>
      <c r="C27" s="356" t="s">
        <v>512</v>
      </c>
      <c r="D27" s="540">
        <v>4</v>
      </c>
      <c r="E27" s="358">
        <f t="shared" si="0"/>
        <v>450000</v>
      </c>
      <c r="F27" s="359">
        <v>1800000</v>
      </c>
      <c r="G27" s="374">
        <f>IF(A27&lt;&gt;"", F27 / VLOOKUP(A27, 'Курс валют'!$A:$D, 4, 0), "")</f>
        <v>149.00662251655629</v>
      </c>
    </row>
    <row r="28" spans="1:7" outlineLevel="2" x14ac:dyDescent="0.45">
      <c r="A28" s="365">
        <v>46071</v>
      </c>
      <c r="B28" s="355" t="s">
        <v>539</v>
      </c>
      <c r="C28" s="356" t="s">
        <v>541</v>
      </c>
      <c r="D28" s="540">
        <v>1</v>
      </c>
      <c r="E28" s="358">
        <f t="shared" si="0"/>
        <v>1000000</v>
      </c>
      <c r="F28" s="359">
        <v>1000000</v>
      </c>
      <c r="G28" s="374">
        <f>IF(A28&lt;&gt;"", F28 / VLOOKUP(A28, 'Курс валют'!$A:$D, 4, 0), "")</f>
        <v>82.78145695364239</v>
      </c>
    </row>
    <row r="29" spans="1:7" outlineLevel="1" x14ac:dyDescent="0.45">
      <c r="A29" s="365" t="s">
        <v>93</v>
      </c>
      <c r="B29" s="355"/>
      <c r="C29" s="356"/>
      <c r="D29" s="540"/>
      <c r="E29" s="358"/>
      <c r="F29" s="359">
        <f>SUBTOTAL(9,F26:F28)</f>
        <v>4800000</v>
      </c>
      <c r="G29" s="374" t="e">
        <f>IF(A29&lt;&gt;"", F29 / VLOOKUP(A29, 'Курс валют'!$A:$D, 4, 0), "")</f>
        <v>#N/A</v>
      </c>
    </row>
    <row r="30" spans="1:7" outlineLevel="2" x14ac:dyDescent="0.45">
      <c r="A30" s="365">
        <v>46072</v>
      </c>
      <c r="B30" s="355" t="s">
        <v>517</v>
      </c>
      <c r="C30" s="356" t="s">
        <v>65</v>
      </c>
      <c r="D30" s="540">
        <v>1</v>
      </c>
      <c r="E30" s="358">
        <f t="shared" si="0"/>
        <v>300000</v>
      </c>
      <c r="F30" s="359">
        <v>300000</v>
      </c>
      <c r="G30" s="374">
        <f>IF(A30&lt;&gt;"", F30 / VLOOKUP(A30, 'Курс валют'!$A:$D, 4, 0), "")</f>
        <v>25</v>
      </c>
    </row>
    <row r="31" spans="1:7" outlineLevel="1" x14ac:dyDescent="0.45">
      <c r="A31" s="365" t="s">
        <v>379</v>
      </c>
      <c r="B31" s="355"/>
      <c r="C31" s="356"/>
      <c r="D31" s="540"/>
      <c r="E31" s="358"/>
      <c r="F31" s="359">
        <f>SUBTOTAL(9,F30:F30)</f>
        <v>300000</v>
      </c>
      <c r="G31" s="374" t="e">
        <f>IF(A31&lt;&gt;"", F31 / VLOOKUP(A31, 'Курс валют'!$A:$D, 4, 0), "")</f>
        <v>#N/A</v>
      </c>
    </row>
    <row r="32" spans="1:7" outlineLevel="2" x14ac:dyDescent="0.45">
      <c r="A32" s="365">
        <v>46073</v>
      </c>
      <c r="B32" s="355" t="s">
        <v>539</v>
      </c>
      <c r="C32" s="356" t="s">
        <v>564</v>
      </c>
      <c r="D32" s="540">
        <v>1</v>
      </c>
      <c r="E32" s="358">
        <f t="shared" si="0"/>
        <v>2100000</v>
      </c>
      <c r="F32" s="359">
        <v>2100000</v>
      </c>
      <c r="G32" s="374">
        <f>IF(A32&lt;&gt;"", F32 / VLOOKUP(A32, 'Курс валют'!$A:$D, 4, 0), "")</f>
        <v>175</v>
      </c>
    </row>
    <row r="33" spans="1:7" outlineLevel="2" x14ac:dyDescent="0.45">
      <c r="A33" s="365">
        <v>46073</v>
      </c>
      <c r="B33" s="355" t="s">
        <v>517</v>
      </c>
      <c r="C33" s="356" t="s">
        <v>512</v>
      </c>
      <c r="D33" s="540">
        <v>4</v>
      </c>
      <c r="E33" s="358">
        <f t="shared" si="0"/>
        <v>400000</v>
      </c>
      <c r="F33" s="359">
        <v>1600000</v>
      </c>
      <c r="G33" s="374">
        <f>IF(A33&lt;&gt;"", F33 / VLOOKUP(A33, 'Курс валют'!$A:$D, 4, 0), "")</f>
        <v>133.33333333333334</v>
      </c>
    </row>
    <row r="34" spans="1:7" outlineLevel="1" x14ac:dyDescent="0.45">
      <c r="A34" s="365" t="s">
        <v>664</v>
      </c>
      <c r="B34" s="355"/>
      <c r="C34" s="356"/>
      <c r="D34" s="540"/>
      <c r="E34" s="358"/>
      <c r="F34" s="359">
        <f>SUBTOTAL(9,F32:F33)</f>
        <v>3700000</v>
      </c>
      <c r="G34" s="374" t="e">
        <f>IF(A34&lt;&gt;"", F34 / VLOOKUP(A34, 'Курс валют'!$A:$D, 4, 0), "")</f>
        <v>#N/A</v>
      </c>
    </row>
    <row r="35" spans="1:7" outlineLevel="2" x14ac:dyDescent="0.45">
      <c r="A35" s="365">
        <v>46074</v>
      </c>
      <c r="B35" s="355" t="s">
        <v>570</v>
      </c>
      <c r="C35" s="356" t="s">
        <v>512</v>
      </c>
      <c r="D35" s="540">
        <v>4</v>
      </c>
      <c r="E35" s="358">
        <f t="shared" si="0"/>
        <v>375000</v>
      </c>
      <c r="F35" s="359">
        <v>1500000</v>
      </c>
      <c r="G35" s="374">
        <f>IF(A35&lt;&gt;"", F35 / VLOOKUP(A35, 'Курс валют'!$A:$D, 4, 0), "")</f>
        <v>123.96694214876032</v>
      </c>
    </row>
    <row r="36" spans="1:7" outlineLevel="1" x14ac:dyDescent="0.45">
      <c r="A36" s="365" t="s">
        <v>665</v>
      </c>
      <c r="B36" s="355"/>
      <c r="C36" s="356"/>
      <c r="D36" s="540"/>
      <c r="E36" s="358"/>
      <c r="F36" s="359">
        <f>SUBTOTAL(9,F35:F35)</f>
        <v>1500000</v>
      </c>
      <c r="G36" s="374" t="e">
        <f>IF(A36&lt;&gt;"", F36 / VLOOKUP(A36, 'Курс валют'!$A:$D, 4, 0), "")</f>
        <v>#N/A</v>
      </c>
    </row>
    <row r="37" spans="1:7" outlineLevel="2" x14ac:dyDescent="0.45">
      <c r="A37" s="365">
        <v>46092</v>
      </c>
      <c r="B37" s="355" t="s">
        <v>517</v>
      </c>
      <c r="C37" s="356" t="s">
        <v>512</v>
      </c>
      <c r="D37" s="540">
        <v>4</v>
      </c>
      <c r="E37" s="358">
        <f t="shared" si="0"/>
        <v>300000</v>
      </c>
      <c r="F37" s="359">
        <v>1200000</v>
      </c>
      <c r="G37" s="374">
        <f>IF(A37&lt;&gt;"", F37 / VLOOKUP(A37, 'Курс валют'!$A:$D, 4, 0), "")</f>
        <v>99.173553719008268</v>
      </c>
    </row>
    <row r="38" spans="1:7" outlineLevel="2" x14ac:dyDescent="0.45">
      <c r="A38" s="365">
        <v>46092</v>
      </c>
      <c r="B38" s="355" t="s">
        <v>559</v>
      </c>
      <c r="C38" s="356" t="s">
        <v>512</v>
      </c>
      <c r="D38" s="540">
        <v>4</v>
      </c>
      <c r="E38" s="358">
        <f t="shared" si="0"/>
        <v>300000</v>
      </c>
      <c r="F38" s="359">
        <v>1200000</v>
      </c>
      <c r="G38" s="374">
        <f>IF(A38&lt;&gt;"", F38 / VLOOKUP(A38, 'Курс валют'!$A:$D, 4, 0), "")</f>
        <v>99.173553719008268</v>
      </c>
    </row>
    <row r="39" spans="1:7" outlineLevel="2" x14ac:dyDescent="0.45">
      <c r="A39" s="365">
        <v>46092</v>
      </c>
      <c r="B39" s="355" t="s">
        <v>597</v>
      </c>
      <c r="C39" s="356" t="s">
        <v>65</v>
      </c>
      <c r="D39" s="540">
        <v>1</v>
      </c>
      <c r="E39" s="358">
        <f t="shared" si="0"/>
        <v>800000</v>
      </c>
      <c r="F39" s="359">
        <v>800000</v>
      </c>
      <c r="G39" s="374">
        <f>IF(A39&lt;&gt;"", F39 / VLOOKUP(A39, 'Курс валют'!$A:$D, 4, 0), "")</f>
        <v>66.115702479338836</v>
      </c>
    </row>
    <row r="40" spans="1:7" outlineLevel="1" x14ac:dyDescent="0.45">
      <c r="A40" s="365" t="s">
        <v>101</v>
      </c>
      <c r="B40" s="355"/>
      <c r="C40" s="356"/>
      <c r="D40" s="540"/>
      <c r="E40" s="358"/>
      <c r="F40" s="359">
        <f>SUBTOTAL(9,F37:F39)</f>
        <v>3200000</v>
      </c>
      <c r="G40" s="374" t="e">
        <f>IF(A40&lt;&gt;"", F40 / VLOOKUP(A40, 'Курс валют'!$A:$D, 4, 0), "")</f>
        <v>#N/A</v>
      </c>
    </row>
    <row r="41" spans="1:7" outlineLevel="2" x14ac:dyDescent="0.45">
      <c r="A41" s="365">
        <v>46108</v>
      </c>
      <c r="B41" s="355" t="s">
        <v>612</v>
      </c>
      <c r="C41" s="356" t="s">
        <v>65</v>
      </c>
      <c r="D41" s="540">
        <v>1</v>
      </c>
      <c r="E41" s="358">
        <f t="shared" si="0"/>
        <v>300000</v>
      </c>
      <c r="F41" s="359">
        <v>300000</v>
      </c>
      <c r="G41" s="374">
        <f>IF(A41&lt;&gt;"", F41 / VLOOKUP(A41, 'Курс валют'!$A:$D, 4, 0), "")</f>
        <v>24.752475247524753</v>
      </c>
    </row>
    <row r="42" spans="1:7" outlineLevel="1" x14ac:dyDescent="0.45">
      <c r="A42" s="365" t="s">
        <v>666</v>
      </c>
      <c r="B42" s="355"/>
      <c r="C42" s="356"/>
      <c r="D42" s="540"/>
      <c r="E42" s="358"/>
      <c r="F42" s="359">
        <f>SUBTOTAL(9,F41:F41)</f>
        <v>300000</v>
      </c>
      <c r="G42" s="374" t="e">
        <f>IF(A42&lt;&gt;"", F42 / VLOOKUP(A42, 'Курс валют'!$A:$D, 4, 0), "")</f>
        <v>#N/A</v>
      </c>
    </row>
    <row r="43" spans="1:7" outlineLevel="2" x14ac:dyDescent="0.45">
      <c r="A43" s="365">
        <v>46121</v>
      </c>
      <c r="B43" s="355" t="s">
        <v>559</v>
      </c>
      <c r="C43" s="356" t="s">
        <v>65</v>
      </c>
      <c r="D43" s="540">
        <v>1</v>
      </c>
      <c r="E43" s="358">
        <f t="shared" si="0"/>
        <v>2000000</v>
      </c>
      <c r="F43" s="359">
        <v>2000000</v>
      </c>
      <c r="G43" s="374">
        <f>IF(A43&lt;&gt;"", F43 / VLOOKUP(A43, 'Курс валют'!$A:$D, 4, 0), "")</f>
        <v>164.6090534979424</v>
      </c>
    </row>
    <row r="44" spans="1:7" outlineLevel="1" x14ac:dyDescent="0.45">
      <c r="A44" s="365" t="s">
        <v>667</v>
      </c>
      <c r="B44" s="355"/>
      <c r="C44" s="356"/>
      <c r="D44" s="357"/>
      <c r="E44" s="358"/>
      <c r="F44" s="359">
        <f>SUBTOTAL(9,F43:F43)</f>
        <v>2000000</v>
      </c>
      <c r="G44" s="374" t="e">
        <f>IF(A44&lt;&gt;"", F44 / VLOOKUP(A44, 'Курс валют'!$A:$D, 4, 0), "")</f>
        <v>#N/A</v>
      </c>
    </row>
    <row r="45" spans="1:7" x14ac:dyDescent="0.45">
      <c r="A45" s="365" t="s">
        <v>53</v>
      </c>
      <c r="B45" s="355"/>
      <c r="C45" s="356"/>
      <c r="D45" s="357"/>
      <c r="E45" s="358"/>
      <c r="F45" s="359">
        <f>SUBTOTAL(9,F2:F43)</f>
        <v>53890000</v>
      </c>
      <c r="G45" s="367"/>
    </row>
    <row r="46" spans="1:7" x14ac:dyDescent="0.45">
      <c r="A46" s="365"/>
      <c r="B46" s="355"/>
      <c r="C46" s="356"/>
      <c r="D46" s="357"/>
      <c r="E46" s="358" t="e">
        <f t="shared" si="0"/>
        <v>#DIV/0!</v>
      </c>
      <c r="F46" s="359"/>
      <c r="G46" s="367"/>
    </row>
    <row r="47" spans="1:7" x14ac:dyDescent="0.45">
      <c r="A47" s="365"/>
      <c r="B47" s="355"/>
      <c r="C47" s="356"/>
      <c r="D47" s="357"/>
      <c r="E47" s="358" t="e">
        <f t="shared" si="0"/>
        <v>#DIV/0!</v>
      </c>
      <c r="F47" s="359"/>
      <c r="G47" s="367"/>
    </row>
    <row r="48" spans="1:7" x14ac:dyDescent="0.45">
      <c r="A48" s="365"/>
      <c r="B48" s="355"/>
      <c r="C48" s="356"/>
      <c r="D48" s="357"/>
      <c r="E48" s="358" t="e">
        <f t="shared" si="0"/>
        <v>#DIV/0!</v>
      </c>
      <c r="F48" s="359"/>
      <c r="G48" s="367"/>
    </row>
    <row r="49" spans="1:7" x14ac:dyDescent="0.45">
      <c r="A49" s="365"/>
      <c r="B49" s="355"/>
      <c r="C49" s="356"/>
      <c r="D49" s="357"/>
      <c r="E49" s="358" t="e">
        <f t="shared" si="0"/>
        <v>#DIV/0!</v>
      </c>
      <c r="F49" s="359"/>
      <c r="G49" s="367"/>
    </row>
    <row r="50" spans="1:7" x14ac:dyDescent="0.45">
      <c r="A50" s="365"/>
      <c r="B50" s="355"/>
      <c r="C50" s="356"/>
      <c r="D50" s="357"/>
      <c r="E50" s="358" t="e">
        <f t="shared" si="0"/>
        <v>#DIV/0!</v>
      </c>
      <c r="F50" s="359"/>
      <c r="G50" s="367"/>
    </row>
    <row r="51" spans="1:7" x14ac:dyDescent="0.45">
      <c r="A51" s="365"/>
      <c r="B51" s="355"/>
      <c r="C51" s="356"/>
      <c r="D51" s="357"/>
      <c r="E51" s="358" t="e">
        <f t="shared" si="0"/>
        <v>#DIV/0!</v>
      </c>
      <c r="F51" s="359"/>
      <c r="G51" s="367"/>
    </row>
    <row r="52" spans="1:7" x14ac:dyDescent="0.45">
      <c r="A52" s="365"/>
      <c r="B52" s="355"/>
      <c r="C52" s="356"/>
      <c r="D52" s="357"/>
      <c r="E52" s="358" t="e">
        <f t="shared" si="0"/>
        <v>#DIV/0!</v>
      </c>
      <c r="F52" s="359"/>
      <c r="G52" s="367"/>
    </row>
    <row r="53" spans="1:7" x14ac:dyDescent="0.45">
      <c r="A53" s="365"/>
      <c r="B53" s="355"/>
      <c r="C53" s="356"/>
      <c r="D53" s="357"/>
      <c r="E53" s="358" t="e">
        <f t="shared" si="0"/>
        <v>#DIV/0!</v>
      </c>
      <c r="F53" s="359"/>
      <c r="G53" s="367"/>
    </row>
    <row r="54" spans="1:7" x14ac:dyDescent="0.45">
      <c r="A54" s="365"/>
      <c r="B54" s="355"/>
      <c r="C54" s="356"/>
      <c r="D54" s="357"/>
      <c r="E54" s="358" t="e">
        <f t="shared" si="0"/>
        <v>#DIV/0!</v>
      </c>
      <c r="F54" s="359"/>
      <c r="G54" s="367"/>
    </row>
    <row r="55" spans="1:7" x14ac:dyDescent="0.45">
      <c r="A55" s="365"/>
      <c r="B55" s="355"/>
      <c r="C55" s="356"/>
      <c r="D55" s="357"/>
      <c r="E55" s="358" t="e">
        <f t="shared" si="0"/>
        <v>#DIV/0!</v>
      </c>
      <c r="F55" s="359"/>
      <c r="G55" s="367"/>
    </row>
    <row r="56" spans="1:7" x14ac:dyDescent="0.45">
      <c r="A56" s="365"/>
      <c r="B56" s="355"/>
      <c r="C56" s="356"/>
      <c r="D56" s="357"/>
      <c r="E56" s="358" t="e">
        <f t="shared" si="0"/>
        <v>#DIV/0!</v>
      </c>
      <c r="F56" s="359"/>
      <c r="G56" s="367"/>
    </row>
    <row r="57" spans="1:7" x14ac:dyDescent="0.45">
      <c r="A57" s="365"/>
      <c r="B57" s="355"/>
      <c r="C57" s="356"/>
      <c r="D57" s="357"/>
      <c r="E57" s="358" t="e">
        <f t="shared" si="0"/>
        <v>#DIV/0!</v>
      </c>
      <c r="F57" s="359"/>
      <c r="G57" s="367"/>
    </row>
    <row r="58" spans="1:7" x14ac:dyDescent="0.45">
      <c r="A58" s="365"/>
      <c r="B58" s="355"/>
      <c r="C58" s="356"/>
      <c r="D58" s="357"/>
      <c r="E58" s="358" t="e">
        <f t="shared" si="0"/>
        <v>#DIV/0!</v>
      </c>
      <c r="F58" s="359"/>
      <c r="G58" s="367"/>
    </row>
    <row r="59" spans="1:7" x14ac:dyDescent="0.45">
      <c r="A59" s="365"/>
      <c r="B59" s="355"/>
      <c r="C59" s="356"/>
      <c r="D59" s="357"/>
      <c r="E59" s="358" t="e">
        <f t="shared" si="0"/>
        <v>#DIV/0!</v>
      </c>
      <c r="F59" s="359"/>
      <c r="G59" s="367"/>
    </row>
    <row r="60" spans="1:7" x14ac:dyDescent="0.45">
      <c r="A60" s="365"/>
      <c r="B60" s="355"/>
      <c r="C60" s="356"/>
      <c r="D60" s="357"/>
      <c r="E60" s="358" t="e">
        <f t="shared" si="0"/>
        <v>#DIV/0!</v>
      </c>
      <c r="F60" s="359"/>
      <c r="G60" s="367"/>
    </row>
    <row r="61" spans="1:7" x14ac:dyDescent="0.45">
      <c r="A61" s="365"/>
      <c r="B61" s="355"/>
      <c r="C61" s="356"/>
      <c r="D61" s="357"/>
      <c r="E61" s="358" t="e">
        <f t="shared" si="0"/>
        <v>#DIV/0!</v>
      </c>
      <c r="F61" s="359"/>
      <c r="G61" s="367"/>
    </row>
    <row r="62" spans="1:7" x14ac:dyDescent="0.45">
      <c r="A62" s="365"/>
      <c r="B62" s="355"/>
      <c r="C62" s="356"/>
      <c r="D62" s="357"/>
      <c r="E62" s="358" t="e">
        <f t="shared" si="0"/>
        <v>#DIV/0!</v>
      </c>
      <c r="F62" s="359"/>
      <c r="G62" s="367"/>
    </row>
    <row r="63" spans="1:7" x14ac:dyDescent="0.45">
      <c r="A63" s="365"/>
      <c r="B63" s="355"/>
      <c r="C63" s="356"/>
      <c r="D63" s="357"/>
      <c r="E63" s="358" t="e">
        <f t="shared" si="0"/>
        <v>#DIV/0!</v>
      </c>
      <c r="F63" s="359"/>
      <c r="G63" s="367"/>
    </row>
    <row r="64" spans="1:7" ht="14.65" thickBot="1" x14ac:dyDescent="0.5">
      <c r="A64" s="366"/>
      <c r="B64" s="360"/>
      <c r="C64" s="361"/>
      <c r="D64" s="362"/>
      <c r="E64" s="363" t="e">
        <f t="shared" si="0"/>
        <v>#DIV/0!</v>
      </c>
      <c r="F64" s="364"/>
      <c r="G64" s="368"/>
    </row>
  </sheetData>
  <conditionalFormatting sqref="A1:G1">
    <cfRule type="expression" dxfId="14" priority="2">
      <formula>SEARCH("Итог", $A1)</formula>
    </cfRule>
  </conditionalFormatting>
  <conditionalFormatting sqref="A2:G64">
    <cfRule type="expression" dxfId="13" priority="4">
      <formula>MOD(ROW(),2)=0</formula>
    </cfRule>
    <cfRule type="expression" dxfId="12" priority="5">
      <formula>ISNUMBER(SEARCH("Итог",$A2))</formula>
    </cfRule>
  </conditionalFormatting>
  <conditionalFormatting sqref="B2:B64">
    <cfRule type="expression" dxfId="11" priority="6">
      <formula>ISNUMBER(SEARCH("Экскаватор",$B2))</formula>
    </cfRule>
    <cfRule type="expression" dxfId="10" priority="7">
      <formula>ISNUMBER(SEARCH("Эскаватор",$B2))</formula>
    </cfRule>
    <cfRule type="expression" dxfId="9" priority="8">
      <formula>ISNUMBER(SEARCH("Самосвал",$B2))</formula>
    </cfRule>
    <cfRule type="expression" dxfId="8" priority="9">
      <formula>ISNUMBER(SEARCH("Камаз",$B2))</formula>
    </cfRule>
    <cfRule type="expression" dxfId="7" priority="10">
      <formula>ISNUMBER(SEARCH("Кран",$B2))</formula>
    </cfRule>
    <cfRule type="expression" dxfId="6" priority="11">
      <formula>ISNUMBER(SEARCH("Автовышка",$B2))</formula>
    </cfRule>
    <cfRule type="expression" dxfId="5" priority="12">
      <formula>ISNUMBER(SEARCH("Погрузчик",$B2))</formula>
    </cfRule>
    <cfRule type="expression" dxfId="4" priority="13">
      <formula>ISNUMBER(SEARCH("Каток",$B2))</formula>
    </cfRule>
    <cfRule type="expression" dxfId="3" priority="14">
      <formula>ISNUMBER(SEARCH("Щебень",$B2))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3BDA5-BD7B-4CB2-AC9E-DC17EEE08674}">
  <sheetPr codeName="Worksheet____13"/>
  <dimension ref="A1:I1003"/>
  <sheetViews>
    <sheetView topLeftCell="A2" zoomScale="75" workbookViewId="0">
      <pane ySplit="3" topLeftCell="A324" activePane="bottomLeft" state="frozen"/>
      <selection activeCell="A2" sqref="A2"/>
      <selection pane="bottomLeft" activeCell="A341" sqref="A341"/>
    </sheetView>
  </sheetViews>
  <sheetFormatPr defaultRowHeight="20.100000000000001" customHeight="1" x14ac:dyDescent="0.45"/>
  <cols>
    <col min="1" max="1" width="20.86328125" customWidth="1"/>
    <col min="2" max="2" width="30.9296875" bestFit="1" customWidth="1"/>
    <col min="3" max="5" width="25.265625" bestFit="1" customWidth="1"/>
    <col min="6" max="6" width="48.6640625" bestFit="1" customWidth="1"/>
    <col min="7" max="7" width="20.86328125" customWidth="1"/>
    <col min="8" max="8" width="44.3984375" style="603" bestFit="1" customWidth="1"/>
    <col min="9" max="9" width="44.3984375" bestFit="1" customWidth="1"/>
  </cols>
  <sheetData>
    <row r="1" spans="1:9" ht="48" hidden="1" customHeight="1" x14ac:dyDescent="1">
      <c r="A1" s="514" t="s">
        <v>57</v>
      </c>
      <c r="B1" s="514" t="s">
        <v>650</v>
      </c>
      <c r="C1" s="514" t="s">
        <v>651</v>
      </c>
      <c r="D1" s="514" t="s">
        <v>652</v>
      </c>
      <c r="E1" s="514" t="s">
        <v>653</v>
      </c>
      <c r="F1" s="514" t="s">
        <v>654</v>
      </c>
      <c r="G1" s="514" t="s">
        <v>668</v>
      </c>
      <c r="H1" s="514" t="s">
        <v>669</v>
      </c>
      <c r="I1" s="514" t="s">
        <v>670</v>
      </c>
    </row>
    <row r="2" spans="1:9" ht="22.15" customHeight="1" x14ac:dyDescent="1">
      <c r="A2" s="515"/>
      <c r="B2" s="516"/>
      <c r="C2" s="516"/>
      <c r="D2" s="517" t="s">
        <v>671</v>
      </c>
      <c r="E2" s="516"/>
      <c r="F2" s="516"/>
      <c r="G2" s="516"/>
      <c r="H2" s="516"/>
      <c r="I2" s="518"/>
    </row>
    <row r="3" spans="1:9" ht="32.1" customHeight="1" x14ac:dyDescent="0.6">
      <c r="A3" s="519"/>
      <c r="B3" s="520"/>
      <c r="C3" s="520"/>
      <c r="D3" s="520"/>
      <c r="E3" s="520" t="s">
        <v>672</v>
      </c>
      <c r="F3" s="520"/>
      <c r="G3" s="520"/>
      <c r="H3" s="520"/>
      <c r="I3" s="521"/>
    </row>
    <row r="4" spans="1:9" ht="31.15" x14ac:dyDescent="0.45">
      <c r="A4" s="522" t="s">
        <v>26</v>
      </c>
      <c r="B4" s="523" t="s">
        <v>673</v>
      </c>
      <c r="C4" s="523" t="s">
        <v>674</v>
      </c>
      <c r="D4" s="523" t="s">
        <v>33</v>
      </c>
      <c r="E4" s="523" t="s">
        <v>34</v>
      </c>
      <c r="F4" s="523" t="s">
        <v>675</v>
      </c>
      <c r="G4" s="523"/>
      <c r="H4" s="523" t="s">
        <v>676</v>
      </c>
      <c r="I4" s="524" t="s">
        <v>677</v>
      </c>
    </row>
    <row r="5" spans="1:9" ht="24" customHeight="1" x14ac:dyDescent="0.45">
      <c r="A5" s="525">
        <v>45923</v>
      </c>
      <c r="B5" s="526" t="s">
        <v>233</v>
      </c>
      <c r="C5" s="526" t="s">
        <v>540</v>
      </c>
      <c r="D5" s="526" t="s">
        <v>69</v>
      </c>
      <c r="E5" s="526">
        <v>62</v>
      </c>
      <c r="F5" s="526" t="s">
        <v>678</v>
      </c>
      <c r="G5" s="526"/>
      <c r="H5" s="526" t="s">
        <v>679</v>
      </c>
      <c r="I5" s="527" t="s">
        <v>680</v>
      </c>
    </row>
    <row r="6" spans="1:9" ht="24" customHeight="1" x14ac:dyDescent="0.45">
      <c r="A6" s="525">
        <v>45924</v>
      </c>
      <c r="B6" s="526"/>
      <c r="C6" s="526" t="s">
        <v>540</v>
      </c>
      <c r="D6" s="526" t="s">
        <v>69</v>
      </c>
      <c r="E6" s="526">
        <v>109</v>
      </c>
      <c r="F6" s="526" t="s">
        <v>678</v>
      </c>
      <c r="G6" s="526"/>
      <c r="H6" s="526"/>
      <c r="I6" s="527" t="s">
        <v>680</v>
      </c>
    </row>
    <row r="7" spans="1:9" ht="24" customHeight="1" x14ac:dyDescent="0.45">
      <c r="A7" s="525">
        <v>45925</v>
      </c>
      <c r="B7" s="526"/>
      <c r="C7" s="526" t="s">
        <v>540</v>
      </c>
      <c r="D7" s="526" t="s">
        <v>69</v>
      </c>
      <c r="E7" s="526">
        <v>34</v>
      </c>
      <c r="F7" s="526" t="s">
        <v>678</v>
      </c>
      <c r="G7" s="526"/>
      <c r="H7" s="526"/>
      <c r="I7" s="527" t="s">
        <v>680</v>
      </c>
    </row>
    <row r="8" spans="1:9" ht="24" customHeight="1" x14ac:dyDescent="0.45">
      <c r="A8" s="525">
        <v>45927</v>
      </c>
      <c r="B8" s="526" t="s">
        <v>233</v>
      </c>
      <c r="C8" s="526" t="s">
        <v>540</v>
      </c>
      <c r="D8" s="526" t="s">
        <v>69</v>
      </c>
      <c r="E8" s="526">
        <v>60</v>
      </c>
      <c r="F8" s="526" t="s">
        <v>678</v>
      </c>
      <c r="G8" s="526"/>
      <c r="H8" s="526" t="s">
        <v>655</v>
      </c>
      <c r="I8" s="527" t="s">
        <v>680</v>
      </c>
    </row>
    <row r="9" spans="1:9" ht="24" customHeight="1" x14ac:dyDescent="0.45">
      <c r="A9" s="525">
        <v>45928</v>
      </c>
      <c r="B9" s="526" t="s">
        <v>681</v>
      </c>
      <c r="C9" s="526" t="s">
        <v>682</v>
      </c>
      <c r="D9" s="526" t="s">
        <v>69</v>
      </c>
      <c r="E9" s="526">
        <v>1</v>
      </c>
      <c r="F9" s="526" t="s">
        <v>683</v>
      </c>
      <c r="G9" s="526"/>
      <c r="H9" s="526" t="s">
        <v>655</v>
      </c>
      <c r="I9" s="527" t="s">
        <v>680</v>
      </c>
    </row>
    <row r="10" spans="1:9" ht="24" customHeight="1" x14ac:dyDescent="0.45">
      <c r="A10" s="525">
        <v>45928</v>
      </c>
      <c r="B10" s="526" t="s">
        <v>233</v>
      </c>
      <c r="C10" s="526" t="s">
        <v>540</v>
      </c>
      <c r="D10" s="526" t="s">
        <v>69</v>
      </c>
      <c r="E10" s="526">
        <v>66</v>
      </c>
      <c r="F10" s="526" t="s">
        <v>678</v>
      </c>
      <c r="G10" s="526"/>
      <c r="H10" s="526" t="s">
        <v>655</v>
      </c>
      <c r="I10" s="527" t="s">
        <v>680</v>
      </c>
    </row>
    <row r="11" spans="1:9" ht="24" customHeight="1" x14ac:dyDescent="0.45">
      <c r="A11" s="525">
        <v>45929</v>
      </c>
      <c r="B11" s="526" t="s">
        <v>233</v>
      </c>
      <c r="C11" s="526" t="s">
        <v>540</v>
      </c>
      <c r="D11" s="526" t="s">
        <v>69</v>
      </c>
      <c r="E11" s="526">
        <v>24</v>
      </c>
      <c r="F11" s="526" t="s">
        <v>678</v>
      </c>
      <c r="G11" s="526"/>
      <c r="H11" s="526" t="s">
        <v>679</v>
      </c>
      <c r="I11" s="527" t="s">
        <v>680</v>
      </c>
    </row>
    <row r="12" spans="1:9" ht="24" customHeight="1" x14ac:dyDescent="0.45">
      <c r="A12" s="525">
        <v>45930</v>
      </c>
      <c r="B12" s="526" t="s">
        <v>233</v>
      </c>
      <c r="C12" s="526" t="s">
        <v>540</v>
      </c>
      <c r="D12" s="526" t="s">
        <v>69</v>
      </c>
      <c r="E12" s="526">
        <v>29</v>
      </c>
      <c r="F12" s="526" t="s">
        <v>678</v>
      </c>
      <c r="G12" s="526"/>
      <c r="H12" s="526" t="s">
        <v>684</v>
      </c>
      <c r="I12" s="527" t="s">
        <v>680</v>
      </c>
    </row>
    <row r="13" spans="1:9" ht="24" customHeight="1" x14ac:dyDescent="0.45">
      <c r="A13" s="525">
        <v>45931</v>
      </c>
      <c r="B13" s="526" t="s">
        <v>685</v>
      </c>
      <c r="C13" s="526" t="s">
        <v>682</v>
      </c>
      <c r="D13" s="526" t="s">
        <v>69</v>
      </c>
      <c r="E13" s="526">
        <v>1</v>
      </c>
      <c r="F13" s="526" t="s">
        <v>686</v>
      </c>
      <c r="G13" s="526"/>
      <c r="H13" s="526" t="s">
        <v>655</v>
      </c>
      <c r="I13" s="527" t="s">
        <v>680</v>
      </c>
    </row>
    <row r="14" spans="1:9" ht="24" customHeight="1" x14ac:dyDescent="0.45">
      <c r="A14" s="525">
        <v>45931</v>
      </c>
      <c r="B14" s="526" t="s">
        <v>233</v>
      </c>
      <c r="C14" s="526" t="s">
        <v>540</v>
      </c>
      <c r="D14" s="526" t="s">
        <v>69</v>
      </c>
      <c r="E14" s="526">
        <v>38</v>
      </c>
      <c r="F14" s="526" t="s">
        <v>678</v>
      </c>
      <c r="G14" s="526"/>
      <c r="H14" s="526" t="s">
        <v>655</v>
      </c>
      <c r="I14" s="527" t="s">
        <v>680</v>
      </c>
    </row>
    <row r="15" spans="1:9" ht="24" customHeight="1" x14ac:dyDescent="0.45">
      <c r="A15" s="525">
        <v>45932</v>
      </c>
      <c r="B15" s="526" t="s">
        <v>233</v>
      </c>
      <c r="C15" s="526" t="s">
        <v>540</v>
      </c>
      <c r="D15" s="526" t="s">
        <v>69</v>
      </c>
      <c r="E15" s="526">
        <v>40</v>
      </c>
      <c r="F15" s="526" t="s">
        <v>678</v>
      </c>
      <c r="G15" s="526"/>
      <c r="H15" s="526" t="s">
        <v>679</v>
      </c>
      <c r="I15" s="527" t="s">
        <v>680</v>
      </c>
    </row>
    <row r="16" spans="1:9" ht="24" customHeight="1" x14ac:dyDescent="0.45">
      <c r="A16" s="525">
        <v>45934</v>
      </c>
      <c r="B16" s="526" t="s">
        <v>233</v>
      </c>
      <c r="C16" s="526" t="s">
        <v>540</v>
      </c>
      <c r="D16" s="526" t="s">
        <v>69</v>
      </c>
      <c r="E16" s="526">
        <v>59</v>
      </c>
      <c r="F16" s="526" t="s">
        <v>678</v>
      </c>
      <c r="G16" s="526"/>
      <c r="H16" s="526" t="s">
        <v>655</v>
      </c>
      <c r="I16" s="527" t="s">
        <v>680</v>
      </c>
    </row>
    <row r="17" spans="1:9" ht="24" customHeight="1" x14ac:dyDescent="0.45">
      <c r="A17" s="525">
        <v>45935</v>
      </c>
      <c r="B17" s="526" t="s">
        <v>233</v>
      </c>
      <c r="C17" s="526" t="s">
        <v>540</v>
      </c>
      <c r="D17" s="526" t="s">
        <v>69</v>
      </c>
      <c r="E17" s="526">
        <v>59</v>
      </c>
      <c r="F17" s="526" t="s">
        <v>678</v>
      </c>
      <c r="G17" s="526"/>
      <c r="H17" s="526" t="s">
        <v>679</v>
      </c>
      <c r="I17" s="527" t="s">
        <v>680</v>
      </c>
    </row>
    <row r="18" spans="1:9" ht="24" customHeight="1" x14ac:dyDescent="0.45">
      <c r="A18" s="525">
        <v>45936</v>
      </c>
      <c r="B18" s="526" t="s">
        <v>233</v>
      </c>
      <c r="C18" s="526" t="s">
        <v>540</v>
      </c>
      <c r="D18" s="526" t="s">
        <v>69</v>
      </c>
      <c r="E18" s="526">
        <v>45</v>
      </c>
      <c r="F18" s="526" t="s">
        <v>678</v>
      </c>
      <c r="G18" s="526"/>
      <c r="H18" s="526" t="s">
        <v>585</v>
      </c>
      <c r="I18" s="527" t="s">
        <v>680</v>
      </c>
    </row>
    <row r="19" spans="1:9" ht="24" customHeight="1" x14ac:dyDescent="0.45">
      <c r="A19" s="525">
        <v>45937</v>
      </c>
      <c r="B19" s="526" t="s">
        <v>233</v>
      </c>
      <c r="C19" s="526" t="s">
        <v>540</v>
      </c>
      <c r="D19" s="526" t="s">
        <v>69</v>
      </c>
      <c r="E19" s="526">
        <v>38</v>
      </c>
      <c r="F19" s="526" t="s">
        <v>678</v>
      </c>
      <c r="G19" s="526"/>
      <c r="H19" s="526"/>
      <c r="I19" s="527" t="s">
        <v>680</v>
      </c>
    </row>
    <row r="20" spans="1:9" ht="24" customHeight="1" x14ac:dyDescent="0.45">
      <c r="A20" s="525">
        <v>45938</v>
      </c>
      <c r="B20" s="526" t="s">
        <v>233</v>
      </c>
      <c r="C20" s="526" t="s">
        <v>540</v>
      </c>
      <c r="D20" s="526" t="s">
        <v>69</v>
      </c>
      <c r="E20" s="526">
        <v>10</v>
      </c>
      <c r="F20" s="526" t="s">
        <v>687</v>
      </c>
      <c r="G20" s="526"/>
      <c r="H20" s="526" t="s">
        <v>679</v>
      </c>
      <c r="I20" s="527" t="s">
        <v>688</v>
      </c>
    </row>
    <row r="21" spans="1:9" ht="24" customHeight="1" x14ac:dyDescent="0.45">
      <c r="A21" s="525">
        <v>45938</v>
      </c>
      <c r="B21" s="526" t="s">
        <v>233</v>
      </c>
      <c r="C21" s="526" t="s">
        <v>540</v>
      </c>
      <c r="D21" s="526" t="s">
        <v>69</v>
      </c>
      <c r="E21" s="526">
        <v>3</v>
      </c>
      <c r="F21" s="526" t="s">
        <v>479</v>
      </c>
      <c r="G21" s="526"/>
      <c r="H21" s="526" t="s">
        <v>679</v>
      </c>
      <c r="I21" s="527" t="s">
        <v>688</v>
      </c>
    </row>
    <row r="22" spans="1:9" ht="24" customHeight="1" x14ac:dyDescent="0.45">
      <c r="A22" s="525">
        <v>45938</v>
      </c>
      <c r="B22" s="526" t="s">
        <v>233</v>
      </c>
      <c r="C22" s="526" t="s">
        <v>540</v>
      </c>
      <c r="D22" s="526" t="s">
        <v>69</v>
      </c>
      <c r="E22" s="526">
        <v>10</v>
      </c>
      <c r="F22" s="526" t="s">
        <v>687</v>
      </c>
      <c r="G22" s="526"/>
      <c r="H22" s="526" t="s">
        <v>679</v>
      </c>
      <c r="I22" s="527" t="s">
        <v>688</v>
      </c>
    </row>
    <row r="23" spans="1:9" ht="24" customHeight="1" x14ac:dyDescent="0.45">
      <c r="A23" s="525">
        <v>45938</v>
      </c>
      <c r="B23" s="526" t="s">
        <v>233</v>
      </c>
      <c r="C23" s="526" t="s">
        <v>540</v>
      </c>
      <c r="D23" s="526" t="s">
        <v>69</v>
      </c>
      <c r="E23" s="526">
        <v>26</v>
      </c>
      <c r="F23" s="526" t="s">
        <v>678</v>
      </c>
      <c r="G23" s="526"/>
      <c r="H23" s="526" t="s">
        <v>679</v>
      </c>
      <c r="I23" s="527" t="s">
        <v>680</v>
      </c>
    </row>
    <row r="24" spans="1:9" ht="24" customHeight="1" x14ac:dyDescent="0.45">
      <c r="A24" s="525">
        <v>45939</v>
      </c>
      <c r="B24" s="526" t="s">
        <v>689</v>
      </c>
      <c r="C24" s="526" t="s">
        <v>540</v>
      </c>
      <c r="D24" s="526" t="s">
        <v>69</v>
      </c>
      <c r="E24" s="526">
        <v>3</v>
      </c>
      <c r="F24" s="526" t="s">
        <v>479</v>
      </c>
      <c r="G24" s="526"/>
      <c r="H24" s="526" t="s">
        <v>585</v>
      </c>
      <c r="I24" s="527" t="s">
        <v>688</v>
      </c>
    </row>
    <row r="25" spans="1:9" ht="24" customHeight="1" x14ac:dyDescent="0.45">
      <c r="A25" s="525">
        <v>45939</v>
      </c>
      <c r="B25" s="526" t="s">
        <v>690</v>
      </c>
      <c r="C25" s="526" t="s">
        <v>540</v>
      </c>
      <c r="D25" s="526" t="s">
        <v>69</v>
      </c>
      <c r="E25" s="526">
        <v>3</v>
      </c>
      <c r="F25" s="526" t="s">
        <v>687</v>
      </c>
      <c r="G25" s="526"/>
      <c r="H25" s="526" t="s">
        <v>585</v>
      </c>
      <c r="I25" s="527" t="s">
        <v>688</v>
      </c>
    </row>
    <row r="26" spans="1:9" ht="24" customHeight="1" x14ac:dyDescent="0.45">
      <c r="A26" s="525">
        <v>45939</v>
      </c>
      <c r="B26" s="526" t="s">
        <v>233</v>
      </c>
      <c r="C26" s="526" t="s">
        <v>540</v>
      </c>
      <c r="D26" s="526" t="s">
        <v>69</v>
      </c>
      <c r="E26" s="526">
        <v>26</v>
      </c>
      <c r="F26" s="526" t="s">
        <v>678</v>
      </c>
      <c r="G26" s="526"/>
      <c r="H26" s="526" t="s">
        <v>585</v>
      </c>
      <c r="I26" s="527" t="s">
        <v>680</v>
      </c>
    </row>
    <row r="27" spans="1:9" ht="24" customHeight="1" x14ac:dyDescent="0.45">
      <c r="A27" s="525">
        <v>45940</v>
      </c>
      <c r="B27" s="526" t="s">
        <v>233</v>
      </c>
      <c r="C27" s="526" t="s">
        <v>540</v>
      </c>
      <c r="D27" s="526" t="s">
        <v>69</v>
      </c>
      <c r="E27" s="526">
        <v>10</v>
      </c>
      <c r="F27" s="526" t="s">
        <v>687</v>
      </c>
      <c r="G27" s="526"/>
      <c r="H27" s="526" t="s">
        <v>655</v>
      </c>
      <c r="I27" s="527" t="s">
        <v>688</v>
      </c>
    </row>
    <row r="28" spans="1:9" ht="24" customHeight="1" x14ac:dyDescent="0.45">
      <c r="A28" s="525">
        <v>45940</v>
      </c>
      <c r="B28" s="526" t="s">
        <v>233</v>
      </c>
      <c r="C28" s="526" t="s">
        <v>540</v>
      </c>
      <c r="D28" s="526" t="s">
        <v>69</v>
      </c>
      <c r="E28" s="526">
        <v>37</v>
      </c>
      <c r="F28" s="526" t="s">
        <v>678</v>
      </c>
      <c r="G28" s="526"/>
      <c r="H28" s="526" t="s">
        <v>655</v>
      </c>
      <c r="I28" s="527" t="s">
        <v>680</v>
      </c>
    </row>
    <row r="29" spans="1:9" ht="24" customHeight="1" x14ac:dyDescent="0.45">
      <c r="A29" s="525">
        <v>45941</v>
      </c>
      <c r="B29" s="526" t="s">
        <v>233</v>
      </c>
      <c r="C29" s="526" t="s">
        <v>540</v>
      </c>
      <c r="D29" s="526" t="s">
        <v>69</v>
      </c>
      <c r="E29" s="526">
        <v>4</v>
      </c>
      <c r="F29" s="526" t="s">
        <v>678</v>
      </c>
      <c r="G29" s="526"/>
      <c r="H29" s="526" t="s">
        <v>679</v>
      </c>
      <c r="I29" s="527" t="s">
        <v>680</v>
      </c>
    </row>
    <row r="30" spans="1:9" ht="24" customHeight="1" x14ac:dyDescent="0.45">
      <c r="A30" s="525">
        <v>45943</v>
      </c>
      <c r="B30" s="526" t="s">
        <v>691</v>
      </c>
      <c r="C30" s="526" t="s">
        <v>558</v>
      </c>
      <c r="D30" s="526" t="s">
        <v>69</v>
      </c>
      <c r="E30" s="526">
        <v>1</v>
      </c>
      <c r="F30" s="526" t="s">
        <v>692</v>
      </c>
      <c r="G30" s="526"/>
      <c r="H30" s="526" t="s">
        <v>655</v>
      </c>
      <c r="I30" s="527" t="s">
        <v>680</v>
      </c>
    </row>
    <row r="31" spans="1:9" ht="24" customHeight="1" x14ac:dyDescent="0.45">
      <c r="A31" s="525">
        <v>45943</v>
      </c>
      <c r="B31" s="526" t="s">
        <v>693</v>
      </c>
      <c r="C31" s="526" t="s">
        <v>558</v>
      </c>
      <c r="D31" s="526" t="s">
        <v>69</v>
      </c>
      <c r="E31" s="526">
        <v>1</v>
      </c>
      <c r="F31" s="526" t="s">
        <v>692</v>
      </c>
      <c r="G31" s="526"/>
      <c r="H31" s="526" t="s">
        <v>655</v>
      </c>
      <c r="I31" s="527" t="s">
        <v>680</v>
      </c>
    </row>
    <row r="32" spans="1:9" ht="24" customHeight="1" x14ac:dyDescent="0.45">
      <c r="A32" s="525">
        <v>45946</v>
      </c>
      <c r="B32" s="526" t="s">
        <v>691</v>
      </c>
      <c r="C32" s="526" t="s">
        <v>558</v>
      </c>
      <c r="D32" s="526" t="s">
        <v>69</v>
      </c>
      <c r="E32" s="526">
        <v>1</v>
      </c>
      <c r="F32" s="526" t="s">
        <v>692</v>
      </c>
      <c r="G32" s="526"/>
      <c r="H32" s="526" t="s">
        <v>655</v>
      </c>
      <c r="I32" s="527" t="s">
        <v>680</v>
      </c>
    </row>
    <row r="33" spans="1:9" ht="24" customHeight="1" x14ac:dyDescent="0.45">
      <c r="A33" s="525">
        <v>45946</v>
      </c>
      <c r="B33" s="526" t="s">
        <v>693</v>
      </c>
      <c r="C33" s="526" t="s">
        <v>558</v>
      </c>
      <c r="D33" s="526" t="s">
        <v>69</v>
      </c>
      <c r="E33" s="526">
        <v>1</v>
      </c>
      <c r="F33" s="526" t="s">
        <v>692</v>
      </c>
      <c r="G33" s="526"/>
      <c r="H33" s="526" t="s">
        <v>655</v>
      </c>
      <c r="I33" s="527" t="s">
        <v>680</v>
      </c>
    </row>
    <row r="34" spans="1:9" ht="24" customHeight="1" x14ac:dyDescent="0.45">
      <c r="A34" s="525">
        <v>45946</v>
      </c>
      <c r="B34" s="526" t="s">
        <v>233</v>
      </c>
      <c r="C34" s="526" t="s">
        <v>540</v>
      </c>
      <c r="D34" s="526" t="s">
        <v>69</v>
      </c>
      <c r="E34" s="526">
        <v>25</v>
      </c>
      <c r="F34" s="526" t="s">
        <v>678</v>
      </c>
      <c r="G34" s="526"/>
      <c r="H34" s="526" t="s">
        <v>655</v>
      </c>
      <c r="I34" s="527" t="s">
        <v>680</v>
      </c>
    </row>
    <row r="35" spans="1:9" ht="24" customHeight="1" x14ac:dyDescent="0.45">
      <c r="A35" s="525">
        <v>45947</v>
      </c>
      <c r="B35" s="526" t="s">
        <v>233</v>
      </c>
      <c r="C35" s="526" t="s">
        <v>558</v>
      </c>
      <c r="D35" s="526" t="s">
        <v>69</v>
      </c>
      <c r="E35" s="526">
        <v>1</v>
      </c>
      <c r="F35" s="526" t="s">
        <v>692</v>
      </c>
      <c r="G35" s="526"/>
      <c r="H35" s="526" t="s">
        <v>679</v>
      </c>
      <c r="I35" s="527" t="s">
        <v>680</v>
      </c>
    </row>
    <row r="36" spans="1:9" ht="24" customHeight="1" x14ac:dyDescent="0.45">
      <c r="A36" s="525">
        <v>45947</v>
      </c>
      <c r="B36" s="526" t="s">
        <v>233</v>
      </c>
      <c r="C36" s="526" t="s">
        <v>540</v>
      </c>
      <c r="D36" s="526" t="s">
        <v>69</v>
      </c>
      <c r="E36" s="526">
        <v>58</v>
      </c>
      <c r="F36" s="526" t="s">
        <v>678</v>
      </c>
      <c r="G36" s="526"/>
      <c r="H36" s="526" t="s">
        <v>679</v>
      </c>
      <c r="I36" s="527" t="s">
        <v>680</v>
      </c>
    </row>
    <row r="37" spans="1:9" ht="24" customHeight="1" x14ac:dyDescent="0.45">
      <c r="A37" s="525">
        <v>45949</v>
      </c>
      <c r="B37" s="526" t="s">
        <v>233</v>
      </c>
      <c r="C37" s="526" t="s">
        <v>540</v>
      </c>
      <c r="D37" s="526" t="s">
        <v>69</v>
      </c>
      <c r="E37" s="526">
        <v>13</v>
      </c>
      <c r="F37" s="526" t="s">
        <v>678</v>
      </c>
      <c r="G37" s="526"/>
      <c r="H37" s="526" t="s">
        <v>655</v>
      </c>
      <c r="I37" s="527" t="s">
        <v>680</v>
      </c>
    </row>
    <row r="38" spans="1:9" ht="24" customHeight="1" x14ac:dyDescent="0.45">
      <c r="A38" s="525">
        <v>45952</v>
      </c>
      <c r="B38" s="526" t="s">
        <v>694</v>
      </c>
      <c r="C38" s="526" t="s">
        <v>558</v>
      </c>
      <c r="D38" s="526" t="s">
        <v>69</v>
      </c>
      <c r="E38" s="526">
        <v>1</v>
      </c>
      <c r="F38" s="526" t="s">
        <v>695</v>
      </c>
      <c r="G38" s="526"/>
      <c r="H38" s="526" t="s">
        <v>655</v>
      </c>
      <c r="I38" s="527" t="s">
        <v>688</v>
      </c>
    </row>
    <row r="39" spans="1:9" ht="24" customHeight="1" x14ac:dyDescent="0.45">
      <c r="A39" s="525">
        <v>45952</v>
      </c>
      <c r="B39" s="526" t="s">
        <v>696</v>
      </c>
      <c r="C39" s="526" t="s">
        <v>697</v>
      </c>
      <c r="D39" s="526" t="s">
        <v>69</v>
      </c>
      <c r="E39" s="526">
        <v>1</v>
      </c>
      <c r="F39" s="526" t="s">
        <v>698</v>
      </c>
      <c r="G39" s="526"/>
      <c r="H39" s="526" t="s">
        <v>655</v>
      </c>
      <c r="I39" s="527" t="s">
        <v>688</v>
      </c>
    </row>
    <row r="40" spans="1:9" ht="24" customHeight="1" x14ac:dyDescent="0.45">
      <c r="A40" s="525">
        <v>45954</v>
      </c>
      <c r="B40" s="526" t="s">
        <v>233</v>
      </c>
      <c r="C40" s="526" t="s">
        <v>697</v>
      </c>
      <c r="D40" s="526" t="s">
        <v>69</v>
      </c>
      <c r="E40" s="526">
        <v>1</v>
      </c>
      <c r="F40" s="526" t="s">
        <v>698</v>
      </c>
      <c r="G40" s="526"/>
      <c r="H40" s="526" t="s">
        <v>679</v>
      </c>
      <c r="I40" s="527" t="s">
        <v>688</v>
      </c>
    </row>
    <row r="41" spans="1:9" ht="24" customHeight="1" x14ac:dyDescent="0.45">
      <c r="A41" s="525">
        <v>45955</v>
      </c>
      <c r="B41" s="526" t="s">
        <v>233</v>
      </c>
      <c r="C41" s="526" t="s">
        <v>697</v>
      </c>
      <c r="D41" s="526" t="s">
        <v>69</v>
      </c>
      <c r="E41" s="526">
        <v>1</v>
      </c>
      <c r="F41" s="526" t="s">
        <v>698</v>
      </c>
      <c r="G41" s="526"/>
      <c r="H41" s="526" t="s">
        <v>585</v>
      </c>
      <c r="I41" s="527" t="s">
        <v>688</v>
      </c>
    </row>
    <row r="42" spans="1:9" ht="24" customHeight="1" x14ac:dyDescent="0.45">
      <c r="A42" s="525">
        <v>45955</v>
      </c>
      <c r="B42" s="526" t="s">
        <v>699</v>
      </c>
      <c r="C42" s="526" t="s">
        <v>697</v>
      </c>
      <c r="D42" s="526" t="s">
        <v>69</v>
      </c>
      <c r="E42" s="526">
        <v>1</v>
      </c>
      <c r="F42" s="526" t="s">
        <v>698</v>
      </c>
      <c r="G42" s="526"/>
      <c r="H42" s="526" t="s">
        <v>585</v>
      </c>
      <c r="I42" s="527" t="s">
        <v>688</v>
      </c>
    </row>
    <row r="43" spans="1:9" ht="24" customHeight="1" x14ac:dyDescent="0.45">
      <c r="A43" s="525">
        <v>45957</v>
      </c>
      <c r="B43" s="526" t="s">
        <v>700</v>
      </c>
      <c r="C43" s="526" t="s">
        <v>697</v>
      </c>
      <c r="D43" s="526" t="s">
        <v>69</v>
      </c>
      <c r="E43" s="526">
        <v>1</v>
      </c>
      <c r="F43" s="526" t="s">
        <v>698</v>
      </c>
      <c r="G43" s="526"/>
      <c r="H43" s="526" t="s">
        <v>585</v>
      </c>
      <c r="I43" s="527" t="s">
        <v>688</v>
      </c>
    </row>
    <row r="44" spans="1:9" ht="24" customHeight="1" x14ac:dyDescent="0.45">
      <c r="A44" s="525">
        <v>45958</v>
      </c>
      <c r="B44" s="526" t="s">
        <v>701</v>
      </c>
      <c r="C44" s="526" t="s">
        <v>540</v>
      </c>
      <c r="D44" s="526" t="s">
        <v>69</v>
      </c>
      <c r="E44" s="526">
        <v>1</v>
      </c>
      <c r="F44" s="526" t="s">
        <v>695</v>
      </c>
      <c r="G44" s="526"/>
      <c r="H44" s="526" t="s">
        <v>655</v>
      </c>
      <c r="I44" s="527" t="s">
        <v>688</v>
      </c>
    </row>
    <row r="45" spans="1:9" ht="24" customHeight="1" x14ac:dyDescent="0.45">
      <c r="A45" s="525">
        <v>45958</v>
      </c>
      <c r="B45" s="526" t="s">
        <v>702</v>
      </c>
      <c r="C45" s="526" t="s">
        <v>540</v>
      </c>
      <c r="D45" s="526" t="s">
        <v>69</v>
      </c>
      <c r="E45" s="526">
        <v>1</v>
      </c>
      <c r="F45" s="526" t="s">
        <v>695</v>
      </c>
      <c r="G45" s="526"/>
      <c r="H45" s="526" t="s">
        <v>655</v>
      </c>
      <c r="I45" s="527" t="s">
        <v>688</v>
      </c>
    </row>
    <row r="46" spans="1:9" ht="24" customHeight="1" x14ac:dyDescent="0.45">
      <c r="A46" s="525">
        <v>45958</v>
      </c>
      <c r="B46" s="526" t="s">
        <v>233</v>
      </c>
      <c r="C46" s="526" t="s">
        <v>540</v>
      </c>
      <c r="D46" s="526" t="s">
        <v>69</v>
      </c>
      <c r="E46" s="526">
        <v>12</v>
      </c>
      <c r="F46" s="526" t="s">
        <v>695</v>
      </c>
      <c r="G46" s="526"/>
      <c r="H46" s="526" t="s">
        <v>655</v>
      </c>
      <c r="I46" s="527" t="s">
        <v>688</v>
      </c>
    </row>
    <row r="47" spans="1:9" ht="24" customHeight="1" x14ac:dyDescent="0.45">
      <c r="A47" s="525">
        <v>45958</v>
      </c>
      <c r="B47" s="526" t="s">
        <v>700</v>
      </c>
      <c r="C47" s="526" t="s">
        <v>697</v>
      </c>
      <c r="D47" s="526" t="s">
        <v>69</v>
      </c>
      <c r="E47" s="526">
        <v>1</v>
      </c>
      <c r="F47" s="526" t="s">
        <v>698</v>
      </c>
      <c r="G47" s="526"/>
      <c r="H47" s="526" t="s">
        <v>655</v>
      </c>
      <c r="I47" s="527" t="s">
        <v>688</v>
      </c>
    </row>
    <row r="48" spans="1:9" ht="24" customHeight="1" x14ac:dyDescent="0.45">
      <c r="A48" s="525">
        <v>45959</v>
      </c>
      <c r="B48" s="526" t="s">
        <v>703</v>
      </c>
      <c r="C48" s="526" t="s">
        <v>558</v>
      </c>
      <c r="D48" s="526" t="s">
        <v>69</v>
      </c>
      <c r="E48" s="526">
        <v>1</v>
      </c>
      <c r="F48" s="526" t="s">
        <v>698</v>
      </c>
      <c r="G48" s="526"/>
      <c r="H48" s="526" t="s">
        <v>679</v>
      </c>
      <c r="I48" s="527" t="s">
        <v>688</v>
      </c>
    </row>
    <row r="49" spans="1:9" ht="24" customHeight="1" x14ac:dyDescent="0.45">
      <c r="A49" s="525">
        <v>45960</v>
      </c>
      <c r="B49" s="526" t="s">
        <v>699</v>
      </c>
      <c r="C49" s="526" t="s">
        <v>697</v>
      </c>
      <c r="D49" s="526" t="s">
        <v>69</v>
      </c>
      <c r="E49" s="526">
        <v>1</v>
      </c>
      <c r="F49" s="526" t="s">
        <v>698</v>
      </c>
      <c r="G49" s="526"/>
      <c r="H49" s="526" t="s">
        <v>585</v>
      </c>
      <c r="I49" s="527" t="s">
        <v>688</v>
      </c>
    </row>
    <row r="50" spans="1:9" ht="20.100000000000001" customHeight="1" x14ac:dyDescent="0.45">
      <c r="A50" s="525">
        <v>45960</v>
      </c>
      <c r="B50" s="526" t="s">
        <v>704</v>
      </c>
      <c r="C50" s="526" t="s">
        <v>697</v>
      </c>
      <c r="D50" s="526" t="s">
        <v>69</v>
      </c>
      <c r="E50" s="526">
        <v>1</v>
      </c>
      <c r="F50" s="526" t="s">
        <v>698</v>
      </c>
      <c r="G50" s="526"/>
      <c r="H50" s="526" t="s">
        <v>585</v>
      </c>
      <c r="I50" s="527" t="s">
        <v>688</v>
      </c>
    </row>
    <row r="51" spans="1:9" ht="20.100000000000001" customHeight="1" x14ac:dyDescent="0.45">
      <c r="A51" s="525">
        <v>45964</v>
      </c>
      <c r="B51" s="526" t="s">
        <v>233</v>
      </c>
      <c r="C51" s="526" t="s">
        <v>540</v>
      </c>
      <c r="D51" s="526" t="s">
        <v>69</v>
      </c>
      <c r="E51" s="526">
        <v>2</v>
      </c>
      <c r="F51" s="526" t="s">
        <v>539</v>
      </c>
      <c r="G51" s="526"/>
      <c r="H51" s="526" t="s">
        <v>655</v>
      </c>
      <c r="I51" s="527" t="s">
        <v>680</v>
      </c>
    </row>
    <row r="52" spans="1:9" ht="20.100000000000001" customHeight="1" x14ac:dyDescent="0.45">
      <c r="A52" s="525">
        <v>45964</v>
      </c>
      <c r="B52" s="526" t="s">
        <v>233</v>
      </c>
      <c r="C52" s="526" t="s">
        <v>697</v>
      </c>
      <c r="D52" s="526" t="s">
        <v>433</v>
      </c>
      <c r="E52" s="526">
        <v>1</v>
      </c>
      <c r="F52" s="526" t="s">
        <v>456</v>
      </c>
      <c r="G52" s="526"/>
      <c r="H52" s="526" t="s">
        <v>655</v>
      </c>
      <c r="I52" s="527" t="s">
        <v>680</v>
      </c>
    </row>
    <row r="53" spans="1:9" ht="20.100000000000001" customHeight="1" x14ac:dyDescent="0.45">
      <c r="A53" s="525">
        <v>45964</v>
      </c>
      <c r="B53" s="526" t="s">
        <v>699</v>
      </c>
      <c r="C53" s="526" t="s">
        <v>697</v>
      </c>
      <c r="D53" s="526" t="s">
        <v>69</v>
      </c>
      <c r="E53" s="526">
        <v>1</v>
      </c>
      <c r="F53" s="526" t="s">
        <v>698</v>
      </c>
      <c r="G53" s="526"/>
      <c r="H53" s="526" t="s">
        <v>655</v>
      </c>
      <c r="I53" s="527" t="s">
        <v>688</v>
      </c>
    </row>
    <row r="54" spans="1:9" ht="20.100000000000001" customHeight="1" x14ac:dyDescent="0.45">
      <c r="A54" s="525">
        <v>45965</v>
      </c>
      <c r="B54" s="526" t="s">
        <v>233</v>
      </c>
      <c r="C54" s="526" t="s">
        <v>540</v>
      </c>
      <c r="D54" s="526" t="s">
        <v>69</v>
      </c>
      <c r="E54" s="526">
        <v>1</v>
      </c>
      <c r="F54" s="526" t="s">
        <v>539</v>
      </c>
      <c r="G54" s="526"/>
      <c r="H54" s="526" t="s">
        <v>655</v>
      </c>
      <c r="I54" s="527" t="s">
        <v>680</v>
      </c>
    </row>
    <row r="55" spans="1:9" ht="20.100000000000001" customHeight="1" x14ac:dyDescent="0.45">
      <c r="A55" s="525">
        <v>45965</v>
      </c>
      <c r="B55" s="526" t="s">
        <v>705</v>
      </c>
      <c r="C55" s="526" t="s">
        <v>706</v>
      </c>
      <c r="D55" s="526" t="s">
        <v>69</v>
      </c>
      <c r="E55" s="526">
        <v>1</v>
      </c>
      <c r="F55" s="526" t="s">
        <v>692</v>
      </c>
      <c r="G55" s="526"/>
      <c r="H55" s="526" t="s">
        <v>679</v>
      </c>
      <c r="I55" s="527" t="s">
        <v>680</v>
      </c>
    </row>
    <row r="56" spans="1:9" ht="20.100000000000001" customHeight="1" x14ac:dyDescent="0.45">
      <c r="A56" s="525">
        <v>45966</v>
      </c>
      <c r="B56" s="526" t="s">
        <v>233</v>
      </c>
      <c r="C56" s="526" t="s">
        <v>697</v>
      </c>
      <c r="D56" s="526" t="s">
        <v>69</v>
      </c>
      <c r="E56" s="526">
        <v>1</v>
      </c>
      <c r="F56" s="526" t="s">
        <v>17</v>
      </c>
      <c r="G56" s="526"/>
      <c r="H56" s="526" t="s">
        <v>585</v>
      </c>
      <c r="I56" s="527" t="s">
        <v>680</v>
      </c>
    </row>
    <row r="57" spans="1:9" ht="20.100000000000001" customHeight="1" x14ac:dyDescent="0.45">
      <c r="A57" s="525">
        <v>45967</v>
      </c>
      <c r="B57" s="526" t="s">
        <v>233</v>
      </c>
      <c r="C57" s="526" t="s">
        <v>540</v>
      </c>
      <c r="D57" s="526" t="s">
        <v>69</v>
      </c>
      <c r="E57" s="526">
        <v>4</v>
      </c>
      <c r="F57" s="526" t="s">
        <v>539</v>
      </c>
      <c r="G57" s="526"/>
      <c r="H57" s="526" t="s">
        <v>655</v>
      </c>
      <c r="I57" s="527" t="s">
        <v>680</v>
      </c>
    </row>
    <row r="58" spans="1:9" ht="20.100000000000001" customHeight="1" x14ac:dyDescent="0.45">
      <c r="A58" s="525">
        <v>45967</v>
      </c>
      <c r="B58" s="526" t="s">
        <v>233</v>
      </c>
      <c r="C58" s="526" t="s">
        <v>697</v>
      </c>
      <c r="D58" s="526" t="s">
        <v>69</v>
      </c>
      <c r="E58" s="526">
        <v>1</v>
      </c>
      <c r="F58" s="526" t="s">
        <v>698</v>
      </c>
      <c r="G58" s="526"/>
      <c r="H58" s="526" t="s">
        <v>655</v>
      </c>
      <c r="I58" s="527" t="s">
        <v>688</v>
      </c>
    </row>
    <row r="59" spans="1:9" ht="20.100000000000001" customHeight="1" x14ac:dyDescent="0.45">
      <c r="A59" s="525">
        <v>45968</v>
      </c>
      <c r="B59" s="526" t="s">
        <v>233</v>
      </c>
      <c r="C59" s="526" t="s">
        <v>540</v>
      </c>
      <c r="D59" s="526" t="s">
        <v>69</v>
      </c>
      <c r="E59" s="526">
        <v>1</v>
      </c>
      <c r="F59" s="526" t="s">
        <v>539</v>
      </c>
      <c r="G59" s="526"/>
      <c r="H59" s="526" t="s">
        <v>655</v>
      </c>
      <c r="I59" s="527" t="s">
        <v>680</v>
      </c>
    </row>
    <row r="60" spans="1:9" ht="20.100000000000001" customHeight="1" x14ac:dyDescent="0.45">
      <c r="A60" s="528">
        <v>45972</v>
      </c>
      <c r="B60" s="529" t="s">
        <v>233</v>
      </c>
      <c r="C60" s="529" t="s">
        <v>597</v>
      </c>
      <c r="D60" s="529" t="s">
        <v>69</v>
      </c>
      <c r="E60" s="529">
        <v>1</v>
      </c>
      <c r="F60" s="529" t="s">
        <v>17</v>
      </c>
      <c r="G60" s="529"/>
      <c r="H60" s="529" t="s">
        <v>585</v>
      </c>
      <c r="I60" s="455" t="s">
        <v>680</v>
      </c>
    </row>
    <row r="61" spans="1:9" ht="20.100000000000001" customHeight="1" x14ac:dyDescent="0.45">
      <c r="A61" s="528">
        <v>45972</v>
      </c>
      <c r="B61" s="529" t="s">
        <v>707</v>
      </c>
      <c r="C61" s="529" t="s">
        <v>597</v>
      </c>
      <c r="D61" s="529" t="s">
        <v>69</v>
      </c>
      <c r="E61" s="529">
        <v>1</v>
      </c>
      <c r="F61" s="529" t="s">
        <v>17</v>
      </c>
      <c r="G61" s="529"/>
      <c r="H61" s="529" t="s">
        <v>585</v>
      </c>
      <c r="I61" s="455" t="s">
        <v>680</v>
      </c>
    </row>
    <row r="62" spans="1:9" ht="20.100000000000001" customHeight="1" x14ac:dyDescent="0.45">
      <c r="A62" s="528">
        <v>45973</v>
      </c>
      <c r="B62" s="529" t="s">
        <v>708</v>
      </c>
      <c r="C62" s="529" t="s">
        <v>697</v>
      </c>
      <c r="D62" s="529" t="s">
        <v>709</v>
      </c>
      <c r="E62" s="529">
        <v>2</v>
      </c>
      <c r="F62" s="529" t="s">
        <v>710</v>
      </c>
      <c r="G62" s="529"/>
      <c r="H62" s="529" t="s">
        <v>655</v>
      </c>
      <c r="I62" s="455" t="s">
        <v>680</v>
      </c>
    </row>
    <row r="63" spans="1:9" ht="20.100000000000001" customHeight="1" x14ac:dyDescent="0.45">
      <c r="A63" s="528">
        <v>45974</v>
      </c>
      <c r="B63" s="529" t="s">
        <v>233</v>
      </c>
      <c r="C63" s="529" t="s">
        <v>711</v>
      </c>
      <c r="D63" s="529" t="s">
        <v>217</v>
      </c>
      <c r="E63" s="529">
        <v>1</v>
      </c>
      <c r="F63" s="529" t="s">
        <v>712</v>
      </c>
      <c r="G63" s="529"/>
      <c r="H63" s="529" t="s">
        <v>679</v>
      </c>
      <c r="I63" s="455" t="s">
        <v>680</v>
      </c>
    </row>
    <row r="64" spans="1:9" ht="20.100000000000001" customHeight="1" x14ac:dyDescent="0.45">
      <c r="A64" s="528">
        <v>45976</v>
      </c>
      <c r="B64" s="529" t="s">
        <v>233</v>
      </c>
      <c r="C64" s="529" t="s">
        <v>706</v>
      </c>
      <c r="D64" s="529" t="s">
        <v>69</v>
      </c>
      <c r="E64" s="529">
        <v>5</v>
      </c>
      <c r="F64" s="529" t="s">
        <v>692</v>
      </c>
      <c r="G64" s="529"/>
      <c r="H64" s="529" t="s">
        <v>655</v>
      </c>
      <c r="I64" s="455" t="s">
        <v>680</v>
      </c>
    </row>
    <row r="65" spans="1:9" ht="20.100000000000001" customHeight="1" x14ac:dyDescent="0.45">
      <c r="A65" s="528">
        <v>45978</v>
      </c>
      <c r="B65" s="529" t="s">
        <v>233</v>
      </c>
      <c r="C65" s="529" t="s">
        <v>713</v>
      </c>
      <c r="D65" s="529" t="s">
        <v>433</v>
      </c>
      <c r="E65" s="529">
        <v>120</v>
      </c>
      <c r="F65" s="529" t="s">
        <v>18</v>
      </c>
      <c r="G65" s="529"/>
      <c r="H65" s="529" t="s">
        <v>585</v>
      </c>
      <c r="I65" s="455" t="s">
        <v>680</v>
      </c>
    </row>
    <row r="66" spans="1:9" ht="20.100000000000001" customHeight="1" x14ac:dyDescent="0.45">
      <c r="A66" s="528">
        <v>45979</v>
      </c>
      <c r="B66" s="529" t="s">
        <v>714</v>
      </c>
      <c r="C66" s="529" t="s">
        <v>597</v>
      </c>
      <c r="D66" s="529" t="s">
        <v>69</v>
      </c>
      <c r="E66" s="529">
        <v>1</v>
      </c>
      <c r="F66" s="529" t="s">
        <v>715</v>
      </c>
      <c r="G66" s="529"/>
      <c r="H66" s="529" t="s">
        <v>655</v>
      </c>
      <c r="I66" s="455" t="s">
        <v>716</v>
      </c>
    </row>
    <row r="67" spans="1:9" ht="20.100000000000001" customHeight="1" x14ac:dyDescent="0.45">
      <c r="A67" s="528">
        <v>45980</v>
      </c>
      <c r="B67" s="529" t="s">
        <v>233</v>
      </c>
      <c r="C67" s="529" t="s">
        <v>706</v>
      </c>
      <c r="D67" s="529" t="s">
        <v>69</v>
      </c>
      <c r="E67" s="529">
        <v>3</v>
      </c>
      <c r="F67" s="529" t="s">
        <v>692</v>
      </c>
      <c r="G67" s="529"/>
      <c r="H67" s="529" t="s">
        <v>679</v>
      </c>
      <c r="I67" s="455" t="s">
        <v>680</v>
      </c>
    </row>
    <row r="68" spans="1:9" ht="20.100000000000001" customHeight="1" x14ac:dyDescent="0.45">
      <c r="A68" s="528">
        <v>45984</v>
      </c>
      <c r="B68" s="529" t="s">
        <v>233</v>
      </c>
      <c r="C68" s="529" t="s">
        <v>713</v>
      </c>
      <c r="D68" s="529" t="s">
        <v>433</v>
      </c>
      <c r="E68" s="529">
        <v>9</v>
      </c>
      <c r="F68" s="529" t="s">
        <v>18</v>
      </c>
      <c r="G68" s="529"/>
      <c r="H68" s="529" t="s">
        <v>679</v>
      </c>
      <c r="I68" s="455" t="s">
        <v>680</v>
      </c>
    </row>
    <row r="69" spans="1:9" ht="20.100000000000001" customHeight="1" x14ac:dyDescent="0.45">
      <c r="A69" s="528">
        <v>45985</v>
      </c>
      <c r="B69" s="529" t="s">
        <v>233</v>
      </c>
      <c r="C69" s="529" t="s">
        <v>706</v>
      </c>
      <c r="D69" s="529" t="s">
        <v>69</v>
      </c>
      <c r="E69" s="529">
        <v>1</v>
      </c>
      <c r="F69" s="529" t="s">
        <v>717</v>
      </c>
      <c r="G69" s="529"/>
      <c r="H69" s="529" t="s">
        <v>655</v>
      </c>
      <c r="I69" s="455" t="s">
        <v>680</v>
      </c>
    </row>
    <row r="70" spans="1:9" ht="20.100000000000001" customHeight="1" x14ac:dyDescent="0.45">
      <c r="A70" s="528">
        <v>45986</v>
      </c>
      <c r="B70" s="529" t="s">
        <v>233</v>
      </c>
      <c r="C70" s="529" t="s">
        <v>713</v>
      </c>
      <c r="D70" s="529" t="s">
        <v>69</v>
      </c>
      <c r="E70" s="529">
        <v>1</v>
      </c>
      <c r="F70" s="529" t="s">
        <v>18</v>
      </c>
      <c r="G70" s="529"/>
      <c r="H70" s="529" t="s">
        <v>679</v>
      </c>
      <c r="I70" s="455" t="s">
        <v>680</v>
      </c>
    </row>
    <row r="71" spans="1:9" ht="20.100000000000001" customHeight="1" x14ac:dyDescent="0.45">
      <c r="A71" s="528">
        <v>45988</v>
      </c>
      <c r="B71" s="529" t="s">
        <v>718</v>
      </c>
      <c r="C71" s="529" t="s">
        <v>719</v>
      </c>
      <c r="D71" s="529" t="s">
        <v>69</v>
      </c>
      <c r="E71" s="529">
        <v>1</v>
      </c>
      <c r="F71" s="529" t="s">
        <v>720</v>
      </c>
      <c r="G71" s="529"/>
      <c r="H71" s="529" t="s">
        <v>655</v>
      </c>
      <c r="I71" s="455" t="s">
        <v>680</v>
      </c>
    </row>
    <row r="72" spans="1:9" ht="20.100000000000001" customHeight="1" x14ac:dyDescent="0.45">
      <c r="A72" s="528">
        <v>45988</v>
      </c>
      <c r="B72" s="529" t="s">
        <v>233</v>
      </c>
      <c r="C72" s="529" t="s">
        <v>713</v>
      </c>
      <c r="D72" s="529" t="s">
        <v>69</v>
      </c>
      <c r="E72" s="529">
        <v>1</v>
      </c>
      <c r="F72" s="529" t="s">
        <v>18</v>
      </c>
      <c r="G72" s="529"/>
      <c r="H72" s="529" t="s">
        <v>679</v>
      </c>
      <c r="I72" s="455" t="s">
        <v>680</v>
      </c>
    </row>
    <row r="73" spans="1:9" ht="20.100000000000001" customHeight="1" x14ac:dyDescent="0.45">
      <c r="A73" s="528">
        <v>45989</v>
      </c>
      <c r="B73" s="529" t="s">
        <v>721</v>
      </c>
      <c r="C73" s="529" t="s">
        <v>706</v>
      </c>
      <c r="D73" s="529" t="s">
        <v>69</v>
      </c>
      <c r="E73" s="529">
        <v>1</v>
      </c>
      <c r="F73" s="529" t="s">
        <v>539</v>
      </c>
      <c r="G73" s="529"/>
      <c r="H73" s="529" t="s">
        <v>679</v>
      </c>
      <c r="I73" s="455" t="s">
        <v>716</v>
      </c>
    </row>
    <row r="74" spans="1:9" ht="20.100000000000001" customHeight="1" x14ac:dyDescent="0.45">
      <c r="A74" s="528">
        <v>45990</v>
      </c>
      <c r="B74" s="529" t="s">
        <v>722</v>
      </c>
      <c r="C74" s="529" t="s">
        <v>713</v>
      </c>
      <c r="D74" s="529" t="s">
        <v>433</v>
      </c>
      <c r="E74" s="529">
        <v>9</v>
      </c>
      <c r="F74" s="529" t="s">
        <v>18</v>
      </c>
      <c r="G74" s="529"/>
      <c r="H74" s="529" t="s">
        <v>679</v>
      </c>
      <c r="I74" s="455" t="s">
        <v>680</v>
      </c>
    </row>
    <row r="75" spans="1:9" ht="20.100000000000001" customHeight="1" x14ac:dyDescent="0.45">
      <c r="A75" s="528">
        <v>45990</v>
      </c>
      <c r="B75" s="529" t="s">
        <v>233</v>
      </c>
      <c r="C75" s="529" t="s">
        <v>540</v>
      </c>
      <c r="D75" s="529" t="s">
        <v>69</v>
      </c>
      <c r="E75" s="529">
        <v>4</v>
      </c>
      <c r="F75" s="529" t="s">
        <v>539</v>
      </c>
      <c r="G75" s="529"/>
      <c r="H75" s="529" t="s">
        <v>679</v>
      </c>
      <c r="I75" s="455" t="s">
        <v>716</v>
      </c>
    </row>
    <row r="76" spans="1:9" ht="20.100000000000001" customHeight="1" x14ac:dyDescent="0.45">
      <c r="A76" s="528">
        <v>45990</v>
      </c>
      <c r="B76" s="529" t="s">
        <v>723</v>
      </c>
      <c r="C76" s="529" t="s">
        <v>597</v>
      </c>
      <c r="D76" s="529" t="s">
        <v>69</v>
      </c>
      <c r="E76" s="529">
        <v>2</v>
      </c>
      <c r="F76" s="529" t="s">
        <v>17</v>
      </c>
      <c r="G76" s="529"/>
      <c r="H76" s="529" t="s">
        <v>679</v>
      </c>
      <c r="I76" s="455" t="s">
        <v>680</v>
      </c>
    </row>
    <row r="77" spans="1:9" ht="20.100000000000001" customHeight="1" x14ac:dyDescent="0.45">
      <c r="A77" s="528">
        <v>45990</v>
      </c>
      <c r="B77" s="529" t="s">
        <v>724</v>
      </c>
      <c r="C77" s="529" t="s">
        <v>713</v>
      </c>
      <c r="D77" s="529" t="s">
        <v>69</v>
      </c>
      <c r="E77" s="529">
        <v>1</v>
      </c>
      <c r="F77" s="529" t="s">
        <v>715</v>
      </c>
      <c r="G77" s="529"/>
      <c r="H77" s="529" t="s">
        <v>679</v>
      </c>
      <c r="I77" s="455" t="s">
        <v>716</v>
      </c>
    </row>
    <row r="78" spans="1:9" ht="20.100000000000001" customHeight="1" x14ac:dyDescent="0.45">
      <c r="A78" s="528">
        <v>45991</v>
      </c>
      <c r="B78" s="529" t="s">
        <v>233</v>
      </c>
      <c r="C78" s="529" t="s">
        <v>713</v>
      </c>
      <c r="D78" s="529" t="s">
        <v>69</v>
      </c>
      <c r="E78" s="529">
        <v>1</v>
      </c>
      <c r="F78" s="529" t="s">
        <v>715</v>
      </c>
      <c r="G78" s="529"/>
      <c r="H78" s="529" t="s">
        <v>655</v>
      </c>
      <c r="I78" s="455" t="s">
        <v>716</v>
      </c>
    </row>
    <row r="79" spans="1:9" ht="20.100000000000001" customHeight="1" x14ac:dyDescent="0.45">
      <c r="A79" s="528">
        <v>45991</v>
      </c>
      <c r="B79" s="529" t="s">
        <v>725</v>
      </c>
      <c r="C79" s="529" t="s">
        <v>597</v>
      </c>
      <c r="D79" s="529" t="s">
        <v>69</v>
      </c>
      <c r="E79" s="529">
        <v>1</v>
      </c>
      <c r="F79" s="529" t="s">
        <v>17</v>
      </c>
      <c r="G79" s="529"/>
      <c r="H79" s="529" t="s">
        <v>655</v>
      </c>
      <c r="I79" s="455" t="s">
        <v>680</v>
      </c>
    </row>
    <row r="80" spans="1:9" ht="20.100000000000001" customHeight="1" x14ac:dyDescent="0.45">
      <c r="A80" s="528">
        <v>45997</v>
      </c>
      <c r="B80" s="529" t="s">
        <v>233</v>
      </c>
      <c r="C80" s="529" t="s">
        <v>540</v>
      </c>
      <c r="D80" s="529" t="s">
        <v>69</v>
      </c>
      <c r="E80" s="529">
        <v>12</v>
      </c>
      <c r="F80" s="529" t="s">
        <v>687</v>
      </c>
      <c r="G80" s="529"/>
      <c r="H80" s="529" t="s">
        <v>585</v>
      </c>
      <c r="I80" s="455" t="s">
        <v>716</v>
      </c>
    </row>
    <row r="81" spans="1:9" ht="20.100000000000001" customHeight="1" x14ac:dyDescent="0.45">
      <c r="A81" s="528">
        <v>45997</v>
      </c>
      <c r="B81" s="529" t="s">
        <v>233</v>
      </c>
      <c r="C81" s="529" t="s">
        <v>597</v>
      </c>
      <c r="D81" s="529" t="s">
        <v>69</v>
      </c>
      <c r="E81" s="529">
        <v>3</v>
      </c>
      <c r="F81" s="529" t="s">
        <v>17</v>
      </c>
      <c r="G81" s="529"/>
      <c r="H81" s="529" t="s">
        <v>655</v>
      </c>
      <c r="I81" s="455" t="s">
        <v>680</v>
      </c>
    </row>
    <row r="82" spans="1:9" ht="20.100000000000001" customHeight="1" x14ac:dyDescent="0.45">
      <c r="A82" s="528">
        <v>46003</v>
      </c>
      <c r="B82" s="529" t="s">
        <v>703</v>
      </c>
      <c r="C82" s="529" t="s">
        <v>697</v>
      </c>
      <c r="D82" s="529" t="s">
        <v>69</v>
      </c>
      <c r="E82" s="529">
        <v>1</v>
      </c>
      <c r="F82" s="529" t="s">
        <v>698</v>
      </c>
      <c r="G82" s="529"/>
      <c r="H82" s="529" t="s">
        <v>679</v>
      </c>
      <c r="I82" s="455" t="s">
        <v>688</v>
      </c>
    </row>
    <row r="83" spans="1:9" ht="20.100000000000001" customHeight="1" x14ac:dyDescent="0.45">
      <c r="A83" s="528">
        <v>46005</v>
      </c>
      <c r="B83" s="529" t="s">
        <v>700</v>
      </c>
      <c r="C83" s="529" t="s">
        <v>697</v>
      </c>
      <c r="D83" s="529" t="s">
        <v>69</v>
      </c>
      <c r="E83" s="529">
        <v>1</v>
      </c>
      <c r="F83" s="529" t="s">
        <v>698</v>
      </c>
      <c r="G83" s="529"/>
      <c r="H83" s="529" t="s">
        <v>585</v>
      </c>
      <c r="I83" s="455" t="s">
        <v>688</v>
      </c>
    </row>
    <row r="84" spans="1:9" ht="20.100000000000001" customHeight="1" x14ac:dyDescent="0.45">
      <c r="A84" s="528">
        <v>46042</v>
      </c>
      <c r="B84" s="529" t="s">
        <v>233</v>
      </c>
      <c r="C84" s="529" t="s">
        <v>726</v>
      </c>
      <c r="D84" s="529" t="s">
        <v>69</v>
      </c>
      <c r="E84" s="529">
        <v>1</v>
      </c>
      <c r="F84" s="529" t="s">
        <v>727</v>
      </c>
      <c r="G84" s="529"/>
      <c r="H84" s="529" t="s">
        <v>655</v>
      </c>
      <c r="I84" s="455" t="s">
        <v>727</v>
      </c>
    </row>
    <row r="85" spans="1:9" ht="20.100000000000001" customHeight="1" x14ac:dyDescent="0.45">
      <c r="A85" s="528">
        <v>46046</v>
      </c>
      <c r="B85" s="529" t="s">
        <v>728</v>
      </c>
      <c r="C85" s="529" t="s">
        <v>697</v>
      </c>
      <c r="D85" s="529" t="s">
        <v>69</v>
      </c>
      <c r="E85" s="529">
        <v>1</v>
      </c>
      <c r="F85" s="529" t="s">
        <v>729</v>
      </c>
      <c r="G85" s="529"/>
      <c r="H85" s="529" t="s">
        <v>679</v>
      </c>
      <c r="I85" s="455" t="s">
        <v>729</v>
      </c>
    </row>
    <row r="86" spans="1:9" ht="20.100000000000001" customHeight="1" x14ac:dyDescent="0.45">
      <c r="A86" s="528">
        <v>46046</v>
      </c>
      <c r="B86" s="529" t="s">
        <v>233</v>
      </c>
      <c r="C86" s="529" t="s">
        <v>540</v>
      </c>
      <c r="D86" s="529" t="s">
        <v>69</v>
      </c>
      <c r="E86" s="529">
        <v>19</v>
      </c>
      <c r="F86" s="529" t="s">
        <v>687</v>
      </c>
      <c r="G86" s="529"/>
      <c r="H86" s="529" t="s">
        <v>679</v>
      </c>
      <c r="I86" s="455" t="s">
        <v>688</v>
      </c>
    </row>
    <row r="87" spans="1:9" ht="20.100000000000001" customHeight="1" x14ac:dyDescent="0.45">
      <c r="A87" s="528">
        <v>46048</v>
      </c>
      <c r="B87" s="529" t="s">
        <v>233</v>
      </c>
      <c r="C87" s="529" t="s">
        <v>540</v>
      </c>
      <c r="D87" s="529" t="s">
        <v>69</v>
      </c>
      <c r="E87" s="529">
        <v>35</v>
      </c>
      <c r="F87" s="529" t="s">
        <v>687</v>
      </c>
      <c r="G87" s="529"/>
      <c r="H87" s="529" t="s">
        <v>655</v>
      </c>
      <c r="I87" s="455" t="s">
        <v>688</v>
      </c>
    </row>
    <row r="88" spans="1:9" ht="20.100000000000001" customHeight="1" x14ac:dyDescent="0.45">
      <c r="A88" s="528">
        <v>46048</v>
      </c>
      <c r="B88" s="529" t="s">
        <v>728</v>
      </c>
      <c r="C88" s="529" t="s">
        <v>697</v>
      </c>
      <c r="D88" s="529" t="s">
        <v>69</v>
      </c>
      <c r="E88" s="529">
        <v>1</v>
      </c>
      <c r="F88" s="529" t="s">
        <v>729</v>
      </c>
      <c r="G88" s="529"/>
      <c r="H88" s="529" t="s">
        <v>655</v>
      </c>
      <c r="I88" s="455" t="s">
        <v>729</v>
      </c>
    </row>
    <row r="89" spans="1:9" ht="20.100000000000001" customHeight="1" x14ac:dyDescent="0.45">
      <c r="A89" s="528">
        <v>46049</v>
      </c>
      <c r="B89" s="529" t="s">
        <v>233</v>
      </c>
      <c r="C89" s="529" t="s">
        <v>697</v>
      </c>
      <c r="D89" s="529" t="s">
        <v>69</v>
      </c>
      <c r="E89" s="529">
        <v>1</v>
      </c>
      <c r="F89" s="529" t="s">
        <v>727</v>
      </c>
      <c r="G89" s="529"/>
      <c r="H89" s="529" t="s">
        <v>679</v>
      </c>
      <c r="I89" s="455" t="s">
        <v>727</v>
      </c>
    </row>
    <row r="90" spans="1:9" ht="20.100000000000001" customHeight="1" x14ac:dyDescent="0.45">
      <c r="A90" s="528">
        <v>46055</v>
      </c>
      <c r="B90" s="529" t="s">
        <v>700</v>
      </c>
      <c r="C90" s="529" t="s">
        <v>697</v>
      </c>
      <c r="D90" s="529" t="s">
        <v>69</v>
      </c>
      <c r="E90" s="529">
        <v>1</v>
      </c>
      <c r="F90" s="529" t="s">
        <v>698</v>
      </c>
      <c r="G90" s="529"/>
      <c r="H90" s="529" t="s">
        <v>679</v>
      </c>
      <c r="I90" s="455" t="s">
        <v>688</v>
      </c>
    </row>
    <row r="91" spans="1:9" ht="20.100000000000001" customHeight="1" x14ac:dyDescent="0.45">
      <c r="A91" s="528">
        <v>46056</v>
      </c>
      <c r="B91" s="529" t="s">
        <v>233</v>
      </c>
      <c r="C91" s="529" t="s">
        <v>697</v>
      </c>
      <c r="D91" s="529" t="s">
        <v>69</v>
      </c>
      <c r="E91" s="529">
        <v>2</v>
      </c>
      <c r="F91" s="529" t="s">
        <v>698</v>
      </c>
      <c r="G91" s="529"/>
      <c r="H91" s="529" t="s">
        <v>585</v>
      </c>
      <c r="I91" s="455" t="s">
        <v>688</v>
      </c>
    </row>
    <row r="92" spans="1:9" ht="20.100000000000001" customHeight="1" x14ac:dyDescent="0.45">
      <c r="A92" s="528">
        <v>46057</v>
      </c>
      <c r="B92" s="529" t="s">
        <v>233</v>
      </c>
      <c r="C92" s="529" t="s">
        <v>697</v>
      </c>
      <c r="D92" s="529" t="s">
        <v>69</v>
      </c>
      <c r="E92" s="529">
        <v>2</v>
      </c>
      <c r="F92" s="529" t="s">
        <v>698</v>
      </c>
      <c r="G92" s="529"/>
      <c r="H92" s="529" t="s">
        <v>655</v>
      </c>
      <c r="I92" s="455" t="s">
        <v>688</v>
      </c>
    </row>
    <row r="93" spans="1:9" ht="20.100000000000001" customHeight="1" x14ac:dyDescent="0.45">
      <c r="A93" s="528">
        <v>46058</v>
      </c>
      <c r="B93" s="529" t="s">
        <v>233</v>
      </c>
      <c r="C93" s="529" t="s">
        <v>697</v>
      </c>
      <c r="D93" s="529" t="s">
        <v>69</v>
      </c>
      <c r="E93" s="529">
        <v>2</v>
      </c>
      <c r="F93" s="529" t="s">
        <v>698</v>
      </c>
      <c r="G93" s="529"/>
      <c r="H93" s="529" t="s">
        <v>679</v>
      </c>
      <c r="I93" s="455" t="s">
        <v>688</v>
      </c>
    </row>
    <row r="94" spans="1:9" ht="20.100000000000001" customHeight="1" x14ac:dyDescent="0.45">
      <c r="A94" s="528">
        <v>46058</v>
      </c>
      <c r="B94" s="529" t="s">
        <v>233</v>
      </c>
      <c r="C94" s="529" t="s">
        <v>713</v>
      </c>
      <c r="D94" s="529" t="s">
        <v>433</v>
      </c>
      <c r="E94" s="529">
        <v>310</v>
      </c>
      <c r="F94" s="529" t="s">
        <v>18</v>
      </c>
      <c r="G94" s="529"/>
      <c r="H94" s="529" t="s">
        <v>679</v>
      </c>
      <c r="I94" s="455" t="s">
        <v>680</v>
      </c>
    </row>
    <row r="95" spans="1:9" ht="20.100000000000001" customHeight="1" x14ac:dyDescent="0.45">
      <c r="A95" s="528">
        <v>46060</v>
      </c>
      <c r="B95" s="530" t="s">
        <v>730</v>
      </c>
      <c r="C95" s="529" t="s">
        <v>706</v>
      </c>
      <c r="D95" s="529" t="s">
        <v>69</v>
      </c>
      <c r="E95" s="529">
        <v>1</v>
      </c>
      <c r="F95" s="529" t="s">
        <v>692</v>
      </c>
      <c r="G95" s="529"/>
      <c r="H95" s="529" t="s">
        <v>655</v>
      </c>
      <c r="I95" s="455" t="s">
        <v>688</v>
      </c>
    </row>
    <row r="96" spans="1:9" ht="20.100000000000001" customHeight="1" x14ac:dyDescent="0.45">
      <c r="A96" s="528">
        <v>46060</v>
      </c>
      <c r="B96" s="529" t="s">
        <v>731</v>
      </c>
      <c r="C96" s="529" t="s">
        <v>697</v>
      </c>
      <c r="D96" s="529" t="s">
        <v>69</v>
      </c>
      <c r="E96" s="529">
        <v>1</v>
      </c>
      <c r="F96" s="529" t="s">
        <v>698</v>
      </c>
      <c r="G96" s="529"/>
      <c r="H96" s="529" t="s">
        <v>655</v>
      </c>
      <c r="I96" s="455" t="s">
        <v>688</v>
      </c>
    </row>
    <row r="97" spans="1:9" ht="20.100000000000001" customHeight="1" x14ac:dyDescent="0.45">
      <c r="A97" s="528">
        <v>46061</v>
      </c>
      <c r="B97" s="529" t="s">
        <v>732</v>
      </c>
      <c r="C97" s="529" t="s">
        <v>713</v>
      </c>
      <c r="D97" s="529" t="s">
        <v>69</v>
      </c>
      <c r="E97" s="529">
        <v>1</v>
      </c>
      <c r="F97" s="529" t="s">
        <v>715</v>
      </c>
      <c r="G97" s="529"/>
      <c r="H97" s="529" t="s">
        <v>679</v>
      </c>
      <c r="I97" s="455" t="s">
        <v>716</v>
      </c>
    </row>
    <row r="98" spans="1:9" ht="20.100000000000001" customHeight="1" x14ac:dyDescent="0.45">
      <c r="A98" s="528">
        <v>46061</v>
      </c>
      <c r="B98" s="529" t="s">
        <v>733</v>
      </c>
      <c r="C98" s="529" t="s">
        <v>540</v>
      </c>
      <c r="D98" s="529" t="s">
        <v>69</v>
      </c>
      <c r="E98" s="529">
        <v>1</v>
      </c>
      <c r="F98" s="529" t="s">
        <v>539</v>
      </c>
      <c r="G98" s="529"/>
      <c r="H98" s="529" t="s">
        <v>679</v>
      </c>
      <c r="I98" s="455" t="s">
        <v>716</v>
      </c>
    </row>
    <row r="99" spans="1:9" ht="20.100000000000001" customHeight="1" x14ac:dyDescent="0.45">
      <c r="A99" s="528">
        <v>46061</v>
      </c>
      <c r="B99" s="529" t="s">
        <v>731</v>
      </c>
      <c r="C99" s="529" t="s">
        <v>697</v>
      </c>
      <c r="D99" s="529" t="s">
        <v>69</v>
      </c>
      <c r="E99" s="529">
        <v>2</v>
      </c>
      <c r="F99" s="529" t="s">
        <v>698</v>
      </c>
      <c r="G99" s="529"/>
      <c r="H99" s="529" t="s">
        <v>679</v>
      </c>
      <c r="I99" s="455" t="s">
        <v>688</v>
      </c>
    </row>
    <row r="100" spans="1:9" ht="20.100000000000001" customHeight="1" x14ac:dyDescent="0.45">
      <c r="A100" s="528">
        <v>46061</v>
      </c>
      <c r="B100" s="529" t="s">
        <v>734</v>
      </c>
      <c r="C100" s="529" t="s">
        <v>706</v>
      </c>
      <c r="D100" s="529" t="s">
        <v>69</v>
      </c>
      <c r="E100" s="529">
        <v>1</v>
      </c>
      <c r="F100" s="529" t="s">
        <v>692</v>
      </c>
      <c r="G100" s="529"/>
      <c r="H100" s="529" t="s">
        <v>679</v>
      </c>
      <c r="I100" s="455" t="s">
        <v>680</v>
      </c>
    </row>
    <row r="101" spans="1:9" ht="20.100000000000001" customHeight="1" x14ac:dyDescent="0.45">
      <c r="A101" s="528">
        <v>46062</v>
      </c>
      <c r="B101" s="529" t="s">
        <v>233</v>
      </c>
      <c r="C101" s="529" t="s">
        <v>706</v>
      </c>
      <c r="D101" s="529" t="s">
        <v>69</v>
      </c>
      <c r="E101" s="529">
        <v>2</v>
      </c>
      <c r="F101" s="529" t="s">
        <v>692</v>
      </c>
      <c r="G101" s="529"/>
      <c r="H101" s="529" t="s">
        <v>585</v>
      </c>
      <c r="I101" s="455" t="s">
        <v>680</v>
      </c>
    </row>
    <row r="102" spans="1:9" ht="20.100000000000001" customHeight="1" x14ac:dyDescent="0.45">
      <c r="A102" s="528">
        <v>46062</v>
      </c>
      <c r="B102" s="529" t="s">
        <v>233</v>
      </c>
      <c r="C102" s="529" t="s">
        <v>697</v>
      </c>
      <c r="D102" s="529" t="s">
        <v>69</v>
      </c>
      <c r="E102" s="529">
        <v>3</v>
      </c>
      <c r="F102" s="529" t="s">
        <v>698</v>
      </c>
      <c r="G102" s="529"/>
      <c r="H102" s="529" t="s">
        <v>585</v>
      </c>
      <c r="I102" s="455" t="s">
        <v>688</v>
      </c>
    </row>
    <row r="103" spans="1:9" ht="20.100000000000001" customHeight="1" x14ac:dyDescent="0.45">
      <c r="A103" s="528">
        <v>46063</v>
      </c>
      <c r="B103" s="529" t="s">
        <v>233</v>
      </c>
      <c r="C103" s="529" t="s">
        <v>597</v>
      </c>
      <c r="D103" s="529" t="s">
        <v>69</v>
      </c>
      <c r="E103" s="529">
        <v>1</v>
      </c>
      <c r="F103" s="529" t="s">
        <v>19</v>
      </c>
      <c r="G103" s="529"/>
      <c r="H103" s="529" t="s">
        <v>655</v>
      </c>
      <c r="I103" s="455" t="s">
        <v>432</v>
      </c>
    </row>
    <row r="104" spans="1:9" ht="20.100000000000001" customHeight="1" x14ac:dyDescent="0.45">
      <c r="A104" s="528">
        <v>46063</v>
      </c>
      <c r="B104" s="529" t="s">
        <v>731</v>
      </c>
      <c r="C104" s="529" t="s">
        <v>697</v>
      </c>
      <c r="D104" s="529" t="s">
        <v>69</v>
      </c>
      <c r="E104" s="529">
        <v>1</v>
      </c>
      <c r="F104" s="529" t="s">
        <v>698</v>
      </c>
      <c r="G104" s="529"/>
      <c r="H104" s="529" t="s">
        <v>655</v>
      </c>
      <c r="I104" s="455" t="s">
        <v>688</v>
      </c>
    </row>
    <row r="105" spans="1:9" ht="20.100000000000001" customHeight="1" x14ac:dyDescent="0.45">
      <c r="A105" s="528">
        <v>46063</v>
      </c>
      <c r="B105" s="529" t="s">
        <v>735</v>
      </c>
      <c r="C105" s="529" t="s">
        <v>697</v>
      </c>
      <c r="D105" s="529" t="s">
        <v>69</v>
      </c>
      <c r="E105" s="529">
        <v>1</v>
      </c>
      <c r="F105" s="529" t="s">
        <v>736</v>
      </c>
      <c r="G105" s="529"/>
      <c r="H105" s="529" t="s">
        <v>655</v>
      </c>
      <c r="I105" s="455" t="s">
        <v>680</v>
      </c>
    </row>
    <row r="106" spans="1:9" ht="20.100000000000001" customHeight="1" x14ac:dyDescent="0.45">
      <c r="A106" s="528">
        <v>46064</v>
      </c>
      <c r="B106" s="529" t="s">
        <v>233</v>
      </c>
      <c r="C106" s="529" t="s">
        <v>540</v>
      </c>
      <c r="D106" s="529" t="s">
        <v>69</v>
      </c>
      <c r="E106" s="529">
        <v>2</v>
      </c>
      <c r="F106" s="529" t="s">
        <v>539</v>
      </c>
      <c r="G106" s="529"/>
      <c r="H106" s="529" t="s">
        <v>679</v>
      </c>
      <c r="I106" s="455" t="s">
        <v>680</v>
      </c>
    </row>
    <row r="107" spans="1:9" ht="20.100000000000001" customHeight="1" x14ac:dyDescent="0.45">
      <c r="A107" s="528">
        <v>46066</v>
      </c>
      <c r="B107" s="529" t="s">
        <v>233</v>
      </c>
      <c r="C107" s="529" t="s">
        <v>697</v>
      </c>
      <c r="D107" s="529" t="s">
        <v>69</v>
      </c>
      <c r="E107" s="529">
        <v>1</v>
      </c>
      <c r="F107" s="529" t="s">
        <v>698</v>
      </c>
      <c r="G107" s="529"/>
      <c r="H107" s="529" t="s">
        <v>655</v>
      </c>
      <c r="I107" s="455" t="s">
        <v>688</v>
      </c>
    </row>
    <row r="108" spans="1:9" ht="20.100000000000001" customHeight="1" x14ac:dyDescent="0.45">
      <c r="A108" s="528">
        <v>46067</v>
      </c>
      <c r="B108" s="529" t="s">
        <v>233</v>
      </c>
      <c r="C108" s="529" t="s">
        <v>713</v>
      </c>
      <c r="D108" s="529" t="s">
        <v>433</v>
      </c>
      <c r="E108" s="529">
        <v>287</v>
      </c>
      <c r="F108" s="529" t="s">
        <v>18</v>
      </c>
      <c r="G108" s="529"/>
      <c r="H108" s="529" t="s">
        <v>679</v>
      </c>
      <c r="I108" s="455" t="s">
        <v>680</v>
      </c>
    </row>
    <row r="109" spans="1:9" ht="20.100000000000001" customHeight="1" x14ac:dyDescent="0.45">
      <c r="A109" s="528">
        <v>46067</v>
      </c>
      <c r="B109" s="529" t="s">
        <v>233</v>
      </c>
      <c r="C109" s="529" t="s">
        <v>540</v>
      </c>
      <c r="D109" s="529" t="s">
        <v>69</v>
      </c>
      <c r="E109" s="529">
        <v>1</v>
      </c>
      <c r="F109" s="529" t="s">
        <v>687</v>
      </c>
      <c r="G109" s="529"/>
      <c r="H109" s="529" t="s">
        <v>679</v>
      </c>
      <c r="I109" s="455" t="s">
        <v>688</v>
      </c>
    </row>
    <row r="110" spans="1:9" ht="20.100000000000001" customHeight="1" x14ac:dyDescent="0.45">
      <c r="A110" s="528">
        <v>46067</v>
      </c>
      <c r="B110" s="529" t="s">
        <v>233</v>
      </c>
      <c r="C110" s="529" t="s">
        <v>697</v>
      </c>
      <c r="D110" s="529" t="s">
        <v>69</v>
      </c>
      <c r="E110" s="529">
        <v>2</v>
      </c>
      <c r="F110" s="529" t="s">
        <v>698</v>
      </c>
      <c r="G110" s="529"/>
      <c r="H110" s="529" t="s">
        <v>679</v>
      </c>
      <c r="I110" s="455" t="s">
        <v>688</v>
      </c>
    </row>
    <row r="111" spans="1:9" ht="20.100000000000001" customHeight="1" x14ac:dyDescent="0.45">
      <c r="A111" s="528">
        <v>46068</v>
      </c>
      <c r="B111" s="529" t="s">
        <v>233</v>
      </c>
      <c r="C111" s="529" t="s">
        <v>697</v>
      </c>
      <c r="D111" s="529" t="s">
        <v>69</v>
      </c>
      <c r="E111" s="529">
        <v>2</v>
      </c>
      <c r="F111" s="529" t="s">
        <v>698</v>
      </c>
      <c r="G111" s="529"/>
      <c r="H111" s="529" t="s">
        <v>585</v>
      </c>
      <c r="I111" s="455" t="s">
        <v>688</v>
      </c>
    </row>
    <row r="112" spans="1:9" ht="20.100000000000001" customHeight="1" x14ac:dyDescent="0.45">
      <c r="A112" s="528">
        <v>46069</v>
      </c>
      <c r="B112" s="529" t="s">
        <v>233</v>
      </c>
      <c r="C112" s="529" t="s">
        <v>697</v>
      </c>
      <c r="D112" s="529" t="s">
        <v>69</v>
      </c>
      <c r="E112" s="529">
        <v>3</v>
      </c>
      <c r="F112" s="529" t="s">
        <v>698</v>
      </c>
      <c r="G112" s="529"/>
      <c r="H112" s="529" t="s">
        <v>655</v>
      </c>
      <c r="I112" s="455" t="s">
        <v>688</v>
      </c>
    </row>
    <row r="113" spans="1:9" ht="20.100000000000001" customHeight="1" x14ac:dyDescent="0.45">
      <c r="A113" s="528">
        <v>46070</v>
      </c>
      <c r="B113" s="529" t="s">
        <v>233</v>
      </c>
      <c r="C113" s="529" t="s">
        <v>597</v>
      </c>
      <c r="D113" s="529" t="s">
        <v>69</v>
      </c>
      <c r="E113" s="529">
        <v>5</v>
      </c>
      <c r="F113" s="529" t="s">
        <v>17</v>
      </c>
      <c r="G113" s="529"/>
      <c r="H113" s="529" t="s">
        <v>679</v>
      </c>
      <c r="I113" s="455" t="s">
        <v>680</v>
      </c>
    </row>
    <row r="114" spans="1:9" ht="20.100000000000001" customHeight="1" x14ac:dyDescent="0.45">
      <c r="A114" s="528">
        <v>46071</v>
      </c>
      <c r="B114" s="529" t="s">
        <v>233</v>
      </c>
      <c r="C114" s="529" t="s">
        <v>597</v>
      </c>
      <c r="D114" s="529" t="s">
        <v>69</v>
      </c>
      <c r="E114" s="529">
        <v>2</v>
      </c>
      <c r="F114" s="529" t="s">
        <v>17</v>
      </c>
      <c r="G114" s="529"/>
      <c r="H114" s="529" t="s">
        <v>585</v>
      </c>
      <c r="I114" s="455" t="s">
        <v>680</v>
      </c>
    </row>
    <row r="115" spans="1:9" ht="20.100000000000001" customHeight="1" x14ac:dyDescent="0.45">
      <c r="A115" s="528">
        <v>46071</v>
      </c>
      <c r="B115" s="529" t="s">
        <v>731</v>
      </c>
      <c r="C115" s="529" t="s">
        <v>697</v>
      </c>
      <c r="D115" s="529" t="s">
        <v>69</v>
      </c>
      <c r="E115" s="529">
        <v>2</v>
      </c>
      <c r="F115" s="529" t="s">
        <v>698</v>
      </c>
      <c r="G115" s="529"/>
      <c r="H115" s="529" t="s">
        <v>585</v>
      </c>
      <c r="I115" s="455" t="s">
        <v>688</v>
      </c>
    </row>
    <row r="116" spans="1:9" ht="20.100000000000001" customHeight="1" x14ac:dyDescent="0.45">
      <c r="A116" s="528">
        <v>46071</v>
      </c>
      <c r="B116" s="529" t="s">
        <v>737</v>
      </c>
      <c r="C116" s="529" t="s">
        <v>541</v>
      </c>
      <c r="D116" s="529" t="s">
        <v>69</v>
      </c>
      <c r="E116" s="529">
        <v>1</v>
      </c>
      <c r="F116" s="529" t="s">
        <v>539</v>
      </c>
      <c r="G116" s="529"/>
      <c r="H116" s="529" t="s">
        <v>585</v>
      </c>
      <c r="I116" s="455" t="s">
        <v>680</v>
      </c>
    </row>
    <row r="117" spans="1:9" ht="20.100000000000001" customHeight="1" x14ac:dyDescent="0.45">
      <c r="A117" s="528">
        <v>46072</v>
      </c>
      <c r="B117" s="529" t="s">
        <v>233</v>
      </c>
      <c r="C117" s="529" t="s">
        <v>713</v>
      </c>
      <c r="D117" s="529" t="s">
        <v>433</v>
      </c>
      <c r="E117" s="529">
        <v>483</v>
      </c>
      <c r="F117" s="529" t="s">
        <v>18</v>
      </c>
      <c r="G117" s="529"/>
      <c r="H117" s="529" t="s">
        <v>655</v>
      </c>
      <c r="I117" s="455" t="s">
        <v>680</v>
      </c>
    </row>
    <row r="118" spans="1:9" ht="20.100000000000001" customHeight="1" x14ac:dyDescent="0.45">
      <c r="A118" s="528">
        <v>46072</v>
      </c>
      <c r="B118" s="529" t="s">
        <v>731</v>
      </c>
      <c r="C118" s="529" t="s">
        <v>697</v>
      </c>
      <c r="D118" s="529" t="s">
        <v>69</v>
      </c>
      <c r="E118" s="529">
        <v>1</v>
      </c>
      <c r="F118" s="529" t="s">
        <v>712</v>
      </c>
      <c r="G118" s="529"/>
      <c r="H118" s="529" t="s">
        <v>655</v>
      </c>
      <c r="I118" s="455" t="s">
        <v>688</v>
      </c>
    </row>
    <row r="119" spans="1:9" ht="20.100000000000001" customHeight="1" x14ac:dyDescent="0.45">
      <c r="A119" s="528">
        <v>46074</v>
      </c>
      <c r="B119" s="529" t="s">
        <v>731</v>
      </c>
      <c r="C119" s="529" t="s">
        <v>697</v>
      </c>
      <c r="D119" s="529" t="s">
        <v>69</v>
      </c>
      <c r="E119" s="529">
        <v>2</v>
      </c>
      <c r="F119" s="529" t="s">
        <v>698</v>
      </c>
      <c r="G119" s="529"/>
      <c r="H119" s="529" t="s">
        <v>585</v>
      </c>
      <c r="I119" s="455" t="s">
        <v>688</v>
      </c>
    </row>
    <row r="120" spans="1:9" ht="20.100000000000001" customHeight="1" x14ac:dyDescent="0.45">
      <c r="A120" s="528">
        <v>46075</v>
      </c>
      <c r="B120" s="529" t="s">
        <v>233</v>
      </c>
      <c r="C120" s="529" t="s">
        <v>697</v>
      </c>
      <c r="D120" s="529" t="s">
        <v>69</v>
      </c>
      <c r="E120" s="529">
        <v>120</v>
      </c>
      <c r="F120" s="529" t="s">
        <v>736</v>
      </c>
      <c r="G120" s="529"/>
      <c r="H120" s="529" t="s">
        <v>655</v>
      </c>
      <c r="I120" s="455" t="s">
        <v>680</v>
      </c>
    </row>
    <row r="121" spans="1:9" ht="20.100000000000001" customHeight="1" x14ac:dyDescent="0.45">
      <c r="A121" s="528">
        <v>46075</v>
      </c>
      <c r="B121" s="529" t="s">
        <v>233</v>
      </c>
      <c r="C121" s="529" t="s">
        <v>713</v>
      </c>
      <c r="D121" s="529" t="s">
        <v>433</v>
      </c>
      <c r="E121" s="529">
        <v>435</v>
      </c>
      <c r="F121" s="529" t="s">
        <v>18</v>
      </c>
      <c r="G121" s="529"/>
      <c r="H121" s="529" t="s">
        <v>655</v>
      </c>
      <c r="I121" s="455" t="s">
        <v>680</v>
      </c>
    </row>
    <row r="122" spans="1:9" ht="20.100000000000001" customHeight="1" x14ac:dyDescent="0.45">
      <c r="A122" s="528">
        <v>46076</v>
      </c>
      <c r="B122" s="529" t="s">
        <v>233</v>
      </c>
      <c r="C122" s="529" t="s">
        <v>697</v>
      </c>
      <c r="D122" s="529" t="s">
        <v>69</v>
      </c>
      <c r="E122" s="529">
        <v>2</v>
      </c>
      <c r="F122" s="529" t="s">
        <v>698</v>
      </c>
      <c r="G122" s="529"/>
      <c r="H122" s="529" t="s">
        <v>679</v>
      </c>
      <c r="I122" s="455" t="s">
        <v>688</v>
      </c>
    </row>
    <row r="123" spans="1:9" ht="20.100000000000001" customHeight="1" x14ac:dyDescent="0.45">
      <c r="A123" s="528">
        <v>46076</v>
      </c>
      <c r="B123" s="529" t="s">
        <v>233</v>
      </c>
      <c r="C123" s="529" t="s">
        <v>540</v>
      </c>
      <c r="D123" s="529" t="s">
        <v>69</v>
      </c>
      <c r="E123" s="529">
        <v>10</v>
      </c>
      <c r="F123" s="529" t="s">
        <v>738</v>
      </c>
      <c r="G123" s="529"/>
      <c r="H123" s="529" t="s">
        <v>679</v>
      </c>
      <c r="I123" s="455" t="s">
        <v>688</v>
      </c>
    </row>
    <row r="124" spans="1:9" ht="20.100000000000001" customHeight="1" x14ac:dyDescent="0.45">
      <c r="A124" s="528">
        <v>46077</v>
      </c>
      <c r="B124" s="529" t="s">
        <v>233</v>
      </c>
      <c r="C124" s="529" t="s">
        <v>540</v>
      </c>
      <c r="D124" s="529" t="s">
        <v>69</v>
      </c>
      <c r="E124" s="529">
        <v>5</v>
      </c>
      <c r="F124" s="529" t="s">
        <v>738</v>
      </c>
      <c r="G124" s="529"/>
      <c r="H124" s="529" t="s">
        <v>585</v>
      </c>
      <c r="I124" s="455" t="s">
        <v>688</v>
      </c>
    </row>
    <row r="125" spans="1:9" ht="20.100000000000001" customHeight="1" x14ac:dyDescent="0.45">
      <c r="A125" s="528">
        <v>46077</v>
      </c>
      <c r="B125" s="529" t="s">
        <v>731</v>
      </c>
      <c r="C125" s="529" t="s">
        <v>697</v>
      </c>
      <c r="D125" s="529" t="s">
        <v>69</v>
      </c>
      <c r="E125" s="529">
        <v>1</v>
      </c>
      <c r="F125" s="529" t="s">
        <v>698</v>
      </c>
      <c r="G125" s="529"/>
      <c r="H125" s="529" t="s">
        <v>585</v>
      </c>
      <c r="I125" s="455" t="s">
        <v>688</v>
      </c>
    </row>
    <row r="126" spans="1:9" ht="20.100000000000001" customHeight="1" x14ac:dyDescent="0.45">
      <c r="A126" s="528">
        <v>46078</v>
      </c>
      <c r="B126" s="529" t="s">
        <v>233</v>
      </c>
      <c r="C126" s="529" t="s">
        <v>540</v>
      </c>
      <c r="D126" s="529" t="s">
        <v>69</v>
      </c>
      <c r="E126" s="529">
        <v>48</v>
      </c>
      <c r="F126" s="529" t="s">
        <v>687</v>
      </c>
      <c r="G126" s="529"/>
      <c r="H126" s="529" t="s">
        <v>655</v>
      </c>
      <c r="I126" s="455" t="s">
        <v>688</v>
      </c>
    </row>
    <row r="127" spans="1:9" ht="20.100000000000001" customHeight="1" x14ac:dyDescent="0.45">
      <c r="A127" s="528">
        <v>46078</v>
      </c>
      <c r="B127" s="529" t="s">
        <v>233</v>
      </c>
      <c r="C127" s="529" t="s">
        <v>540</v>
      </c>
      <c r="D127" s="529" t="s">
        <v>69</v>
      </c>
      <c r="E127" s="529">
        <v>3</v>
      </c>
      <c r="F127" s="529" t="s">
        <v>738</v>
      </c>
      <c r="G127" s="529"/>
      <c r="H127" s="529" t="s">
        <v>655</v>
      </c>
      <c r="I127" s="455" t="s">
        <v>688</v>
      </c>
    </row>
    <row r="128" spans="1:9" ht="20.100000000000001" customHeight="1" x14ac:dyDescent="0.45">
      <c r="A128" s="528">
        <v>46078</v>
      </c>
      <c r="B128" s="529" t="s">
        <v>731</v>
      </c>
      <c r="C128" s="529" t="s">
        <v>697</v>
      </c>
      <c r="D128" s="529" t="s">
        <v>69</v>
      </c>
      <c r="E128" s="529">
        <v>1</v>
      </c>
      <c r="F128" s="529" t="s">
        <v>698</v>
      </c>
      <c r="G128" s="529"/>
      <c r="H128" s="529" t="s">
        <v>655</v>
      </c>
      <c r="I128" s="455" t="s">
        <v>688</v>
      </c>
    </row>
    <row r="129" spans="1:9" ht="20.100000000000001" customHeight="1" x14ac:dyDescent="0.45">
      <c r="A129" s="528">
        <v>46078</v>
      </c>
      <c r="B129" s="529" t="s">
        <v>233</v>
      </c>
      <c r="C129" s="529" t="s">
        <v>713</v>
      </c>
      <c r="D129" s="529" t="s">
        <v>433</v>
      </c>
      <c r="E129" s="529">
        <v>630</v>
      </c>
      <c r="F129" s="529" t="s">
        <v>18</v>
      </c>
      <c r="G129" s="529"/>
      <c r="H129" s="529" t="s">
        <v>655</v>
      </c>
      <c r="I129" s="455" t="s">
        <v>680</v>
      </c>
    </row>
    <row r="130" spans="1:9" ht="20.100000000000001" customHeight="1" x14ac:dyDescent="0.45">
      <c r="A130" s="528">
        <v>46080</v>
      </c>
      <c r="B130" s="529" t="s">
        <v>731</v>
      </c>
      <c r="C130" s="529" t="s">
        <v>697</v>
      </c>
      <c r="D130" s="529" t="s">
        <v>69</v>
      </c>
      <c r="E130" s="529">
        <v>2</v>
      </c>
      <c r="F130" s="529" t="s">
        <v>698</v>
      </c>
      <c r="G130" s="529"/>
      <c r="H130" s="529" t="s">
        <v>585</v>
      </c>
      <c r="I130" s="455" t="s">
        <v>688</v>
      </c>
    </row>
    <row r="131" spans="1:9" ht="20.100000000000001" customHeight="1" x14ac:dyDescent="0.45">
      <c r="A131" s="528">
        <v>46081</v>
      </c>
      <c r="B131" s="529" t="s">
        <v>739</v>
      </c>
      <c r="C131" s="529" t="s">
        <v>740</v>
      </c>
      <c r="D131" s="529" t="s">
        <v>69</v>
      </c>
      <c r="E131" s="529">
        <v>1</v>
      </c>
      <c r="F131" s="529" t="s">
        <v>453</v>
      </c>
      <c r="G131" s="529"/>
      <c r="H131" s="529" t="s">
        <v>655</v>
      </c>
      <c r="I131" s="455" t="s">
        <v>680</v>
      </c>
    </row>
    <row r="132" spans="1:9" ht="20.100000000000001" customHeight="1" x14ac:dyDescent="0.45">
      <c r="A132" s="528">
        <v>46081</v>
      </c>
      <c r="B132" s="529" t="s">
        <v>731</v>
      </c>
      <c r="C132" s="529" t="s">
        <v>697</v>
      </c>
      <c r="D132" s="529" t="s">
        <v>69</v>
      </c>
      <c r="E132" s="529">
        <v>2</v>
      </c>
      <c r="F132" s="529" t="s">
        <v>698</v>
      </c>
      <c r="G132" s="529"/>
      <c r="H132" s="529" t="s">
        <v>655</v>
      </c>
      <c r="I132" s="455" t="s">
        <v>688</v>
      </c>
    </row>
    <row r="133" spans="1:9" ht="20.100000000000001" customHeight="1" x14ac:dyDescent="0.45">
      <c r="A133" s="528">
        <v>46081</v>
      </c>
      <c r="B133" s="529" t="s">
        <v>233</v>
      </c>
      <c r="C133" s="529" t="s">
        <v>713</v>
      </c>
      <c r="D133" s="529" t="s">
        <v>433</v>
      </c>
      <c r="E133" s="529">
        <v>636</v>
      </c>
      <c r="F133" s="529" t="s">
        <v>18</v>
      </c>
      <c r="G133" s="529"/>
      <c r="H133" s="529" t="s">
        <v>655</v>
      </c>
      <c r="I133" s="455" t="s">
        <v>680</v>
      </c>
    </row>
    <row r="134" spans="1:9" ht="20.100000000000001" customHeight="1" x14ac:dyDescent="0.45">
      <c r="A134" s="528">
        <v>46082</v>
      </c>
      <c r="B134" s="529" t="s">
        <v>233</v>
      </c>
      <c r="C134" s="529" t="s">
        <v>540</v>
      </c>
      <c r="D134" s="529" t="s">
        <v>69</v>
      </c>
      <c r="E134" s="529">
        <v>17</v>
      </c>
      <c r="F134" s="529" t="s">
        <v>687</v>
      </c>
      <c r="G134" s="529"/>
      <c r="H134" s="529" t="s">
        <v>679</v>
      </c>
      <c r="I134" s="455" t="s">
        <v>688</v>
      </c>
    </row>
    <row r="135" spans="1:9" ht="20.100000000000001" customHeight="1" x14ac:dyDescent="0.45">
      <c r="A135" s="528">
        <v>46082</v>
      </c>
      <c r="B135" s="529" t="s">
        <v>233</v>
      </c>
      <c r="C135" s="529" t="s">
        <v>597</v>
      </c>
      <c r="D135" s="529" t="s">
        <v>69</v>
      </c>
      <c r="E135" s="529">
        <v>1</v>
      </c>
      <c r="F135" s="529" t="s">
        <v>19</v>
      </c>
      <c r="G135" s="529"/>
      <c r="H135" s="529" t="s">
        <v>679</v>
      </c>
      <c r="I135" s="455" t="s">
        <v>680</v>
      </c>
    </row>
    <row r="136" spans="1:9" ht="20.100000000000001" customHeight="1" x14ac:dyDescent="0.45">
      <c r="A136" s="528">
        <v>46083</v>
      </c>
      <c r="B136" s="529" t="s">
        <v>233</v>
      </c>
      <c r="C136" s="529" t="s">
        <v>540</v>
      </c>
      <c r="D136" s="529" t="s">
        <v>69</v>
      </c>
      <c r="E136" s="529">
        <v>2</v>
      </c>
      <c r="F136" s="529" t="s">
        <v>695</v>
      </c>
      <c r="G136" s="529"/>
      <c r="H136" s="529" t="s">
        <v>585</v>
      </c>
      <c r="I136" s="455" t="s">
        <v>688</v>
      </c>
    </row>
    <row r="137" spans="1:9" ht="20.100000000000001" customHeight="1" x14ac:dyDescent="0.45">
      <c r="A137" s="528">
        <v>46083</v>
      </c>
      <c r="B137" s="529" t="s">
        <v>233</v>
      </c>
      <c r="C137" s="529" t="s">
        <v>540</v>
      </c>
      <c r="D137" s="529" t="s">
        <v>69</v>
      </c>
      <c r="E137" s="529">
        <v>3</v>
      </c>
      <c r="F137" s="529" t="s">
        <v>738</v>
      </c>
      <c r="G137" s="529"/>
      <c r="H137" s="529" t="s">
        <v>585</v>
      </c>
      <c r="I137" s="455" t="s">
        <v>688</v>
      </c>
    </row>
    <row r="138" spans="1:9" ht="20.100000000000001" customHeight="1" x14ac:dyDescent="0.45">
      <c r="A138" s="528">
        <v>46083</v>
      </c>
      <c r="B138" s="529" t="s">
        <v>700</v>
      </c>
      <c r="C138" s="529" t="s">
        <v>697</v>
      </c>
      <c r="D138" s="529" t="s">
        <v>69</v>
      </c>
      <c r="E138" s="529">
        <v>1</v>
      </c>
      <c r="F138" s="529" t="s">
        <v>698</v>
      </c>
      <c r="G138" s="529"/>
      <c r="H138" s="529" t="s">
        <v>585</v>
      </c>
      <c r="I138" s="455" t="s">
        <v>688</v>
      </c>
    </row>
    <row r="139" spans="1:9" ht="20.100000000000001" customHeight="1" x14ac:dyDescent="0.45">
      <c r="A139" s="528">
        <v>46084</v>
      </c>
      <c r="B139" s="529" t="s">
        <v>233</v>
      </c>
      <c r="C139" s="529" t="s">
        <v>740</v>
      </c>
      <c r="D139" s="529" t="s">
        <v>69</v>
      </c>
      <c r="E139" s="529">
        <v>1</v>
      </c>
      <c r="F139" s="529" t="s">
        <v>19</v>
      </c>
      <c r="G139" s="529"/>
      <c r="H139" s="529" t="s">
        <v>655</v>
      </c>
      <c r="I139" s="455" t="s">
        <v>680</v>
      </c>
    </row>
    <row r="140" spans="1:9" ht="20.100000000000001" customHeight="1" x14ac:dyDescent="0.45">
      <c r="A140" s="528">
        <v>46086</v>
      </c>
      <c r="B140" s="529" t="s">
        <v>233</v>
      </c>
      <c r="C140" s="529" t="s">
        <v>740</v>
      </c>
      <c r="D140" s="529" t="s">
        <v>69</v>
      </c>
      <c r="E140" s="529">
        <v>1</v>
      </c>
      <c r="F140" s="529" t="s">
        <v>19</v>
      </c>
      <c r="G140" s="529"/>
      <c r="H140" s="529" t="s">
        <v>585</v>
      </c>
      <c r="I140" s="455" t="s">
        <v>680</v>
      </c>
    </row>
    <row r="141" spans="1:9" ht="20.100000000000001" customHeight="1" x14ac:dyDescent="0.45">
      <c r="A141" s="528">
        <v>46087</v>
      </c>
      <c r="B141" s="529" t="s">
        <v>233</v>
      </c>
      <c r="C141" s="529" t="s">
        <v>540</v>
      </c>
      <c r="D141" s="529" t="s">
        <v>69</v>
      </c>
      <c r="E141" s="529">
        <v>16</v>
      </c>
      <c r="F141" s="529" t="s">
        <v>738</v>
      </c>
      <c r="G141" s="529"/>
      <c r="H141" s="529" t="s">
        <v>585</v>
      </c>
      <c r="I141" s="455" t="s">
        <v>688</v>
      </c>
    </row>
    <row r="142" spans="1:9" ht="20.100000000000001" customHeight="1" x14ac:dyDescent="0.45">
      <c r="A142" s="528">
        <v>46088</v>
      </c>
      <c r="B142" s="531" t="s">
        <v>233</v>
      </c>
      <c r="C142" s="531" t="s">
        <v>540</v>
      </c>
      <c r="D142" s="531" t="s">
        <v>69</v>
      </c>
      <c r="E142" s="531">
        <v>5</v>
      </c>
      <c r="F142" s="531" t="s">
        <v>738</v>
      </c>
      <c r="G142" s="531"/>
      <c r="H142" s="531" t="s">
        <v>585</v>
      </c>
      <c r="I142" s="532" t="s">
        <v>688</v>
      </c>
    </row>
    <row r="143" spans="1:9" ht="20.100000000000001" customHeight="1" x14ac:dyDescent="0.45">
      <c r="A143" s="528">
        <v>46088</v>
      </c>
      <c r="B143" s="529" t="s">
        <v>233</v>
      </c>
      <c r="C143" s="529" t="s">
        <v>713</v>
      </c>
      <c r="D143" s="529" t="s">
        <v>433</v>
      </c>
      <c r="E143" s="529">
        <v>100</v>
      </c>
      <c r="F143" s="529" t="s">
        <v>18</v>
      </c>
      <c r="G143" s="529"/>
      <c r="H143" s="529" t="s">
        <v>679</v>
      </c>
      <c r="I143" s="455" t="s">
        <v>680</v>
      </c>
    </row>
    <row r="144" spans="1:9" ht="20.100000000000001" customHeight="1" x14ac:dyDescent="0.45">
      <c r="A144" s="528">
        <v>46088</v>
      </c>
      <c r="B144" s="529" t="s">
        <v>731</v>
      </c>
      <c r="C144" s="529" t="s">
        <v>697</v>
      </c>
      <c r="D144" s="529" t="s">
        <v>69</v>
      </c>
      <c r="E144" s="529">
        <v>1</v>
      </c>
      <c r="F144" s="529" t="s">
        <v>698</v>
      </c>
      <c r="G144" s="529"/>
      <c r="H144" s="529" t="s">
        <v>679</v>
      </c>
      <c r="I144" s="455" t="s">
        <v>688</v>
      </c>
    </row>
    <row r="145" spans="1:9" ht="20.100000000000001" customHeight="1" x14ac:dyDescent="0.45">
      <c r="A145" s="528">
        <v>46089</v>
      </c>
      <c r="B145" s="529" t="s">
        <v>731</v>
      </c>
      <c r="C145" s="529" t="s">
        <v>697</v>
      </c>
      <c r="D145" s="529" t="s">
        <v>69</v>
      </c>
      <c r="E145" s="529">
        <v>1</v>
      </c>
      <c r="F145" s="529" t="s">
        <v>698</v>
      </c>
      <c r="G145" s="529"/>
      <c r="H145" s="529" t="s">
        <v>679</v>
      </c>
      <c r="I145" s="455" t="s">
        <v>688</v>
      </c>
    </row>
    <row r="146" spans="1:9" ht="20.100000000000001" customHeight="1" x14ac:dyDescent="0.45">
      <c r="A146" s="528">
        <v>46092</v>
      </c>
      <c r="B146" s="529" t="s">
        <v>233</v>
      </c>
      <c r="C146" s="529" t="s">
        <v>597</v>
      </c>
      <c r="D146" s="529" t="s">
        <v>69</v>
      </c>
      <c r="E146" s="529">
        <v>4</v>
      </c>
      <c r="F146" s="529" t="s">
        <v>19</v>
      </c>
      <c r="G146" s="529"/>
      <c r="H146" s="529" t="s">
        <v>585</v>
      </c>
      <c r="I146" s="455" t="s">
        <v>680</v>
      </c>
    </row>
    <row r="147" spans="1:9" ht="20.100000000000001" customHeight="1" x14ac:dyDescent="0.45">
      <c r="A147" s="528">
        <v>46094</v>
      </c>
      <c r="B147" s="529" t="s">
        <v>233</v>
      </c>
      <c r="C147" s="529" t="s">
        <v>597</v>
      </c>
      <c r="D147" s="529" t="s">
        <v>69</v>
      </c>
      <c r="E147" s="529">
        <v>1</v>
      </c>
      <c r="F147" s="529" t="s">
        <v>17</v>
      </c>
      <c r="G147" s="529"/>
      <c r="H147" s="529" t="s">
        <v>679</v>
      </c>
      <c r="I147" s="455" t="s">
        <v>680</v>
      </c>
    </row>
    <row r="148" spans="1:9" ht="20.100000000000001" customHeight="1" x14ac:dyDescent="0.45">
      <c r="A148" s="528">
        <v>46094</v>
      </c>
      <c r="B148" s="529" t="s">
        <v>233</v>
      </c>
      <c r="C148" s="529" t="s">
        <v>713</v>
      </c>
      <c r="D148" s="529" t="s">
        <v>433</v>
      </c>
      <c r="E148" s="529">
        <v>110</v>
      </c>
      <c r="F148" s="529" t="s">
        <v>18</v>
      </c>
      <c r="G148" s="529"/>
      <c r="H148" s="529" t="s">
        <v>679</v>
      </c>
      <c r="I148" s="455" t="s">
        <v>680</v>
      </c>
    </row>
    <row r="149" spans="1:9" ht="20.100000000000001" customHeight="1" x14ac:dyDescent="0.45">
      <c r="A149" s="528">
        <v>46095</v>
      </c>
      <c r="B149" s="529" t="s">
        <v>233</v>
      </c>
      <c r="C149" s="529" t="s">
        <v>540</v>
      </c>
      <c r="D149" s="529" t="s">
        <v>69</v>
      </c>
      <c r="E149" s="529">
        <v>16</v>
      </c>
      <c r="F149" s="529" t="s">
        <v>738</v>
      </c>
      <c r="G149" s="529"/>
      <c r="H149" s="529" t="s">
        <v>585</v>
      </c>
      <c r="I149" s="455" t="s">
        <v>688</v>
      </c>
    </row>
    <row r="150" spans="1:9" ht="20.100000000000001" customHeight="1" x14ac:dyDescent="0.45">
      <c r="A150" s="528">
        <v>46095</v>
      </c>
      <c r="B150" s="529" t="s">
        <v>233</v>
      </c>
      <c r="C150" s="529" t="s">
        <v>558</v>
      </c>
      <c r="D150" s="529" t="s">
        <v>69</v>
      </c>
      <c r="E150" s="529">
        <v>1</v>
      </c>
      <c r="F150" s="529" t="s">
        <v>456</v>
      </c>
      <c r="G150" s="529"/>
      <c r="H150" s="529" t="s">
        <v>585</v>
      </c>
      <c r="I150" s="455" t="s">
        <v>680</v>
      </c>
    </row>
    <row r="151" spans="1:9" ht="20.100000000000001" customHeight="1" x14ac:dyDescent="0.45">
      <c r="A151" s="528">
        <v>46096</v>
      </c>
      <c r="B151" s="531" t="s">
        <v>233</v>
      </c>
      <c r="C151" s="531" t="s">
        <v>540</v>
      </c>
      <c r="D151" s="531" t="s">
        <v>69</v>
      </c>
      <c r="E151" s="531">
        <v>30</v>
      </c>
      <c r="F151" s="531" t="s">
        <v>738</v>
      </c>
      <c r="G151" s="531"/>
      <c r="H151" s="531" t="s">
        <v>655</v>
      </c>
      <c r="I151" s="532" t="s">
        <v>688</v>
      </c>
    </row>
    <row r="152" spans="1:9" ht="20.100000000000001" customHeight="1" x14ac:dyDescent="0.45">
      <c r="A152" s="528">
        <v>46096</v>
      </c>
      <c r="B152" s="529" t="s">
        <v>233</v>
      </c>
      <c r="C152" s="529" t="s">
        <v>697</v>
      </c>
      <c r="D152" s="529" t="s">
        <v>69</v>
      </c>
      <c r="E152" s="529">
        <v>2</v>
      </c>
      <c r="F152" s="529" t="s">
        <v>698</v>
      </c>
      <c r="G152" s="529"/>
      <c r="H152" s="529" t="s">
        <v>655</v>
      </c>
      <c r="I152" s="455" t="s">
        <v>688</v>
      </c>
    </row>
    <row r="153" spans="1:9" ht="20.100000000000001" customHeight="1" x14ac:dyDescent="0.45">
      <c r="A153" s="528">
        <v>46097</v>
      </c>
      <c r="B153" s="529" t="s">
        <v>233</v>
      </c>
      <c r="C153" s="529" t="s">
        <v>597</v>
      </c>
      <c r="D153" s="529" t="s">
        <v>69</v>
      </c>
      <c r="E153" s="529">
        <v>1</v>
      </c>
      <c r="F153" s="529" t="s">
        <v>17</v>
      </c>
      <c r="G153" s="529"/>
      <c r="H153" s="529" t="s">
        <v>655</v>
      </c>
      <c r="I153" s="455" t="s">
        <v>680</v>
      </c>
    </row>
    <row r="154" spans="1:9" ht="20.100000000000001" customHeight="1" x14ac:dyDescent="0.45">
      <c r="A154" s="528">
        <v>46097</v>
      </c>
      <c r="B154" s="529" t="s">
        <v>731</v>
      </c>
      <c r="C154" s="529" t="s">
        <v>697</v>
      </c>
      <c r="D154" s="529" t="s">
        <v>69</v>
      </c>
      <c r="E154" s="529">
        <v>1</v>
      </c>
      <c r="F154" s="529" t="s">
        <v>698</v>
      </c>
      <c r="G154" s="529"/>
      <c r="H154" s="529" t="s">
        <v>679</v>
      </c>
      <c r="I154" s="455" t="s">
        <v>688</v>
      </c>
    </row>
    <row r="155" spans="1:9" ht="20.100000000000001" customHeight="1" x14ac:dyDescent="0.45">
      <c r="A155" s="528">
        <v>46097</v>
      </c>
      <c r="B155" s="529" t="s">
        <v>233</v>
      </c>
      <c r="C155" s="529" t="s">
        <v>697</v>
      </c>
      <c r="D155" s="529" t="s">
        <v>69</v>
      </c>
      <c r="E155" s="529">
        <v>500</v>
      </c>
      <c r="F155" s="529" t="s">
        <v>481</v>
      </c>
      <c r="G155" s="529"/>
      <c r="H155" s="529" t="s">
        <v>679</v>
      </c>
      <c r="I155" s="455" t="s">
        <v>680</v>
      </c>
    </row>
    <row r="156" spans="1:9" ht="20.100000000000001" customHeight="1" x14ac:dyDescent="0.45">
      <c r="A156" s="528">
        <v>46099</v>
      </c>
      <c r="B156" s="529" t="s">
        <v>233</v>
      </c>
      <c r="C156" s="529" t="s">
        <v>713</v>
      </c>
      <c r="D156" s="529" t="s">
        <v>433</v>
      </c>
      <c r="E156" s="529">
        <v>227</v>
      </c>
      <c r="F156" s="529" t="s">
        <v>18</v>
      </c>
      <c r="G156" s="529"/>
      <c r="H156" s="529" t="s">
        <v>655</v>
      </c>
      <c r="I156" s="455" t="s">
        <v>680</v>
      </c>
    </row>
    <row r="157" spans="1:9" ht="20.100000000000001" customHeight="1" x14ac:dyDescent="0.45">
      <c r="A157" s="528">
        <v>46099</v>
      </c>
      <c r="B157" s="531" t="s">
        <v>233</v>
      </c>
      <c r="C157" s="531" t="s">
        <v>540</v>
      </c>
      <c r="D157" s="531" t="s">
        <v>69</v>
      </c>
      <c r="E157" s="531">
        <v>4</v>
      </c>
      <c r="F157" s="531" t="s">
        <v>738</v>
      </c>
      <c r="G157" s="531"/>
      <c r="H157" s="531" t="s">
        <v>655</v>
      </c>
      <c r="I157" s="532" t="s">
        <v>688</v>
      </c>
    </row>
    <row r="158" spans="1:9" ht="20.100000000000001" customHeight="1" x14ac:dyDescent="0.45">
      <c r="A158" s="528">
        <v>46099</v>
      </c>
      <c r="B158" s="529" t="s">
        <v>233</v>
      </c>
      <c r="C158" s="529" t="s">
        <v>697</v>
      </c>
      <c r="D158" s="529" t="s">
        <v>69</v>
      </c>
      <c r="E158" s="529">
        <v>1</v>
      </c>
      <c r="F158" s="529" t="s">
        <v>741</v>
      </c>
      <c r="G158" s="529"/>
      <c r="H158" s="529" t="s">
        <v>655</v>
      </c>
      <c r="I158" s="455" t="s">
        <v>680</v>
      </c>
    </row>
    <row r="159" spans="1:9" ht="20.100000000000001" customHeight="1" x14ac:dyDescent="0.45">
      <c r="A159" s="528">
        <v>46099</v>
      </c>
      <c r="B159" s="529" t="s">
        <v>731</v>
      </c>
      <c r="C159" s="529" t="s">
        <v>697</v>
      </c>
      <c r="D159" s="529" t="s">
        <v>69</v>
      </c>
      <c r="E159" s="529">
        <v>1</v>
      </c>
      <c r="F159" s="529" t="s">
        <v>698</v>
      </c>
      <c r="G159" s="529"/>
      <c r="H159" s="529" t="s">
        <v>655</v>
      </c>
      <c r="I159" s="455" t="s">
        <v>688</v>
      </c>
    </row>
    <row r="160" spans="1:9" ht="20.100000000000001" customHeight="1" x14ac:dyDescent="0.45">
      <c r="A160" s="528">
        <v>46100</v>
      </c>
      <c r="B160" s="529" t="s">
        <v>742</v>
      </c>
      <c r="C160" s="529" t="s">
        <v>597</v>
      </c>
      <c r="D160" s="529" t="s">
        <v>69</v>
      </c>
      <c r="E160" s="529">
        <v>1</v>
      </c>
      <c r="F160" s="529" t="s">
        <v>19</v>
      </c>
      <c r="G160" s="529"/>
      <c r="H160" s="529" t="s">
        <v>655</v>
      </c>
      <c r="I160" s="455" t="s">
        <v>680</v>
      </c>
    </row>
    <row r="161" spans="1:9" ht="20.100000000000001" customHeight="1" x14ac:dyDescent="0.45">
      <c r="A161" s="528">
        <v>46100</v>
      </c>
      <c r="B161" s="529" t="s">
        <v>731</v>
      </c>
      <c r="C161" s="529" t="s">
        <v>697</v>
      </c>
      <c r="D161" s="529" t="s">
        <v>69</v>
      </c>
      <c r="E161" s="529">
        <v>1</v>
      </c>
      <c r="F161" s="529" t="s">
        <v>698</v>
      </c>
      <c r="G161" s="529"/>
      <c r="H161" s="529" t="s">
        <v>655</v>
      </c>
      <c r="I161" s="455" t="s">
        <v>688</v>
      </c>
    </row>
    <row r="162" spans="1:9" ht="20.100000000000001" customHeight="1" x14ac:dyDescent="0.45">
      <c r="A162" s="528">
        <v>46100</v>
      </c>
      <c r="B162" s="529" t="s">
        <v>700</v>
      </c>
      <c r="C162" s="529" t="s">
        <v>697</v>
      </c>
      <c r="D162" s="529" t="s">
        <v>69</v>
      </c>
      <c r="E162" s="529">
        <v>1</v>
      </c>
      <c r="F162" s="529" t="s">
        <v>698</v>
      </c>
      <c r="G162" s="529"/>
      <c r="H162" s="529" t="s">
        <v>655</v>
      </c>
      <c r="I162" s="455" t="s">
        <v>688</v>
      </c>
    </row>
    <row r="163" spans="1:9" ht="20.100000000000001" customHeight="1" x14ac:dyDescent="0.45">
      <c r="A163" s="528">
        <v>46102</v>
      </c>
      <c r="B163" s="529" t="s">
        <v>743</v>
      </c>
      <c r="C163" s="529" t="s">
        <v>740</v>
      </c>
      <c r="D163" s="529" t="s">
        <v>69</v>
      </c>
      <c r="E163" s="529">
        <v>1</v>
      </c>
      <c r="F163" s="529" t="s">
        <v>744</v>
      </c>
      <c r="G163" s="529"/>
      <c r="H163" s="529" t="s">
        <v>679</v>
      </c>
      <c r="I163" s="455" t="s">
        <v>680</v>
      </c>
    </row>
    <row r="164" spans="1:9" ht="20.100000000000001" customHeight="1" x14ac:dyDescent="0.45">
      <c r="A164" s="528">
        <v>46103</v>
      </c>
      <c r="B164" s="529" t="s">
        <v>233</v>
      </c>
      <c r="C164" s="529" t="s">
        <v>597</v>
      </c>
      <c r="D164" s="529" t="s">
        <v>69</v>
      </c>
      <c r="E164" s="529">
        <v>1</v>
      </c>
      <c r="F164" s="529" t="s">
        <v>17</v>
      </c>
      <c r="G164" s="529"/>
      <c r="H164" s="529" t="s">
        <v>679</v>
      </c>
      <c r="I164" s="455" t="s">
        <v>680</v>
      </c>
    </row>
    <row r="165" spans="1:9" ht="20.100000000000001" customHeight="1" x14ac:dyDescent="0.45">
      <c r="A165" s="528">
        <v>46103</v>
      </c>
      <c r="B165" s="529" t="s">
        <v>745</v>
      </c>
      <c r="C165" s="529" t="s">
        <v>713</v>
      </c>
      <c r="D165" s="529" t="s">
        <v>433</v>
      </c>
      <c r="E165" s="529">
        <v>9</v>
      </c>
      <c r="F165" s="529" t="s">
        <v>18</v>
      </c>
      <c r="G165" s="529"/>
      <c r="H165" s="529" t="s">
        <v>679</v>
      </c>
      <c r="I165" s="455" t="s">
        <v>680</v>
      </c>
    </row>
    <row r="166" spans="1:9" ht="20.100000000000001" customHeight="1" x14ac:dyDescent="0.45">
      <c r="A166" s="528">
        <v>46103</v>
      </c>
      <c r="B166" s="529" t="s">
        <v>731</v>
      </c>
      <c r="C166" s="529" t="s">
        <v>697</v>
      </c>
      <c r="D166" s="529" t="s">
        <v>69</v>
      </c>
      <c r="E166" s="529">
        <v>1</v>
      </c>
      <c r="F166" s="529" t="s">
        <v>698</v>
      </c>
      <c r="G166" s="529"/>
      <c r="H166" s="529" t="s">
        <v>679</v>
      </c>
      <c r="I166" s="455" t="s">
        <v>688</v>
      </c>
    </row>
    <row r="167" spans="1:9" ht="20.100000000000001" customHeight="1" x14ac:dyDescent="0.45">
      <c r="A167" s="528">
        <v>46104</v>
      </c>
      <c r="B167" s="529" t="s">
        <v>233</v>
      </c>
      <c r="C167" s="529" t="s">
        <v>697</v>
      </c>
      <c r="D167" s="529" t="s">
        <v>69</v>
      </c>
      <c r="E167" s="529">
        <v>2</v>
      </c>
      <c r="F167" s="529" t="s">
        <v>698</v>
      </c>
      <c r="G167" s="529"/>
      <c r="H167" s="529" t="s">
        <v>585</v>
      </c>
      <c r="I167" s="455" t="s">
        <v>680</v>
      </c>
    </row>
    <row r="168" spans="1:9" ht="20.100000000000001" customHeight="1" x14ac:dyDescent="0.45">
      <c r="A168" s="528">
        <v>46105</v>
      </c>
      <c r="B168" s="529" t="s">
        <v>233</v>
      </c>
      <c r="C168" s="529" t="s">
        <v>697</v>
      </c>
      <c r="D168" s="529" t="s">
        <v>69</v>
      </c>
      <c r="E168" s="529">
        <v>2</v>
      </c>
      <c r="F168" s="529" t="s">
        <v>698</v>
      </c>
      <c r="G168" s="529"/>
      <c r="H168" s="529" t="s">
        <v>655</v>
      </c>
      <c r="I168" s="455" t="s">
        <v>688</v>
      </c>
    </row>
    <row r="169" spans="1:9" ht="20.100000000000001" customHeight="1" x14ac:dyDescent="0.45">
      <c r="A169" s="528">
        <v>46106</v>
      </c>
      <c r="B169" s="529" t="s">
        <v>233</v>
      </c>
      <c r="C169" s="529" t="s">
        <v>746</v>
      </c>
      <c r="D169" s="529" t="s">
        <v>69</v>
      </c>
      <c r="E169" s="529">
        <v>2</v>
      </c>
      <c r="F169" s="529" t="s">
        <v>747</v>
      </c>
      <c r="G169" s="529"/>
      <c r="H169" s="529" t="s">
        <v>655</v>
      </c>
      <c r="I169" s="455" t="s">
        <v>716</v>
      </c>
    </row>
    <row r="170" spans="1:9" ht="20.100000000000001" customHeight="1" x14ac:dyDescent="0.45">
      <c r="A170" s="528">
        <v>46106</v>
      </c>
      <c r="B170" s="529" t="s">
        <v>703</v>
      </c>
      <c r="C170" s="529" t="s">
        <v>697</v>
      </c>
      <c r="D170" s="529" t="s">
        <v>69</v>
      </c>
      <c r="E170" s="529">
        <v>1</v>
      </c>
      <c r="F170" s="529" t="s">
        <v>698</v>
      </c>
      <c r="G170" s="529"/>
      <c r="H170" s="529" t="s">
        <v>679</v>
      </c>
      <c r="I170" s="455" t="s">
        <v>688</v>
      </c>
    </row>
    <row r="171" spans="1:9" ht="20.100000000000001" customHeight="1" x14ac:dyDescent="0.45">
      <c r="A171" s="528">
        <v>46106</v>
      </c>
      <c r="B171" s="529" t="s">
        <v>233</v>
      </c>
      <c r="C171" s="529" t="s">
        <v>713</v>
      </c>
      <c r="D171" s="529" t="s">
        <v>433</v>
      </c>
      <c r="E171" s="529">
        <v>202</v>
      </c>
      <c r="F171" s="529" t="s">
        <v>18</v>
      </c>
      <c r="G171" s="529"/>
      <c r="H171" s="529" t="s">
        <v>679</v>
      </c>
      <c r="I171" s="455" t="s">
        <v>680</v>
      </c>
    </row>
    <row r="172" spans="1:9" ht="20.100000000000001" customHeight="1" x14ac:dyDescent="0.45">
      <c r="A172" s="528">
        <v>46107</v>
      </c>
      <c r="B172" s="529" t="s">
        <v>748</v>
      </c>
      <c r="C172" s="529" t="s">
        <v>740</v>
      </c>
      <c r="D172" s="529" t="s">
        <v>127</v>
      </c>
      <c r="E172" s="529">
        <v>4</v>
      </c>
      <c r="F172" s="529" t="s">
        <v>749</v>
      </c>
      <c r="G172" s="529"/>
      <c r="H172" s="529" t="s">
        <v>585</v>
      </c>
      <c r="I172" s="455" t="s">
        <v>680</v>
      </c>
    </row>
    <row r="173" spans="1:9" ht="20.100000000000001" customHeight="1" x14ac:dyDescent="0.45">
      <c r="A173" s="528">
        <v>46107</v>
      </c>
      <c r="B173" s="529" t="s">
        <v>233</v>
      </c>
      <c r="C173" s="529" t="s">
        <v>697</v>
      </c>
      <c r="D173" s="529" t="s">
        <v>69</v>
      </c>
      <c r="E173" s="529">
        <v>2</v>
      </c>
      <c r="F173" s="529" t="s">
        <v>698</v>
      </c>
      <c r="G173" s="529"/>
      <c r="H173" s="529" t="s">
        <v>585</v>
      </c>
      <c r="I173" s="455" t="s">
        <v>688</v>
      </c>
    </row>
    <row r="174" spans="1:9" ht="20.100000000000001" customHeight="1" x14ac:dyDescent="0.45">
      <c r="A174" s="528">
        <v>46107</v>
      </c>
      <c r="B174" s="529" t="s">
        <v>233</v>
      </c>
      <c r="C174" s="529" t="s">
        <v>540</v>
      </c>
      <c r="D174" s="529" t="s">
        <v>69</v>
      </c>
      <c r="E174" s="529">
        <v>5</v>
      </c>
      <c r="F174" s="529" t="s">
        <v>750</v>
      </c>
      <c r="G174" s="529"/>
      <c r="H174" s="529" t="s">
        <v>585</v>
      </c>
      <c r="I174" s="455" t="s">
        <v>716</v>
      </c>
    </row>
    <row r="175" spans="1:9" ht="20.100000000000001" customHeight="1" x14ac:dyDescent="0.45">
      <c r="A175" s="528">
        <v>46108</v>
      </c>
      <c r="B175" s="529" t="s">
        <v>233</v>
      </c>
      <c r="C175" s="529" t="s">
        <v>697</v>
      </c>
      <c r="D175" s="529" t="s">
        <v>69</v>
      </c>
      <c r="E175" s="529">
        <v>2</v>
      </c>
      <c r="F175" s="529" t="s">
        <v>698</v>
      </c>
      <c r="G175" s="529"/>
      <c r="H175" s="529" t="s">
        <v>655</v>
      </c>
      <c r="I175" s="455" t="s">
        <v>688</v>
      </c>
    </row>
    <row r="176" spans="1:9" ht="20.100000000000001" customHeight="1" x14ac:dyDescent="0.45">
      <c r="A176" s="528">
        <v>46108</v>
      </c>
      <c r="B176" s="529" t="s">
        <v>701</v>
      </c>
      <c r="C176" s="529" t="s">
        <v>540</v>
      </c>
      <c r="D176" s="529" t="s">
        <v>69</v>
      </c>
      <c r="E176" s="529">
        <v>1</v>
      </c>
      <c r="F176" s="529" t="s">
        <v>738</v>
      </c>
      <c r="G176" s="529"/>
      <c r="H176" s="529" t="s">
        <v>655</v>
      </c>
      <c r="I176" s="455" t="s">
        <v>688</v>
      </c>
    </row>
    <row r="177" spans="1:9" ht="20.100000000000001" customHeight="1" x14ac:dyDescent="0.45">
      <c r="A177" s="528">
        <v>46109</v>
      </c>
      <c r="B177" s="529" t="s">
        <v>233</v>
      </c>
      <c r="C177" s="529" t="s">
        <v>540</v>
      </c>
      <c r="D177" s="529" t="s">
        <v>69</v>
      </c>
      <c r="E177" s="529">
        <v>5</v>
      </c>
      <c r="F177" s="529" t="s">
        <v>750</v>
      </c>
      <c r="G177" s="529"/>
      <c r="H177" s="529" t="s">
        <v>655</v>
      </c>
      <c r="I177" s="455" t="s">
        <v>716</v>
      </c>
    </row>
    <row r="178" spans="1:9" ht="20.100000000000001" customHeight="1" x14ac:dyDescent="0.45">
      <c r="A178" s="528">
        <v>46109</v>
      </c>
      <c r="B178" s="529" t="s">
        <v>233</v>
      </c>
      <c r="C178" s="529" t="s">
        <v>740</v>
      </c>
      <c r="D178" s="529" t="s">
        <v>127</v>
      </c>
      <c r="E178" s="529">
        <v>5</v>
      </c>
      <c r="F178" s="529" t="s">
        <v>749</v>
      </c>
      <c r="G178" s="529"/>
      <c r="H178" s="529" t="s">
        <v>679</v>
      </c>
      <c r="I178" s="455" t="s">
        <v>680</v>
      </c>
    </row>
    <row r="179" spans="1:9" ht="20.100000000000001" customHeight="1" x14ac:dyDescent="0.45">
      <c r="A179" s="528">
        <v>46109</v>
      </c>
      <c r="B179" s="529" t="s">
        <v>233</v>
      </c>
      <c r="C179" s="529" t="s">
        <v>233</v>
      </c>
      <c r="D179" s="529" t="s">
        <v>69</v>
      </c>
      <c r="E179" s="529">
        <v>1</v>
      </c>
      <c r="F179" s="529" t="s">
        <v>751</v>
      </c>
      <c r="G179" s="529"/>
      <c r="H179" s="529" t="s">
        <v>679</v>
      </c>
      <c r="I179" s="455" t="s">
        <v>680</v>
      </c>
    </row>
    <row r="180" spans="1:9" ht="20.100000000000001" customHeight="1" x14ac:dyDescent="0.45">
      <c r="A180" s="528">
        <v>46109</v>
      </c>
      <c r="B180" s="529" t="s">
        <v>233</v>
      </c>
      <c r="C180" s="529" t="s">
        <v>697</v>
      </c>
      <c r="D180" s="529" t="s">
        <v>69</v>
      </c>
      <c r="E180" s="529">
        <v>2</v>
      </c>
      <c r="F180" s="529" t="s">
        <v>698</v>
      </c>
      <c r="G180" s="529"/>
      <c r="H180" s="529" t="s">
        <v>679</v>
      </c>
      <c r="I180" s="455" t="s">
        <v>688</v>
      </c>
    </row>
    <row r="181" spans="1:9" ht="20.100000000000001" customHeight="1" x14ac:dyDescent="0.45">
      <c r="A181" s="528">
        <v>46110</v>
      </c>
      <c r="B181" s="529" t="s">
        <v>233</v>
      </c>
      <c r="C181" s="529" t="s">
        <v>233</v>
      </c>
      <c r="D181" s="529" t="s">
        <v>69</v>
      </c>
      <c r="E181" s="529">
        <v>1</v>
      </c>
      <c r="F181" s="529" t="s">
        <v>752</v>
      </c>
      <c r="G181" s="529"/>
      <c r="H181" s="529" t="s">
        <v>585</v>
      </c>
      <c r="I181" s="455" t="s">
        <v>680</v>
      </c>
    </row>
    <row r="182" spans="1:9" ht="20.100000000000001" customHeight="1" x14ac:dyDescent="0.45">
      <c r="A182" s="528">
        <v>46110</v>
      </c>
      <c r="B182" s="529" t="s">
        <v>233</v>
      </c>
      <c r="C182" s="529" t="s">
        <v>697</v>
      </c>
      <c r="D182" s="529" t="s">
        <v>69</v>
      </c>
      <c r="E182" s="529">
        <v>2</v>
      </c>
      <c r="F182" s="529" t="s">
        <v>698</v>
      </c>
      <c r="G182" s="529"/>
      <c r="H182" s="529" t="s">
        <v>585</v>
      </c>
      <c r="I182" s="455" t="s">
        <v>688</v>
      </c>
    </row>
    <row r="183" spans="1:9" ht="20.100000000000001" customHeight="1" x14ac:dyDescent="0.45">
      <c r="A183" s="528">
        <v>46111</v>
      </c>
      <c r="B183" s="529" t="s">
        <v>233</v>
      </c>
      <c r="C183" s="529" t="s">
        <v>540</v>
      </c>
      <c r="D183" s="529" t="s">
        <v>69</v>
      </c>
      <c r="E183" s="529">
        <v>2</v>
      </c>
      <c r="F183" s="529" t="s">
        <v>750</v>
      </c>
      <c r="G183" s="529"/>
      <c r="H183" s="529" t="s">
        <v>585</v>
      </c>
      <c r="I183" s="455" t="s">
        <v>716</v>
      </c>
    </row>
    <row r="184" spans="1:9" ht="20.100000000000001" customHeight="1" x14ac:dyDescent="0.45">
      <c r="A184" s="528">
        <v>46111</v>
      </c>
      <c r="B184" s="529" t="s">
        <v>233</v>
      </c>
      <c r="C184" s="529" t="s">
        <v>697</v>
      </c>
      <c r="D184" s="529" t="s">
        <v>69</v>
      </c>
      <c r="E184" s="529">
        <v>2</v>
      </c>
      <c r="F184" s="529" t="s">
        <v>698</v>
      </c>
      <c r="G184" s="529"/>
      <c r="H184" s="529" t="s">
        <v>655</v>
      </c>
      <c r="I184" s="455" t="s">
        <v>688</v>
      </c>
    </row>
    <row r="185" spans="1:9" ht="20.100000000000001" customHeight="1" x14ac:dyDescent="0.45">
      <c r="A185" s="528">
        <v>46111</v>
      </c>
      <c r="B185" s="529" t="s">
        <v>233</v>
      </c>
      <c r="C185" s="529" t="s">
        <v>713</v>
      </c>
      <c r="D185" s="529" t="s">
        <v>433</v>
      </c>
      <c r="E185" s="529">
        <v>236</v>
      </c>
      <c r="F185" s="529" t="s">
        <v>18</v>
      </c>
      <c r="G185" s="529"/>
      <c r="H185" s="529" t="s">
        <v>655</v>
      </c>
      <c r="I185" s="455" t="s">
        <v>680</v>
      </c>
    </row>
    <row r="186" spans="1:9" ht="20.100000000000001" customHeight="1" x14ac:dyDescent="0.45">
      <c r="A186" s="528">
        <v>46112</v>
      </c>
      <c r="B186" s="529" t="s">
        <v>233</v>
      </c>
      <c r="C186" s="529" t="s">
        <v>538</v>
      </c>
      <c r="D186" s="529" t="s">
        <v>69</v>
      </c>
      <c r="E186" s="529">
        <v>1</v>
      </c>
      <c r="F186" s="529" t="s">
        <v>233</v>
      </c>
      <c r="G186" s="529"/>
      <c r="H186" s="529" t="s">
        <v>655</v>
      </c>
      <c r="I186" s="455" t="s">
        <v>716</v>
      </c>
    </row>
    <row r="187" spans="1:9" ht="20.100000000000001" customHeight="1" x14ac:dyDescent="0.45">
      <c r="A187" s="528">
        <v>46112</v>
      </c>
      <c r="B187" s="529" t="s">
        <v>233</v>
      </c>
      <c r="C187" s="529" t="s">
        <v>697</v>
      </c>
      <c r="D187" s="529" t="s">
        <v>69</v>
      </c>
      <c r="E187" s="529">
        <v>1</v>
      </c>
      <c r="F187" s="529" t="s">
        <v>753</v>
      </c>
      <c r="G187" s="529"/>
      <c r="H187" s="529" t="s">
        <v>679</v>
      </c>
      <c r="I187" s="455" t="s">
        <v>680</v>
      </c>
    </row>
    <row r="188" spans="1:9" ht="20.100000000000001" customHeight="1" x14ac:dyDescent="0.45">
      <c r="A188" s="528">
        <v>46112</v>
      </c>
      <c r="B188" s="529" t="s">
        <v>233</v>
      </c>
      <c r="C188" s="529" t="s">
        <v>540</v>
      </c>
      <c r="D188" s="529" t="s">
        <v>69</v>
      </c>
      <c r="E188" s="529">
        <v>2</v>
      </c>
      <c r="F188" s="529" t="s">
        <v>754</v>
      </c>
      <c r="G188" s="529"/>
      <c r="H188" s="529" t="s">
        <v>679</v>
      </c>
      <c r="I188" s="455" t="s">
        <v>716</v>
      </c>
    </row>
    <row r="189" spans="1:9" ht="20.100000000000001" customHeight="1" x14ac:dyDescent="0.45">
      <c r="A189" s="528">
        <v>46113</v>
      </c>
      <c r="B189" s="529" t="s">
        <v>755</v>
      </c>
      <c r="C189" s="529" t="s">
        <v>697</v>
      </c>
      <c r="D189" s="529" t="s">
        <v>69</v>
      </c>
      <c r="E189" s="529">
        <v>2</v>
      </c>
      <c r="F189" s="529" t="s">
        <v>698</v>
      </c>
      <c r="G189" s="529"/>
      <c r="H189" s="529" t="s">
        <v>585</v>
      </c>
      <c r="I189" s="455" t="s">
        <v>688</v>
      </c>
    </row>
    <row r="190" spans="1:9" ht="20.100000000000001" customHeight="1" x14ac:dyDescent="0.45">
      <c r="A190" s="528">
        <v>46113</v>
      </c>
      <c r="B190" s="529" t="s">
        <v>756</v>
      </c>
      <c r="C190" s="529" t="s">
        <v>558</v>
      </c>
      <c r="D190" s="529" t="s">
        <v>69</v>
      </c>
      <c r="E190" s="529">
        <v>1</v>
      </c>
      <c r="F190" s="529" t="s">
        <v>456</v>
      </c>
      <c r="G190" s="529"/>
      <c r="H190" s="529" t="s">
        <v>585</v>
      </c>
      <c r="I190" s="455" t="s">
        <v>680</v>
      </c>
    </row>
    <row r="191" spans="1:9" ht="20.100000000000001" customHeight="1" x14ac:dyDescent="0.45">
      <c r="A191" s="528">
        <v>46113</v>
      </c>
      <c r="B191" s="529" t="s">
        <v>233</v>
      </c>
      <c r="C191" s="529" t="s">
        <v>713</v>
      </c>
      <c r="D191" s="529" t="s">
        <v>433</v>
      </c>
      <c r="E191" s="529">
        <v>18</v>
      </c>
      <c r="F191" s="529" t="s">
        <v>18</v>
      </c>
      <c r="G191" s="529"/>
      <c r="H191" s="529" t="s">
        <v>585</v>
      </c>
      <c r="I191" s="455" t="s">
        <v>680</v>
      </c>
    </row>
    <row r="192" spans="1:9" ht="20.100000000000001" customHeight="1" x14ac:dyDescent="0.45">
      <c r="A192" s="528">
        <v>46114</v>
      </c>
      <c r="B192" s="529" t="s">
        <v>757</v>
      </c>
      <c r="C192" s="529" t="s">
        <v>597</v>
      </c>
      <c r="D192" s="529" t="s">
        <v>69</v>
      </c>
      <c r="E192" s="529">
        <v>1</v>
      </c>
      <c r="F192" s="529" t="s">
        <v>720</v>
      </c>
      <c r="G192" s="529"/>
      <c r="H192" s="529" t="s">
        <v>655</v>
      </c>
      <c r="I192" s="455" t="s">
        <v>680</v>
      </c>
    </row>
    <row r="193" spans="1:9" ht="20.100000000000001" customHeight="1" x14ac:dyDescent="0.45">
      <c r="A193" s="528">
        <v>46114</v>
      </c>
      <c r="B193" s="529" t="s">
        <v>233</v>
      </c>
      <c r="C193" s="529" t="s">
        <v>697</v>
      </c>
      <c r="D193" s="529" t="s">
        <v>69</v>
      </c>
      <c r="E193" s="529">
        <v>2</v>
      </c>
      <c r="F193" s="529" t="s">
        <v>698</v>
      </c>
      <c r="G193" s="529"/>
      <c r="H193" s="529" t="s">
        <v>655</v>
      </c>
      <c r="I193" s="455" t="s">
        <v>688</v>
      </c>
    </row>
    <row r="194" spans="1:9" ht="20.100000000000001" customHeight="1" x14ac:dyDescent="0.45">
      <c r="A194" s="528">
        <v>46115</v>
      </c>
      <c r="B194" s="529" t="s">
        <v>233</v>
      </c>
      <c r="C194" s="529" t="s">
        <v>697</v>
      </c>
      <c r="D194" s="529" t="s">
        <v>69</v>
      </c>
      <c r="E194" s="529">
        <v>2</v>
      </c>
      <c r="F194" s="529" t="s">
        <v>698</v>
      </c>
      <c r="G194" s="529"/>
      <c r="H194" s="529" t="s">
        <v>679</v>
      </c>
      <c r="I194" s="455" t="s">
        <v>688</v>
      </c>
    </row>
    <row r="195" spans="1:9" ht="20.100000000000001" customHeight="1" x14ac:dyDescent="0.45">
      <c r="A195" s="528">
        <v>46116</v>
      </c>
      <c r="B195" s="529" t="s">
        <v>233</v>
      </c>
      <c r="C195" s="529" t="s">
        <v>597</v>
      </c>
      <c r="D195" s="529" t="s">
        <v>69</v>
      </c>
      <c r="E195" s="529">
        <v>1</v>
      </c>
      <c r="F195" s="529" t="s">
        <v>720</v>
      </c>
      <c r="G195" s="529"/>
      <c r="H195" s="529" t="s">
        <v>585</v>
      </c>
      <c r="I195" s="455" t="s">
        <v>680</v>
      </c>
    </row>
    <row r="196" spans="1:9" ht="20.100000000000001" customHeight="1" x14ac:dyDescent="0.45">
      <c r="A196" s="528">
        <v>46116</v>
      </c>
      <c r="B196" s="529" t="s">
        <v>758</v>
      </c>
      <c r="C196" s="529" t="s">
        <v>697</v>
      </c>
      <c r="D196" s="529" t="s">
        <v>69</v>
      </c>
      <c r="E196" s="529">
        <v>1</v>
      </c>
      <c r="F196" s="529" t="s">
        <v>19</v>
      </c>
      <c r="G196" s="529"/>
      <c r="H196" s="529" t="s">
        <v>585</v>
      </c>
      <c r="I196" s="455" t="s">
        <v>680</v>
      </c>
    </row>
    <row r="197" spans="1:9" ht="20.100000000000001" customHeight="1" x14ac:dyDescent="0.45">
      <c r="A197" s="528">
        <v>46116</v>
      </c>
      <c r="B197" s="529" t="s">
        <v>703</v>
      </c>
      <c r="C197" s="529" t="s">
        <v>697</v>
      </c>
      <c r="D197" s="529" t="s">
        <v>69</v>
      </c>
      <c r="E197" s="529">
        <v>1</v>
      </c>
      <c r="F197" s="529" t="s">
        <v>698</v>
      </c>
      <c r="G197" s="529"/>
      <c r="H197" s="529" t="s">
        <v>585</v>
      </c>
      <c r="I197" s="455" t="s">
        <v>688</v>
      </c>
    </row>
    <row r="198" spans="1:9" ht="20.100000000000001" customHeight="1" x14ac:dyDescent="0.45">
      <c r="A198" s="528">
        <v>46117</v>
      </c>
      <c r="B198" s="529" t="s">
        <v>233</v>
      </c>
      <c r="C198" s="529" t="s">
        <v>713</v>
      </c>
      <c r="D198" s="529" t="s">
        <v>433</v>
      </c>
      <c r="E198" s="529">
        <v>117</v>
      </c>
      <c r="F198" s="529" t="s">
        <v>18</v>
      </c>
      <c r="G198" s="529"/>
      <c r="H198" s="529" t="s">
        <v>655</v>
      </c>
      <c r="I198" s="455" t="s">
        <v>680</v>
      </c>
    </row>
    <row r="199" spans="1:9" ht="20.100000000000001" customHeight="1" x14ac:dyDescent="0.45">
      <c r="A199" s="528">
        <v>46117</v>
      </c>
      <c r="B199" s="529" t="s">
        <v>759</v>
      </c>
      <c r="C199" s="529" t="s">
        <v>597</v>
      </c>
      <c r="D199" s="529" t="s">
        <v>69</v>
      </c>
      <c r="E199" s="529">
        <v>1</v>
      </c>
      <c r="F199" s="529" t="s">
        <v>17</v>
      </c>
      <c r="G199" s="529"/>
      <c r="H199" s="529" t="s">
        <v>655</v>
      </c>
      <c r="I199" s="455" t="s">
        <v>680</v>
      </c>
    </row>
    <row r="200" spans="1:9" ht="20.100000000000001" customHeight="1" x14ac:dyDescent="0.45">
      <c r="A200" s="528">
        <v>46118</v>
      </c>
      <c r="B200" s="529" t="s">
        <v>760</v>
      </c>
      <c r="C200" s="529" t="s">
        <v>597</v>
      </c>
      <c r="D200" s="529" t="s">
        <v>69</v>
      </c>
      <c r="E200" s="529">
        <v>1</v>
      </c>
      <c r="F200" s="529" t="s">
        <v>17</v>
      </c>
      <c r="G200" s="529"/>
      <c r="H200" s="529" t="s">
        <v>655</v>
      </c>
      <c r="I200" s="455" t="s">
        <v>680</v>
      </c>
    </row>
    <row r="201" spans="1:9" ht="20.100000000000001" customHeight="1" x14ac:dyDescent="0.45">
      <c r="A201" s="528">
        <v>46118</v>
      </c>
      <c r="B201" s="529" t="s">
        <v>233</v>
      </c>
      <c r="C201" s="529" t="s">
        <v>697</v>
      </c>
      <c r="D201" s="529" t="s">
        <v>69</v>
      </c>
      <c r="E201" s="529">
        <v>1</v>
      </c>
      <c r="F201" s="529" t="s">
        <v>698</v>
      </c>
      <c r="G201" s="529"/>
      <c r="H201" s="529" t="s">
        <v>679</v>
      </c>
      <c r="I201" s="455" t="s">
        <v>680</v>
      </c>
    </row>
    <row r="202" spans="1:9" ht="20.100000000000001" customHeight="1" x14ac:dyDescent="0.45">
      <c r="A202" s="528">
        <v>46118</v>
      </c>
      <c r="B202" s="529" t="s">
        <v>233</v>
      </c>
      <c r="C202" s="529" t="s">
        <v>713</v>
      </c>
      <c r="D202" s="529" t="s">
        <v>433</v>
      </c>
      <c r="E202" s="529">
        <v>140</v>
      </c>
      <c r="F202" s="529" t="s">
        <v>18</v>
      </c>
      <c r="G202" s="529"/>
      <c r="H202" s="529" t="s">
        <v>679</v>
      </c>
      <c r="I202" s="455" t="s">
        <v>680</v>
      </c>
    </row>
    <row r="203" spans="1:9" ht="20.100000000000001" customHeight="1" x14ac:dyDescent="0.45">
      <c r="A203" s="528">
        <v>46119</v>
      </c>
      <c r="B203" s="529" t="s">
        <v>233</v>
      </c>
      <c r="C203" s="529" t="s">
        <v>597</v>
      </c>
      <c r="D203" s="529" t="s">
        <v>69</v>
      </c>
      <c r="E203" s="529">
        <v>3</v>
      </c>
      <c r="F203" s="529" t="s">
        <v>17</v>
      </c>
      <c r="G203" s="529"/>
      <c r="H203" s="529" t="s">
        <v>679</v>
      </c>
      <c r="I203" s="455" t="s">
        <v>680</v>
      </c>
    </row>
    <row r="204" spans="1:9" ht="20.100000000000001" customHeight="1" x14ac:dyDescent="0.45">
      <c r="A204" s="528">
        <v>46120</v>
      </c>
      <c r="B204" s="529" t="s">
        <v>233</v>
      </c>
      <c r="C204" s="529" t="s">
        <v>713</v>
      </c>
      <c r="D204" s="529" t="s">
        <v>433</v>
      </c>
      <c r="E204" s="529">
        <v>24</v>
      </c>
      <c r="F204" s="529" t="s">
        <v>18</v>
      </c>
      <c r="G204" s="529"/>
      <c r="H204" s="529" t="s">
        <v>655</v>
      </c>
      <c r="I204" s="455" t="s">
        <v>680</v>
      </c>
    </row>
    <row r="205" spans="1:9" ht="20.100000000000001" customHeight="1" x14ac:dyDescent="0.45">
      <c r="A205" s="528">
        <v>46121</v>
      </c>
      <c r="B205" s="529" t="s">
        <v>233</v>
      </c>
      <c r="C205" s="529" t="s">
        <v>597</v>
      </c>
      <c r="D205" s="529" t="s">
        <v>69</v>
      </c>
      <c r="E205" s="529">
        <v>1</v>
      </c>
      <c r="F205" s="529" t="s">
        <v>17</v>
      </c>
      <c r="G205" s="529"/>
      <c r="H205" s="529" t="s">
        <v>655</v>
      </c>
      <c r="I205" s="455" t="s">
        <v>680</v>
      </c>
    </row>
    <row r="206" spans="1:9" ht="20.100000000000001" customHeight="1" x14ac:dyDescent="0.45">
      <c r="A206" s="528">
        <v>46121</v>
      </c>
      <c r="B206" s="529" t="s">
        <v>700</v>
      </c>
      <c r="C206" s="529" t="s">
        <v>697</v>
      </c>
      <c r="D206" s="529" t="s">
        <v>69</v>
      </c>
      <c r="E206" s="529">
        <v>1</v>
      </c>
      <c r="F206" s="529" t="s">
        <v>698</v>
      </c>
      <c r="G206" s="529"/>
      <c r="H206" s="529" t="s">
        <v>679</v>
      </c>
      <c r="I206" s="455" t="s">
        <v>688</v>
      </c>
    </row>
    <row r="207" spans="1:9" ht="20.100000000000001" customHeight="1" x14ac:dyDescent="0.45">
      <c r="A207" s="528">
        <v>46121</v>
      </c>
      <c r="B207" s="529" t="s">
        <v>233</v>
      </c>
      <c r="C207" s="529" t="s">
        <v>540</v>
      </c>
      <c r="D207" s="529" t="s">
        <v>69</v>
      </c>
      <c r="E207" s="529">
        <v>2</v>
      </c>
      <c r="F207" s="529" t="s">
        <v>750</v>
      </c>
      <c r="G207" s="529"/>
      <c r="H207" s="529" t="s">
        <v>679</v>
      </c>
      <c r="I207" s="455" t="s">
        <v>716</v>
      </c>
    </row>
    <row r="208" spans="1:9" ht="20.100000000000001" customHeight="1" x14ac:dyDescent="0.45">
      <c r="A208" s="528">
        <v>46122</v>
      </c>
      <c r="B208" s="529" t="s">
        <v>233</v>
      </c>
      <c r="C208" s="529" t="s">
        <v>740</v>
      </c>
      <c r="D208" s="529" t="s">
        <v>69</v>
      </c>
      <c r="E208" s="529">
        <v>2</v>
      </c>
      <c r="F208" s="529" t="s">
        <v>19</v>
      </c>
      <c r="G208" s="529"/>
      <c r="H208" s="529" t="s">
        <v>585</v>
      </c>
      <c r="I208" s="455" t="s">
        <v>680</v>
      </c>
    </row>
    <row r="209" spans="1:9" ht="20.100000000000001" customHeight="1" x14ac:dyDescent="0.45">
      <c r="A209" s="528">
        <v>46122</v>
      </c>
      <c r="B209" s="529" t="s">
        <v>233</v>
      </c>
      <c r="C209" s="529" t="s">
        <v>761</v>
      </c>
      <c r="D209" s="529" t="s">
        <v>69</v>
      </c>
      <c r="E209" s="529">
        <v>18</v>
      </c>
      <c r="F209" s="529" t="s">
        <v>762</v>
      </c>
      <c r="G209" s="529"/>
      <c r="H209" s="529" t="s">
        <v>585</v>
      </c>
      <c r="I209" s="455" t="s">
        <v>680</v>
      </c>
    </row>
    <row r="210" spans="1:9" ht="20.100000000000001" customHeight="1" x14ac:dyDescent="0.45">
      <c r="A210" s="528">
        <v>46122</v>
      </c>
      <c r="B210" s="529" t="s">
        <v>233</v>
      </c>
      <c r="C210" s="529" t="s">
        <v>713</v>
      </c>
      <c r="D210" s="529" t="s">
        <v>433</v>
      </c>
      <c r="E210" s="529">
        <v>104</v>
      </c>
      <c r="F210" s="529" t="s">
        <v>18</v>
      </c>
      <c r="G210" s="529"/>
      <c r="H210" s="529" t="s">
        <v>585</v>
      </c>
      <c r="I210" s="455" t="s">
        <v>680</v>
      </c>
    </row>
    <row r="211" spans="1:9" ht="20.100000000000001" customHeight="1" x14ac:dyDescent="0.45">
      <c r="A211" s="528">
        <v>46122</v>
      </c>
      <c r="B211" s="529" t="s">
        <v>233</v>
      </c>
      <c r="C211" s="529" t="s">
        <v>697</v>
      </c>
      <c r="D211" s="529" t="s">
        <v>69</v>
      </c>
      <c r="E211" s="529">
        <v>1</v>
      </c>
      <c r="F211" s="529" t="s">
        <v>698</v>
      </c>
      <c r="G211" s="529"/>
      <c r="H211" s="529" t="s">
        <v>585</v>
      </c>
      <c r="I211" s="455" t="s">
        <v>688</v>
      </c>
    </row>
    <row r="212" spans="1:9" ht="20.100000000000001" customHeight="1" x14ac:dyDescent="0.45">
      <c r="A212" s="528">
        <v>46123</v>
      </c>
      <c r="B212" s="529" t="s">
        <v>233</v>
      </c>
      <c r="C212" s="529" t="s">
        <v>540</v>
      </c>
      <c r="D212" s="529" t="s">
        <v>69</v>
      </c>
      <c r="E212" s="529">
        <v>5</v>
      </c>
      <c r="F212" s="529" t="s">
        <v>750</v>
      </c>
      <c r="G212" s="529"/>
      <c r="H212" s="529" t="s">
        <v>585</v>
      </c>
      <c r="I212" s="455" t="s">
        <v>716</v>
      </c>
    </row>
    <row r="213" spans="1:9" ht="20.100000000000001" customHeight="1" x14ac:dyDescent="0.45">
      <c r="A213" s="528">
        <v>46123</v>
      </c>
      <c r="B213" s="529" t="s">
        <v>763</v>
      </c>
      <c r="C213" s="529" t="s">
        <v>697</v>
      </c>
      <c r="D213" s="529" t="s">
        <v>69</v>
      </c>
      <c r="E213" s="529">
        <v>1</v>
      </c>
      <c r="F213" s="529" t="s">
        <v>698</v>
      </c>
      <c r="G213" s="529"/>
      <c r="H213" s="529" t="s">
        <v>655</v>
      </c>
      <c r="I213" s="455" t="s">
        <v>688</v>
      </c>
    </row>
    <row r="214" spans="1:9" ht="20.100000000000001" customHeight="1" x14ac:dyDescent="0.45">
      <c r="A214" s="528">
        <v>46124</v>
      </c>
      <c r="B214" s="529" t="s">
        <v>233</v>
      </c>
      <c r="C214" s="529" t="s">
        <v>713</v>
      </c>
      <c r="D214" s="529" t="s">
        <v>433</v>
      </c>
      <c r="E214" s="529">
        <v>8</v>
      </c>
      <c r="F214" s="529" t="s">
        <v>18</v>
      </c>
      <c r="G214" s="529"/>
      <c r="H214" s="529" t="s">
        <v>585</v>
      </c>
      <c r="I214" s="455" t="s">
        <v>680</v>
      </c>
    </row>
    <row r="215" spans="1:9" ht="20.100000000000001" customHeight="1" x14ac:dyDescent="0.45">
      <c r="A215" s="528">
        <v>46124</v>
      </c>
      <c r="B215" s="529" t="s">
        <v>721</v>
      </c>
      <c r="C215" s="529" t="s">
        <v>706</v>
      </c>
      <c r="D215" s="529" t="s">
        <v>69</v>
      </c>
      <c r="E215" s="529">
        <v>1</v>
      </c>
      <c r="F215" s="529" t="s">
        <v>764</v>
      </c>
      <c r="G215" s="529"/>
      <c r="H215" s="529" t="s">
        <v>585</v>
      </c>
      <c r="I215" s="455" t="s">
        <v>716</v>
      </c>
    </row>
    <row r="216" spans="1:9" ht="20.100000000000001" customHeight="1" x14ac:dyDescent="0.45">
      <c r="A216" s="528">
        <v>46125</v>
      </c>
      <c r="B216" s="529" t="s">
        <v>755</v>
      </c>
      <c r="C216" s="529" t="s">
        <v>697</v>
      </c>
      <c r="D216" s="529" t="s">
        <v>69</v>
      </c>
      <c r="E216" s="529">
        <v>1</v>
      </c>
      <c r="F216" s="529" t="s">
        <v>698</v>
      </c>
      <c r="G216" s="529"/>
      <c r="H216" s="529" t="s">
        <v>585</v>
      </c>
      <c r="I216" s="455" t="s">
        <v>688</v>
      </c>
    </row>
    <row r="217" spans="1:9" ht="20.100000000000001" customHeight="1" x14ac:dyDescent="0.45">
      <c r="A217" s="528">
        <v>46126</v>
      </c>
      <c r="B217" s="529" t="s">
        <v>763</v>
      </c>
      <c r="C217" s="529" t="s">
        <v>697</v>
      </c>
      <c r="D217" s="529" t="s">
        <v>69</v>
      </c>
      <c r="E217" s="529">
        <v>1</v>
      </c>
      <c r="F217" s="529" t="s">
        <v>698</v>
      </c>
      <c r="G217" s="529"/>
      <c r="H217" s="529" t="s">
        <v>655</v>
      </c>
      <c r="I217" s="455" t="s">
        <v>688</v>
      </c>
    </row>
    <row r="218" spans="1:9" ht="20.100000000000001" customHeight="1" x14ac:dyDescent="0.45">
      <c r="A218" s="528">
        <v>46126</v>
      </c>
      <c r="B218" s="529" t="s">
        <v>233</v>
      </c>
      <c r="C218" s="529" t="s">
        <v>540</v>
      </c>
      <c r="D218" s="529" t="s">
        <v>69</v>
      </c>
      <c r="E218" s="529">
        <v>3</v>
      </c>
      <c r="F218" s="529" t="s">
        <v>750</v>
      </c>
      <c r="G218" s="529"/>
      <c r="H218" s="529" t="s">
        <v>585</v>
      </c>
      <c r="I218" s="455" t="s">
        <v>716</v>
      </c>
    </row>
    <row r="219" spans="1:9" ht="20.100000000000001" customHeight="1" x14ac:dyDescent="0.45">
      <c r="A219" s="528">
        <v>46126</v>
      </c>
      <c r="B219" s="529" t="s">
        <v>233</v>
      </c>
      <c r="C219" s="529" t="s">
        <v>540</v>
      </c>
      <c r="D219" s="529" t="s">
        <v>69</v>
      </c>
      <c r="E219" s="529">
        <v>1</v>
      </c>
      <c r="F219" s="529" t="s">
        <v>720</v>
      </c>
      <c r="G219" s="529"/>
      <c r="H219" s="529" t="s">
        <v>585</v>
      </c>
      <c r="I219" s="455" t="s">
        <v>680</v>
      </c>
    </row>
    <row r="220" spans="1:9" ht="20.100000000000001" customHeight="1" x14ac:dyDescent="0.45">
      <c r="A220" s="528">
        <v>46127</v>
      </c>
      <c r="B220" s="529" t="s">
        <v>233</v>
      </c>
      <c r="C220" s="529" t="s">
        <v>697</v>
      </c>
      <c r="D220" s="529" t="s">
        <v>69</v>
      </c>
      <c r="E220" s="529">
        <v>1</v>
      </c>
      <c r="F220" s="529" t="s">
        <v>698</v>
      </c>
      <c r="G220" s="529"/>
      <c r="H220" s="529" t="s">
        <v>655</v>
      </c>
      <c r="I220" s="455" t="s">
        <v>688</v>
      </c>
    </row>
    <row r="221" spans="1:9" ht="20.100000000000001" customHeight="1" x14ac:dyDescent="0.45">
      <c r="A221" s="528">
        <v>46127</v>
      </c>
      <c r="B221" s="529" t="s">
        <v>233</v>
      </c>
      <c r="C221" s="529" t="s">
        <v>540</v>
      </c>
      <c r="D221" s="529" t="s">
        <v>69</v>
      </c>
      <c r="E221" s="529">
        <v>6</v>
      </c>
      <c r="F221" s="529" t="s">
        <v>750</v>
      </c>
      <c r="G221" s="529"/>
      <c r="H221" s="529" t="s">
        <v>655</v>
      </c>
      <c r="I221" s="455" t="s">
        <v>716</v>
      </c>
    </row>
    <row r="222" spans="1:9" ht="20.100000000000001" customHeight="1" x14ac:dyDescent="0.45">
      <c r="A222" s="528">
        <v>46127</v>
      </c>
      <c r="B222" s="529" t="s">
        <v>233</v>
      </c>
      <c r="C222" s="529" t="s">
        <v>540</v>
      </c>
      <c r="D222" s="529" t="s">
        <v>69</v>
      </c>
      <c r="E222" s="529">
        <v>2</v>
      </c>
      <c r="F222" s="529" t="s">
        <v>750</v>
      </c>
      <c r="G222" s="529"/>
      <c r="H222" s="529" t="s">
        <v>679</v>
      </c>
      <c r="I222" s="455" t="s">
        <v>716</v>
      </c>
    </row>
    <row r="223" spans="1:9" ht="20.100000000000001" customHeight="1" x14ac:dyDescent="0.45">
      <c r="A223" s="528">
        <v>46127</v>
      </c>
      <c r="B223" s="529" t="s">
        <v>233</v>
      </c>
      <c r="C223" s="529" t="s">
        <v>713</v>
      </c>
      <c r="D223" s="529" t="s">
        <v>433</v>
      </c>
      <c r="E223" s="529">
        <v>182</v>
      </c>
      <c r="F223" s="529" t="s">
        <v>18</v>
      </c>
      <c r="G223" s="529"/>
      <c r="H223" s="529" t="s">
        <v>679</v>
      </c>
      <c r="I223" s="455" t="s">
        <v>680</v>
      </c>
    </row>
    <row r="224" spans="1:9" ht="20.100000000000001" customHeight="1" x14ac:dyDescent="0.45">
      <c r="A224" s="528">
        <v>46129</v>
      </c>
      <c r="B224" s="529" t="s">
        <v>765</v>
      </c>
      <c r="C224" s="529" t="s">
        <v>597</v>
      </c>
      <c r="D224" s="529" t="s">
        <v>69</v>
      </c>
      <c r="E224" s="529">
        <v>1</v>
      </c>
      <c r="F224" s="529" t="s">
        <v>19</v>
      </c>
      <c r="G224" s="529"/>
      <c r="H224" s="529" t="s">
        <v>655</v>
      </c>
      <c r="I224" s="455" t="s">
        <v>680</v>
      </c>
    </row>
    <row r="225" spans="1:9" ht="20.100000000000001" customHeight="1" x14ac:dyDescent="0.45">
      <c r="A225" s="528">
        <v>46129</v>
      </c>
      <c r="B225" s="529" t="s">
        <v>766</v>
      </c>
      <c r="C225" s="529" t="s">
        <v>713</v>
      </c>
      <c r="D225" s="529" t="s">
        <v>433</v>
      </c>
      <c r="E225" s="529">
        <v>10</v>
      </c>
      <c r="F225" s="529" t="s">
        <v>18</v>
      </c>
      <c r="G225" s="529"/>
      <c r="H225" s="529" t="s">
        <v>655</v>
      </c>
      <c r="I225" s="455" t="s">
        <v>680</v>
      </c>
    </row>
    <row r="226" spans="1:9" ht="20.100000000000001" customHeight="1" x14ac:dyDescent="0.45">
      <c r="A226" s="528">
        <v>46129</v>
      </c>
      <c r="B226" s="529" t="s">
        <v>767</v>
      </c>
      <c r="C226" s="529" t="s">
        <v>746</v>
      </c>
      <c r="D226" s="529" t="s">
        <v>69</v>
      </c>
      <c r="E226" s="529">
        <v>2</v>
      </c>
      <c r="F226" s="529" t="s">
        <v>747</v>
      </c>
      <c r="G226" s="529"/>
      <c r="H226" s="529" t="s">
        <v>655</v>
      </c>
      <c r="I226" s="455" t="s">
        <v>716</v>
      </c>
    </row>
    <row r="227" spans="1:9" ht="20.100000000000001" customHeight="1" x14ac:dyDescent="0.45">
      <c r="A227" s="528">
        <v>46130</v>
      </c>
      <c r="B227" s="529" t="s">
        <v>233</v>
      </c>
      <c r="C227" s="529" t="s">
        <v>540</v>
      </c>
      <c r="D227" s="529" t="s">
        <v>69</v>
      </c>
      <c r="E227" s="529">
        <v>3</v>
      </c>
      <c r="F227" s="529" t="s">
        <v>750</v>
      </c>
      <c r="G227" s="529"/>
      <c r="H227" s="529" t="s">
        <v>655</v>
      </c>
      <c r="I227" s="455" t="s">
        <v>716</v>
      </c>
    </row>
    <row r="228" spans="1:9" ht="20.100000000000001" customHeight="1" x14ac:dyDescent="0.45">
      <c r="A228" s="528">
        <v>46130</v>
      </c>
      <c r="B228" s="529" t="s">
        <v>766</v>
      </c>
      <c r="C228" s="529" t="s">
        <v>713</v>
      </c>
      <c r="D228" s="529" t="s">
        <v>433</v>
      </c>
      <c r="E228" s="529">
        <v>10</v>
      </c>
      <c r="F228" s="529" t="s">
        <v>18</v>
      </c>
      <c r="G228" s="529"/>
      <c r="H228" s="529" t="s">
        <v>679</v>
      </c>
      <c r="I228" s="455" t="s">
        <v>680</v>
      </c>
    </row>
    <row r="229" spans="1:9" ht="20.100000000000001" customHeight="1" x14ac:dyDescent="0.45">
      <c r="A229" s="528">
        <v>46130</v>
      </c>
      <c r="B229" s="529" t="s">
        <v>768</v>
      </c>
      <c r="C229" s="529" t="s">
        <v>540</v>
      </c>
      <c r="D229" s="529" t="s">
        <v>69</v>
      </c>
      <c r="E229" s="529">
        <v>1</v>
      </c>
      <c r="F229" s="529" t="s">
        <v>754</v>
      </c>
      <c r="G229" s="529"/>
      <c r="H229" s="529" t="s">
        <v>679</v>
      </c>
      <c r="I229" s="455" t="s">
        <v>716</v>
      </c>
    </row>
    <row r="230" spans="1:9" ht="20.100000000000001" customHeight="1" x14ac:dyDescent="0.45">
      <c r="A230" s="528">
        <v>46132</v>
      </c>
      <c r="B230" s="529" t="s">
        <v>233</v>
      </c>
      <c r="C230" s="529" t="s">
        <v>740</v>
      </c>
      <c r="D230" s="529" t="s">
        <v>69</v>
      </c>
      <c r="E230" s="529">
        <v>1</v>
      </c>
      <c r="F230" s="529" t="s">
        <v>769</v>
      </c>
      <c r="G230" s="529"/>
      <c r="H230" s="529" t="s">
        <v>655</v>
      </c>
      <c r="I230" s="455" t="s">
        <v>680</v>
      </c>
    </row>
    <row r="231" spans="1:9" ht="20.100000000000001" customHeight="1" x14ac:dyDescent="0.45">
      <c r="A231" s="528">
        <v>46132</v>
      </c>
      <c r="B231" s="529" t="s">
        <v>770</v>
      </c>
      <c r="C231" s="529" t="s">
        <v>713</v>
      </c>
      <c r="D231" s="529" t="s">
        <v>433</v>
      </c>
      <c r="E231" s="529">
        <v>10</v>
      </c>
      <c r="F231" s="529" t="s">
        <v>18</v>
      </c>
      <c r="G231" s="529"/>
      <c r="H231" s="529" t="s">
        <v>655</v>
      </c>
      <c r="I231" s="455" t="s">
        <v>680</v>
      </c>
    </row>
    <row r="232" spans="1:9" ht="20.100000000000001" customHeight="1" x14ac:dyDescent="0.45">
      <c r="A232" s="528">
        <v>46133</v>
      </c>
      <c r="B232" s="529" t="s">
        <v>233</v>
      </c>
      <c r="C232" s="529" t="s">
        <v>713</v>
      </c>
      <c r="D232" s="529" t="s">
        <v>433</v>
      </c>
      <c r="E232" s="529">
        <v>169</v>
      </c>
      <c r="F232" s="529" t="s">
        <v>18</v>
      </c>
      <c r="G232" s="529"/>
      <c r="H232" s="529" t="s">
        <v>679</v>
      </c>
      <c r="I232" s="455" t="s">
        <v>680</v>
      </c>
    </row>
    <row r="233" spans="1:9" ht="20.100000000000001" customHeight="1" x14ac:dyDescent="0.45">
      <c r="A233" s="528">
        <v>46134</v>
      </c>
      <c r="B233" s="529" t="s">
        <v>233</v>
      </c>
      <c r="C233" s="529" t="s">
        <v>540</v>
      </c>
      <c r="D233" s="529" t="s">
        <v>69</v>
      </c>
      <c r="E233" s="529">
        <v>4</v>
      </c>
      <c r="F233" s="529" t="s">
        <v>750</v>
      </c>
      <c r="G233" s="529"/>
      <c r="H233" s="529" t="s">
        <v>679</v>
      </c>
      <c r="I233" s="455" t="s">
        <v>716</v>
      </c>
    </row>
    <row r="234" spans="1:9" ht="20.100000000000001" customHeight="1" x14ac:dyDescent="0.45">
      <c r="A234" s="528">
        <v>46135</v>
      </c>
      <c r="B234" s="529" t="s">
        <v>233</v>
      </c>
      <c r="C234" s="529" t="s">
        <v>713</v>
      </c>
      <c r="D234" s="529" t="s">
        <v>433</v>
      </c>
      <c r="E234" s="529">
        <v>10</v>
      </c>
      <c r="F234" s="529" t="s">
        <v>18</v>
      </c>
      <c r="G234" s="529"/>
      <c r="H234" s="529" t="s">
        <v>655</v>
      </c>
      <c r="I234" s="455" t="s">
        <v>680</v>
      </c>
    </row>
    <row r="235" spans="1:9" ht="20.100000000000001" customHeight="1" x14ac:dyDescent="0.45">
      <c r="A235" s="528">
        <v>46135</v>
      </c>
      <c r="B235" s="529" t="s">
        <v>233</v>
      </c>
      <c r="C235" s="529" t="s">
        <v>597</v>
      </c>
      <c r="D235" s="529" t="s">
        <v>69</v>
      </c>
      <c r="E235" s="529">
        <v>1</v>
      </c>
      <c r="F235" s="529" t="s">
        <v>19</v>
      </c>
      <c r="G235" s="529"/>
      <c r="H235" s="529" t="s">
        <v>655</v>
      </c>
      <c r="I235" s="455" t="s">
        <v>680</v>
      </c>
    </row>
    <row r="236" spans="1:9" ht="20.100000000000001" customHeight="1" x14ac:dyDescent="0.45">
      <c r="A236" s="528">
        <v>46137</v>
      </c>
      <c r="B236" s="529" t="s">
        <v>233</v>
      </c>
      <c r="C236" s="529" t="s">
        <v>713</v>
      </c>
      <c r="D236" s="529" t="s">
        <v>433</v>
      </c>
      <c r="E236" s="529">
        <v>117</v>
      </c>
      <c r="F236" s="529" t="s">
        <v>18</v>
      </c>
      <c r="G236" s="529"/>
      <c r="H236" s="529" t="s">
        <v>585</v>
      </c>
      <c r="I236" s="455" t="s">
        <v>680</v>
      </c>
    </row>
    <row r="237" spans="1:9" ht="20.100000000000001" customHeight="1" x14ac:dyDescent="0.45">
      <c r="A237" s="528">
        <v>46139</v>
      </c>
      <c r="B237" s="529" t="s">
        <v>233</v>
      </c>
      <c r="C237" s="529" t="s">
        <v>740</v>
      </c>
      <c r="D237" s="529" t="s">
        <v>69</v>
      </c>
      <c r="E237" s="529">
        <v>1</v>
      </c>
      <c r="F237" s="529" t="s">
        <v>283</v>
      </c>
      <c r="G237" s="529"/>
      <c r="H237" s="529" t="s">
        <v>679</v>
      </c>
      <c r="I237" s="455" t="s">
        <v>680</v>
      </c>
    </row>
    <row r="238" spans="1:9" ht="20.100000000000001" customHeight="1" x14ac:dyDescent="0.45">
      <c r="A238" s="528">
        <v>46139</v>
      </c>
      <c r="B238" s="529" t="s">
        <v>233</v>
      </c>
      <c r="C238" s="529" t="s">
        <v>746</v>
      </c>
      <c r="D238" s="529" t="s">
        <v>69</v>
      </c>
      <c r="E238" s="529">
        <v>2</v>
      </c>
      <c r="F238" s="529" t="s">
        <v>747</v>
      </c>
      <c r="G238" s="529"/>
      <c r="H238" s="529" t="s">
        <v>679</v>
      </c>
      <c r="I238" s="455" t="s">
        <v>716</v>
      </c>
    </row>
    <row r="239" spans="1:9" ht="20.100000000000001" customHeight="1" x14ac:dyDescent="0.45">
      <c r="A239" s="528">
        <v>46140</v>
      </c>
      <c r="B239" s="529" t="s">
        <v>233</v>
      </c>
      <c r="C239" s="529" t="s">
        <v>597</v>
      </c>
      <c r="D239" s="529" t="s">
        <v>69</v>
      </c>
      <c r="E239" s="529">
        <v>1</v>
      </c>
      <c r="F239" s="529" t="s">
        <v>17</v>
      </c>
      <c r="G239" s="529"/>
      <c r="H239" s="529" t="s">
        <v>679</v>
      </c>
      <c r="I239" s="455" t="s">
        <v>680</v>
      </c>
    </row>
    <row r="240" spans="1:9" ht="20.100000000000001" customHeight="1" x14ac:dyDescent="0.45">
      <c r="A240" s="528">
        <v>46140</v>
      </c>
      <c r="B240" s="529" t="s">
        <v>233</v>
      </c>
      <c r="C240" s="529" t="s">
        <v>540</v>
      </c>
      <c r="D240" s="529" t="s">
        <v>69</v>
      </c>
      <c r="E240" s="529">
        <v>2</v>
      </c>
      <c r="F240" s="529" t="s">
        <v>750</v>
      </c>
      <c r="G240" s="529"/>
      <c r="H240" s="529" t="s">
        <v>585</v>
      </c>
      <c r="I240" s="455" t="s">
        <v>716</v>
      </c>
    </row>
    <row r="241" spans="1:9" ht="20.100000000000001" customHeight="1" x14ac:dyDescent="0.45">
      <c r="A241" s="528">
        <v>46140</v>
      </c>
      <c r="B241" s="529" t="s">
        <v>233</v>
      </c>
      <c r="C241" s="529" t="s">
        <v>713</v>
      </c>
      <c r="D241" s="529" t="s">
        <v>433</v>
      </c>
      <c r="E241" s="529">
        <v>137</v>
      </c>
      <c r="F241" s="529" t="s">
        <v>18</v>
      </c>
      <c r="G241" s="529"/>
      <c r="H241" s="529" t="s">
        <v>585</v>
      </c>
      <c r="I241" s="455" t="s">
        <v>680</v>
      </c>
    </row>
    <row r="242" spans="1:9" ht="20.100000000000001" customHeight="1" x14ac:dyDescent="0.45">
      <c r="A242" s="528">
        <v>46141</v>
      </c>
      <c r="B242" s="529" t="s">
        <v>233</v>
      </c>
      <c r="C242" s="529" t="s">
        <v>713</v>
      </c>
      <c r="D242" s="529" t="s">
        <v>433</v>
      </c>
      <c r="E242" s="529">
        <v>10</v>
      </c>
      <c r="F242" s="529" t="s">
        <v>18</v>
      </c>
      <c r="G242" s="529"/>
      <c r="H242" s="529" t="s">
        <v>655</v>
      </c>
      <c r="I242" s="455" t="s">
        <v>680</v>
      </c>
    </row>
    <row r="243" spans="1:9" ht="20.100000000000001" customHeight="1" x14ac:dyDescent="0.45">
      <c r="A243" s="528">
        <v>46142</v>
      </c>
      <c r="B243" s="529" t="s">
        <v>233</v>
      </c>
      <c r="C243" s="529" t="s">
        <v>713</v>
      </c>
      <c r="D243" s="529" t="s">
        <v>433</v>
      </c>
      <c r="E243" s="529">
        <v>10</v>
      </c>
      <c r="F243" s="529" t="s">
        <v>18</v>
      </c>
      <c r="G243" s="529"/>
      <c r="H243" s="529" t="s">
        <v>585</v>
      </c>
      <c r="I243" s="455" t="s">
        <v>680</v>
      </c>
    </row>
    <row r="244" spans="1:9" ht="20.100000000000001" customHeight="1" x14ac:dyDescent="0.45">
      <c r="A244" s="528">
        <v>46144</v>
      </c>
      <c r="B244" s="529" t="s">
        <v>771</v>
      </c>
      <c r="C244" s="529" t="s">
        <v>597</v>
      </c>
      <c r="D244" s="529" t="s">
        <v>69</v>
      </c>
      <c r="E244" s="529">
        <v>1</v>
      </c>
      <c r="F244" s="529" t="s">
        <v>17</v>
      </c>
      <c r="G244" s="529" t="s">
        <v>772</v>
      </c>
      <c r="H244" s="529" t="s">
        <v>585</v>
      </c>
      <c r="I244" s="455" t="s">
        <v>680</v>
      </c>
    </row>
    <row r="245" spans="1:9" ht="20.100000000000001" customHeight="1" x14ac:dyDescent="0.45">
      <c r="A245" s="528">
        <v>46144</v>
      </c>
      <c r="B245" s="529" t="s">
        <v>773</v>
      </c>
      <c r="C245" s="529" t="s">
        <v>740</v>
      </c>
      <c r="D245" s="529" t="s">
        <v>69</v>
      </c>
      <c r="E245" s="529">
        <v>4</v>
      </c>
      <c r="F245" s="529" t="s">
        <v>774</v>
      </c>
      <c r="G245" s="529" t="s">
        <v>772</v>
      </c>
      <c r="H245" s="529" t="s">
        <v>655</v>
      </c>
      <c r="I245" s="455" t="s">
        <v>775</v>
      </c>
    </row>
    <row r="246" spans="1:9" ht="20.100000000000001" customHeight="1" x14ac:dyDescent="0.45">
      <c r="A246" s="528">
        <v>46145</v>
      </c>
      <c r="B246" s="529" t="s">
        <v>233</v>
      </c>
      <c r="C246" s="529" t="s">
        <v>713</v>
      </c>
      <c r="D246" s="529" t="s">
        <v>433</v>
      </c>
      <c r="E246" s="529">
        <v>188</v>
      </c>
      <c r="F246" s="529" t="s">
        <v>18</v>
      </c>
      <c r="G246" s="529" t="s">
        <v>772</v>
      </c>
      <c r="H246" s="529" t="s">
        <v>679</v>
      </c>
      <c r="I246" s="455" t="s">
        <v>680</v>
      </c>
    </row>
    <row r="247" spans="1:9" ht="20.100000000000001" customHeight="1" x14ac:dyDescent="0.45">
      <c r="A247" s="528">
        <v>46145</v>
      </c>
      <c r="B247" s="529" t="s">
        <v>768</v>
      </c>
      <c r="C247" s="529" t="s">
        <v>540</v>
      </c>
      <c r="D247" s="529" t="s">
        <v>69</v>
      </c>
      <c r="E247" s="529">
        <v>1</v>
      </c>
      <c r="F247" s="529" t="s">
        <v>754</v>
      </c>
      <c r="G247" s="529" t="s">
        <v>772</v>
      </c>
      <c r="H247" s="529" t="s">
        <v>679</v>
      </c>
      <c r="I247" s="455" t="s">
        <v>716</v>
      </c>
    </row>
    <row r="248" spans="1:9" ht="20.100000000000001" customHeight="1" x14ac:dyDescent="0.45">
      <c r="A248" s="528">
        <v>46145</v>
      </c>
      <c r="B248" s="529" t="s">
        <v>776</v>
      </c>
      <c r="C248" s="529" t="s">
        <v>540</v>
      </c>
      <c r="D248" s="529" t="s">
        <v>69</v>
      </c>
      <c r="E248" s="529">
        <v>2</v>
      </c>
      <c r="F248" s="529" t="s">
        <v>750</v>
      </c>
      <c r="G248" s="529" t="s">
        <v>772</v>
      </c>
      <c r="H248" s="529" t="s">
        <v>679</v>
      </c>
      <c r="I248" s="455" t="s">
        <v>716</v>
      </c>
    </row>
    <row r="249" spans="1:9" ht="20.100000000000001" customHeight="1" x14ac:dyDescent="0.45">
      <c r="A249" s="528">
        <v>46146</v>
      </c>
      <c r="B249" s="529" t="s">
        <v>748</v>
      </c>
      <c r="C249" s="529" t="s">
        <v>740</v>
      </c>
      <c r="D249" s="529" t="s">
        <v>69</v>
      </c>
      <c r="E249" s="529">
        <v>4</v>
      </c>
      <c r="F249" s="529" t="s">
        <v>749</v>
      </c>
      <c r="G249" s="529" t="s">
        <v>772</v>
      </c>
      <c r="H249" s="529" t="s">
        <v>585</v>
      </c>
      <c r="I249" s="455" t="s">
        <v>680</v>
      </c>
    </row>
    <row r="250" spans="1:9" ht="20.100000000000001" customHeight="1" x14ac:dyDescent="0.45">
      <c r="A250" s="528">
        <v>46146</v>
      </c>
      <c r="B250" s="529" t="s">
        <v>777</v>
      </c>
      <c r="C250" s="529" t="s">
        <v>697</v>
      </c>
      <c r="D250" s="529" t="s">
        <v>69</v>
      </c>
      <c r="E250" s="529">
        <v>1</v>
      </c>
      <c r="F250" s="529" t="s">
        <v>698</v>
      </c>
      <c r="G250" s="529" t="s">
        <v>772</v>
      </c>
      <c r="H250" s="529" t="s">
        <v>585</v>
      </c>
      <c r="I250" s="455" t="s">
        <v>688</v>
      </c>
    </row>
    <row r="251" spans="1:9" ht="20.100000000000001" customHeight="1" x14ac:dyDescent="0.45">
      <c r="A251" s="528">
        <v>46147</v>
      </c>
      <c r="B251" s="529" t="s">
        <v>778</v>
      </c>
      <c r="C251" s="529" t="s">
        <v>697</v>
      </c>
      <c r="D251" s="529" t="s">
        <v>69</v>
      </c>
      <c r="E251" s="529">
        <v>178</v>
      </c>
      <c r="F251" s="529" t="s">
        <v>497</v>
      </c>
      <c r="G251" s="529" t="s">
        <v>772</v>
      </c>
      <c r="H251" s="529" t="s">
        <v>655</v>
      </c>
      <c r="I251" s="455" t="s">
        <v>680</v>
      </c>
    </row>
    <row r="252" spans="1:9" ht="20.100000000000001" customHeight="1" x14ac:dyDescent="0.45">
      <c r="A252" s="528">
        <v>46148</v>
      </c>
      <c r="B252" s="529" t="s">
        <v>778</v>
      </c>
      <c r="C252" s="529" t="s">
        <v>697</v>
      </c>
      <c r="D252" s="529" t="s">
        <v>69</v>
      </c>
      <c r="E252" s="529">
        <v>1</v>
      </c>
      <c r="F252" s="529" t="s">
        <v>497</v>
      </c>
      <c r="G252" s="529" t="s">
        <v>779</v>
      </c>
      <c r="H252" s="529" t="s">
        <v>679</v>
      </c>
      <c r="I252" s="455" t="s">
        <v>680</v>
      </c>
    </row>
    <row r="253" spans="1:9" ht="20.100000000000001" customHeight="1" x14ac:dyDescent="0.45">
      <c r="A253" s="528">
        <v>46148</v>
      </c>
      <c r="B253" s="529" t="s">
        <v>233</v>
      </c>
      <c r="C253" s="529" t="s">
        <v>746</v>
      </c>
      <c r="D253" s="529" t="s">
        <v>69</v>
      </c>
      <c r="E253" s="529">
        <v>2</v>
      </c>
      <c r="F253" s="529" t="s">
        <v>747</v>
      </c>
      <c r="G253" s="529" t="s">
        <v>772</v>
      </c>
      <c r="H253" s="529" t="s">
        <v>679</v>
      </c>
      <c r="I253" s="455" t="s">
        <v>716</v>
      </c>
    </row>
    <row r="254" spans="1:9" ht="20.100000000000001" customHeight="1" x14ac:dyDescent="0.45">
      <c r="A254" s="528">
        <v>46149</v>
      </c>
      <c r="B254" s="529" t="s">
        <v>768</v>
      </c>
      <c r="C254" s="529" t="s">
        <v>540</v>
      </c>
      <c r="D254" s="529" t="s">
        <v>69</v>
      </c>
      <c r="E254" s="529">
        <v>1</v>
      </c>
      <c r="F254" s="529" t="s">
        <v>754</v>
      </c>
      <c r="G254" s="529" t="s">
        <v>772</v>
      </c>
      <c r="H254" s="529" t="s">
        <v>585</v>
      </c>
      <c r="I254" s="455" t="s">
        <v>716</v>
      </c>
    </row>
    <row r="255" spans="1:9" ht="20.100000000000001" customHeight="1" x14ac:dyDescent="0.45">
      <c r="A255" s="528">
        <v>46149</v>
      </c>
      <c r="B255" s="529" t="s">
        <v>780</v>
      </c>
      <c r="C255" s="529" t="s">
        <v>540</v>
      </c>
      <c r="D255" s="529" t="s">
        <v>69</v>
      </c>
      <c r="E255" s="529">
        <v>2</v>
      </c>
      <c r="F255" s="529" t="s">
        <v>750</v>
      </c>
      <c r="G255" s="529" t="s">
        <v>772</v>
      </c>
      <c r="H255" s="529" t="s">
        <v>585</v>
      </c>
      <c r="I255" s="455" t="s">
        <v>716</v>
      </c>
    </row>
    <row r="256" spans="1:9" ht="20.100000000000001" customHeight="1" x14ac:dyDescent="0.45">
      <c r="A256" s="528">
        <v>46149</v>
      </c>
      <c r="B256" s="529" t="s">
        <v>233</v>
      </c>
      <c r="C256" s="529" t="s">
        <v>713</v>
      </c>
      <c r="D256" s="529" t="s">
        <v>433</v>
      </c>
      <c r="E256" s="529">
        <v>192</v>
      </c>
      <c r="F256" s="529" t="s">
        <v>18</v>
      </c>
      <c r="G256" s="529" t="s">
        <v>772</v>
      </c>
      <c r="H256" s="529" t="s">
        <v>585</v>
      </c>
      <c r="I256" s="455" t="s">
        <v>680</v>
      </c>
    </row>
    <row r="257" spans="1:9" ht="20.100000000000001" customHeight="1" x14ac:dyDescent="0.45">
      <c r="A257" s="528">
        <v>46149</v>
      </c>
      <c r="B257" s="529" t="s">
        <v>233</v>
      </c>
      <c r="C257" s="529" t="s">
        <v>713</v>
      </c>
      <c r="D257" s="529" t="s">
        <v>69</v>
      </c>
      <c r="E257" s="529">
        <v>4</v>
      </c>
      <c r="F257" s="529" t="s">
        <v>18</v>
      </c>
      <c r="G257" s="529" t="s">
        <v>779</v>
      </c>
      <c r="H257" s="529" t="s">
        <v>585</v>
      </c>
      <c r="I257" s="455" t="s">
        <v>716</v>
      </c>
    </row>
    <row r="258" spans="1:9" ht="20.100000000000001" customHeight="1" x14ac:dyDescent="0.45">
      <c r="A258" s="528">
        <v>46153</v>
      </c>
      <c r="B258" s="529" t="s">
        <v>233</v>
      </c>
      <c r="C258" s="529" t="s">
        <v>597</v>
      </c>
      <c r="D258" s="529" t="s">
        <v>69</v>
      </c>
      <c r="E258" s="529">
        <v>1</v>
      </c>
      <c r="F258" s="529" t="s">
        <v>17</v>
      </c>
      <c r="G258" s="529" t="s">
        <v>772</v>
      </c>
      <c r="H258" s="529" t="s">
        <v>585</v>
      </c>
      <c r="I258" s="455" t="s">
        <v>680</v>
      </c>
    </row>
    <row r="259" spans="1:9" ht="20.100000000000001" customHeight="1" x14ac:dyDescent="0.45">
      <c r="A259" s="528">
        <v>46153</v>
      </c>
      <c r="B259" s="529" t="s">
        <v>233</v>
      </c>
      <c r="C259" s="529" t="s">
        <v>540</v>
      </c>
      <c r="D259" s="529" t="s">
        <v>69</v>
      </c>
      <c r="E259" s="529">
        <v>6</v>
      </c>
      <c r="F259" s="529" t="s">
        <v>750</v>
      </c>
      <c r="G259" s="529" t="s">
        <v>772</v>
      </c>
      <c r="H259" s="529" t="s">
        <v>655</v>
      </c>
      <c r="I259" s="455" t="s">
        <v>716</v>
      </c>
    </row>
    <row r="260" spans="1:9" ht="20.100000000000001" customHeight="1" x14ac:dyDescent="0.45">
      <c r="A260" s="528">
        <v>46153</v>
      </c>
      <c r="B260" s="529" t="s">
        <v>233</v>
      </c>
      <c r="C260" s="529" t="s">
        <v>540</v>
      </c>
      <c r="D260" s="529" t="s">
        <v>69</v>
      </c>
      <c r="E260" s="529">
        <v>2</v>
      </c>
      <c r="F260" s="529" t="s">
        <v>754</v>
      </c>
      <c r="G260" s="529" t="s">
        <v>772</v>
      </c>
      <c r="H260" s="529" t="s">
        <v>655</v>
      </c>
      <c r="I260" s="455" t="s">
        <v>716</v>
      </c>
    </row>
    <row r="261" spans="1:9" ht="20.100000000000001" customHeight="1" x14ac:dyDescent="0.45">
      <c r="A261" s="528">
        <v>46154</v>
      </c>
      <c r="B261" s="529" t="s">
        <v>233</v>
      </c>
      <c r="C261" s="529" t="s">
        <v>713</v>
      </c>
      <c r="D261" s="529" t="s">
        <v>433</v>
      </c>
      <c r="E261" s="529">
        <v>161</v>
      </c>
      <c r="F261" s="529" t="s">
        <v>18</v>
      </c>
      <c r="G261" s="529" t="s">
        <v>772</v>
      </c>
      <c r="H261" s="529" t="s">
        <v>679</v>
      </c>
      <c r="I261" s="455" t="s">
        <v>680</v>
      </c>
    </row>
    <row r="262" spans="1:9" ht="20.100000000000001" customHeight="1" x14ac:dyDescent="0.45">
      <c r="A262" s="528">
        <v>46154</v>
      </c>
      <c r="B262" s="529" t="s">
        <v>233</v>
      </c>
      <c r="C262" s="529" t="s">
        <v>746</v>
      </c>
      <c r="D262" s="529" t="s">
        <v>69</v>
      </c>
      <c r="E262" s="529">
        <v>2</v>
      </c>
      <c r="F262" s="529" t="s">
        <v>747</v>
      </c>
      <c r="G262" s="529" t="s">
        <v>772</v>
      </c>
      <c r="H262" s="529" t="s">
        <v>679</v>
      </c>
      <c r="I262" s="455" t="s">
        <v>716</v>
      </c>
    </row>
    <row r="263" spans="1:9" ht="20.100000000000001" customHeight="1" x14ac:dyDescent="0.45">
      <c r="A263" s="528">
        <v>46154</v>
      </c>
      <c r="B263" s="529" t="s">
        <v>233</v>
      </c>
      <c r="C263" s="529" t="s">
        <v>540</v>
      </c>
      <c r="D263" s="529" t="s">
        <v>69</v>
      </c>
      <c r="E263" s="529">
        <v>1</v>
      </c>
      <c r="F263" s="529" t="s">
        <v>750</v>
      </c>
      <c r="G263" s="529" t="s">
        <v>772</v>
      </c>
      <c r="H263" s="529" t="s">
        <v>679</v>
      </c>
      <c r="I263" s="455" t="s">
        <v>716</v>
      </c>
    </row>
    <row r="264" spans="1:9" ht="20.100000000000001" customHeight="1" x14ac:dyDescent="0.45">
      <c r="A264" s="528">
        <v>46156</v>
      </c>
      <c r="B264" s="529" t="s">
        <v>781</v>
      </c>
      <c r="C264" s="529" t="s">
        <v>713</v>
      </c>
      <c r="D264" s="529" t="s">
        <v>433</v>
      </c>
      <c r="E264" s="529">
        <v>11</v>
      </c>
      <c r="F264" s="529" t="s">
        <v>18</v>
      </c>
      <c r="G264" s="529" t="s">
        <v>772</v>
      </c>
      <c r="H264" s="529" t="s">
        <v>655</v>
      </c>
      <c r="I264" s="455" t="s">
        <v>680</v>
      </c>
    </row>
    <row r="265" spans="1:9" ht="20.100000000000001" customHeight="1" x14ac:dyDescent="0.45">
      <c r="A265" s="528">
        <v>46158</v>
      </c>
      <c r="B265" s="529" t="s">
        <v>233</v>
      </c>
      <c r="C265" s="529" t="s">
        <v>540</v>
      </c>
      <c r="D265" s="529" t="s">
        <v>69</v>
      </c>
      <c r="E265" s="529">
        <v>8</v>
      </c>
      <c r="F265" s="529" t="s">
        <v>750</v>
      </c>
      <c r="G265" s="529" t="s">
        <v>772</v>
      </c>
      <c r="H265" s="529" t="s">
        <v>679</v>
      </c>
      <c r="I265" s="455" t="s">
        <v>716</v>
      </c>
    </row>
    <row r="266" spans="1:9" ht="20.100000000000001" customHeight="1" x14ac:dyDescent="0.45">
      <c r="A266" s="528">
        <v>46158</v>
      </c>
      <c r="B266" s="529" t="s">
        <v>233</v>
      </c>
      <c r="C266" s="529" t="s">
        <v>540</v>
      </c>
      <c r="D266" s="529" t="s">
        <v>69</v>
      </c>
      <c r="E266" s="529">
        <v>5</v>
      </c>
      <c r="F266" s="529" t="s">
        <v>754</v>
      </c>
      <c r="G266" s="529" t="s">
        <v>772</v>
      </c>
      <c r="H266" s="529" t="s">
        <v>585</v>
      </c>
      <c r="I266" s="455" t="s">
        <v>716</v>
      </c>
    </row>
    <row r="267" spans="1:9" ht="20.100000000000001" customHeight="1" x14ac:dyDescent="0.45">
      <c r="A267" s="528">
        <v>46158</v>
      </c>
      <c r="B267" s="529" t="s">
        <v>233</v>
      </c>
      <c r="C267" s="529" t="s">
        <v>746</v>
      </c>
      <c r="D267" s="529" t="s">
        <v>69</v>
      </c>
      <c r="E267" s="529">
        <v>1</v>
      </c>
      <c r="F267" s="529" t="s">
        <v>747</v>
      </c>
      <c r="G267" s="529" t="s">
        <v>772</v>
      </c>
      <c r="H267" s="529" t="s">
        <v>585</v>
      </c>
      <c r="I267" s="455" t="s">
        <v>716</v>
      </c>
    </row>
    <row r="268" spans="1:9" ht="20.100000000000001" customHeight="1" x14ac:dyDescent="0.45">
      <c r="A268" s="528">
        <v>46158</v>
      </c>
      <c r="B268" s="529" t="s">
        <v>233</v>
      </c>
      <c r="C268" s="529" t="s">
        <v>713</v>
      </c>
      <c r="D268" s="529" t="s">
        <v>433</v>
      </c>
      <c r="E268" s="529">
        <v>170</v>
      </c>
      <c r="F268" s="529" t="s">
        <v>18</v>
      </c>
      <c r="G268" s="529" t="s">
        <v>772</v>
      </c>
      <c r="H268" s="529" t="s">
        <v>585</v>
      </c>
      <c r="I268" s="455" t="s">
        <v>680</v>
      </c>
    </row>
    <row r="269" spans="1:9" ht="20.100000000000001" customHeight="1" x14ac:dyDescent="0.45">
      <c r="A269" s="528">
        <v>46159</v>
      </c>
      <c r="B269" s="529" t="s">
        <v>233</v>
      </c>
      <c r="C269" s="529" t="s">
        <v>540</v>
      </c>
      <c r="D269" s="529" t="s">
        <v>69</v>
      </c>
      <c r="E269" s="529">
        <v>6</v>
      </c>
      <c r="F269" s="529" t="s">
        <v>782</v>
      </c>
      <c r="G269" s="529" t="s">
        <v>779</v>
      </c>
      <c r="H269" s="529" t="s">
        <v>655</v>
      </c>
      <c r="I269" s="455" t="s">
        <v>783</v>
      </c>
    </row>
    <row r="270" spans="1:9" ht="20.100000000000001" customHeight="1" x14ac:dyDescent="0.45">
      <c r="A270" s="528">
        <v>46159</v>
      </c>
      <c r="B270" s="529" t="s">
        <v>233</v>
      </c>
      <c r="C270" s="529" t="s">
        <v>540</v>
      </c>
      <c r="D270" s="529" t="s">
        <v>69</v>
      </c>
      <c r="E270" s="529">
        <v>4</v>
      </c>
      <c r="F270" s="529" t="s">
        <v>750</v>
      </c>
      <c r="G270" s="529" t="s">
        <v>772</v>
      </c>
      <c r="H270" s="529" t="s">
        <v>655</v>
      </c>
      <c r="I270" s="455" t="s">
        <v>716</v>
      </c>
    </row>
    <row r="271" spans="1:9" ht="20.100000000000001" customHeight="1" x14ac:dyDescent="0.45">
      <c r="A271" s="528">
        <v>46159</v>
      </c>
      <c r="B271" s="529" t="s">
        <v>233</v>
      </c>
      <c r="C271" s="529" t="s">
        <v>540</v>
      </c>
      <c r="D271" s="529" t="s">
        <v>69</v>
      </c>
      <c r="E271" s="529">
        <v>2</v>
      </c>
      <c r="F271" s="529" t="s">
        <v>754</v>
      </c>
      <c r="G271" s="529" t="s">
        <v>772</v>
      </c>
      <c r="H271" s="529" t="s">
        <v>655</v>
      </c>
      <c r="I271" s="455" t="s">
        <v>716</v>
      </c>
    </row>
    <row r="272" spans="1:9" ht="20.100000000000001" customHeight="1" x14ac:dyDescent="0.45">
      <c r="A272" s="528">
        <v>46160</v>
      </c>
      <c r="B272" s="529" t="s">
        <v>233</v>
      </c>
      <c r="C272" s="529" t="s">
        <v>540</v>
      </c>
      <c r="D272" s="529" t="s">
        <v>69</v>
      </c>
      <c r="E272" s="529">
        <v>49</v>
      </c>
      <c r="F272" s="529" t="s">
        <v>782</v>
      </c>
      <c r="G272" s="529" t="s">
        <v>779</v>
      </c>
      <c r="H272" s="529" t="s">
        <v>679</v>
      </c>
      <c r="I272" s="455" t="s">
        <v>783</v>
      </c>
    </row>
    <row r="273" spans="1:9" ht="20.100000000000001" customHeight="1" x14ac:dyDescent="0.45">
      <c r="A273" s="528">
        <v>46160</v>
      </c>
      <c r="B273" s="529" t="s">
        <v>233</v>
      </c>
      <c r="C273" s="529" t="s">
        <v>740</v>
      </c>
      <c r="D273" s="529" t="s">
        <v>69</v>
      </c>
      <c r="E273" s="529">
        <v>1</v>
      </c>
      <c r="F273" s="529" t="s">
        <v>649</v>
      </c>
      <c r="G273" s="529" t="s">
        <v>772</v>
      </c>
      <c r="H273" s="529" t="s">
        <v>679</v>
      </c>
      <c r="I273" s="455" t="s">
        <v>680</v>
      </c>
    </row>
    <row r="274" spans="1:9" ht="20.100000000000001" customHeight="1" x14ac:dyDescent="0.45">
      <c r="A274" s="528">
        <v>46161</v>
      </c>
      <c r="B274" s="529" t="s">
        <v>233</v>
      </c>
      <c r="C274" s="529" t="s">
        <v>713</v>
      </c>
      <c r="D274" s="529" t="s">
        <v>69</v>
      </c>
      <c r="E274" s="529">
        <v>10</v>
      </c>
      <c r="F274" s="529" t="s">
        <v>18</v>
      </c>
      <c r="G274" s="529" t="s">
        <v>779</v>
      </c>
      <c r="H274" s="529" t="s">
        <v>585</v>
      </c>
      <c r="I274" s="455" t="s">
        <v>716</v>
      </c>
    </row>
    <row r="275" spans="1:9" ht="20.100000000000001" customHeight="1" x14ac:dyDescent="0.45">
      <c r="A275" s="528">
        <v>46161</v>
      </c>
      <c r="B275" s="529" t="s">
        <v>233</v>
      </c>
      <c r="C275" s="529" t="s">
        <v>540</v>
      </c>
      <c r="D275" s="529" t="s">
        <v>69</v>
      </c>
      <c r="E275" s="529">
        <v>2</v>
      </c>
      <c r="F275" s="529" t="s">
        <v>754</v>
      </c>
      <c r="G275" s="529" t="s">
        <v>772</v>
      </c>
      <c r="H275" s="529" t="s">
        <v>585</v>
      </c>
      <c r="I275" s="455" t="s">
        <v>716</v>
      </c>
    </row>
    <row r="276" spans="1:9" ht="20.100000000000001" customHeight="1" x14ac:dyDescent="0.45">
      <c r="A276" s="528">
        <v>46161</v>
      </c>
      <c r="B276" s="529" t="s">
        <v>233</v>
      </c>
      <c r="C276" s="529" t="s">
        <v>540</v>
      </c>
      <c r="D276" s="529" t="s">
        <v>69</v>
      </c>
      <c r="E276" s="529">
        <v>62</v>
      </c>
      <c r="F276" s="529" t="s">
        <v>782</v>
      </c>
      <c r="G276" s="529" t="s">
        <v>779</v>
      </c>
      <c r="H276" s="529" t="s">
        <v>585</v>
      </c>
      <c r="I276" s="455" t="s">
        <v>783</v>
      </c>
    </row>
    <row r="277" spans="1:9" ht="20.100000000000001" customHeight="1" x14ac:dyDescent="0.45">
      <c r="A277" s="528">
        <v>46161</v>
      </c>
      <c r="B277" s="529" t="s">
        <v>233</v>
      </c>
      <c r="C277" s="529" t="s">
        <v>784</v>
      </c>
      <c r="D277" s="529" t="s">
        <v>69</v>
      </c>
      <c r="E277" s="529">
        <v>37</v>
      </c>
      <c r="F277" s="529" t="s">
        <v>782</v>
      </c>
      <c r="G277" s="529" t="s">
        <v>779</v>
      </c>
      <c r="H277" s="529" t="s">
        <v>585</v>
      </c>
      <c r="I277" s="455" t="s">
        <v>783</v>
      </c>
    </row>
    <row r="278" spans="1:9" ht="20.100000000000001" customHeight="1" x14ac:dyDescent="0.45">
      <c r="A278" s="528">
        <v>46161</v>
      </c>
      <c r="B278" s="529" t="s">
        <v>233</v>
      </c>
      <c r="C278" s="529" t="s">
        <v>713</v>
      </c>
      <c r="D278" s="529" t="s">
        <v>433</v>
      </c>
      <c r="E278" s="529">
        <v>24</v>
      </c>
      <c r="F278" s="529" t="s">
        <v>18</v>
      </c>
      <c r="G278" s="529" t="s">
        <v>772</v>
      </c>
      <c r="H278" s="529" t="s">
        <v>585</v>
      </c>
      <c r="I278" s="455" t="s">
        <v>680</v>
      </c>
    </row>
    <row r="279" spans="1:9" ht="20.100000000000001" customHeight="1" x14ac:dyDescent="0.45">
      <c r="A279" s="528">
        <v>46162</v>
      </c>
      <c r="B279" s="529" t="s">
        <v>233</v>
      </c>
      <c r="C279" s="529" t="s">
        <v>597</v>
      </c>
      <c r="D279" s="529" t="s">
        <v>69</v>
      </c>
      <c r="E279" s="529">
        <v>2</v>
      </c>
      <c r="F279" s="529" t="s">
        <v>17</v>
      </c>
      <c r="G279" s="529" t="s">
        <v>772</v>
      </c>
      <c r="H279" s="529" t="s">
        <v>585</v>
      </c>
      <c r="I279" s="455" t="s">
        <v>680</v>
      </c>
    </row>
    <row r="280" spans="1:9" ht="20.100000000000001" customHeight="1" x14ac:dyDescent="0.45">
      <c r="A280" s="533">
        <v>46162</v>
      </c>
      <c r="B280" s="529" t="s">
        <v>233</v>
      </c>
      <c r="C280" s="529" t="s">
        <v>713</v>
      </c>
      <c r="D280" s="529" t="s">
        <v>433</v>
      </c>
      <c r="E280" s="534">
        <v>164</v>
      </c>
      <c r="F280" s="529" t="s">
        <v>18</v>
      </c>
      <c r="G280" s="529" t="s">
        <v>772</v>
      </c>
      <c r="H280" s="529" t="s">
        <v>655</v>
      </c>
      <c r="I280" s="455" t="s">
        <v>680</v>
      </c>
    </row>
    <row r="281" spans="1:9" ht="20.100000000000001" customHeight="1" x14ac:dyDescent="0.45">
      <c r="A281" s="533">
        <v>46162</v>
      </c>
      <c r="B281" s="534" t="s">
        <v>785</v>
      </c>
      <c r="C281" s="534" t="s">
        <v>540</v>
      </c>
      <c r="D281" s="534" t="s">
        <v>69</v>
      </c>
      <c r="E281" s="534">
        <v>2</v>
      </c>
      <c r="F281" s="534" t="s">
        <v>750</v>
      </c>
      <c r="G281" s="529" t="s">
        <v>772</v>
      </c>
      <c r="H281" s="529" t="s">
        <v>655</v>
      </c>
      <c r="I281" s="455" t="s">
        <v>716</v>
      </c>
    </row>
    <row r="282" spans="1:9" ht="20.100000000000001" customHeight="1" x14ac:dyDescent="0.45">
      <c r="A282" s="533">
        <v>46162</v>
      </c>
      <c r="B282" s="534" t="s">
        <v>776</v>
      </c>
      <c r="C282" s="534" t="s">
        <v>540</v>
      </c>
      <c r="D282" s="534" t="s">
        <v>69</v>
      </c>
      <c r="E282" s="534">
        <v>4</v>
      </c>
      <c r="F282" s="534" t="s">
        <v>754</v>
      </c>
      <c r="G282" s="529" t="s">
        <v>772</v>
      </c>
      <c r="H282" s="529" t="s">
        <v>655</v>
      </c>
      <c r="I282" s="455" t="s">
        <v>716</v>
      </c>
    </row>
    <row r="283" spans="1:9" ht="20.100000000000001" customHeight="1" x14ac:dyDescent="0.45">
      <c r="A283" s="533">
        <v>46162</v>
      </c>
      <c r="B283" s="529" t="s">
        <v>233</v>
      </c>
      <c r="C283" s="529" t="s">
        <v>540</v>
      </c>
      <c r="D283" s="529" t="s">
        <v>69</v>
      </c>
      <c r="E283" s="534">
        <v>62</v>
      </c>
      <c r="F283" s="534" t="s">
        <v>782</v>
      </c>
      <c r="G283" s="529" t="s">
        <v>779</v>
      </c>
      <c r="H283" s="529" t="s">
        <v>655</v>
      </c>
      <c r="I283" s="455" t="s">
        <v>783</v>
      </c>
    </row>
    <row r="284" spans="1:9" ht="20.100000000000001" customHeight="1" x14ac:dyDescent="0.45">
      <c r="A284" s="533">
        <v>46162</v>
      </c>
      <c r="B284" s="529" t="s">
        <v>233</v>
      </c>
      <c r="C284" s="529" t="s">
        <v>784</v>
      </c>
      <c r="D284" s="529" t="s">
        <v>69</v>
      </c>
      <c r="E284" s="534">
        <v>41</v>
      </c>
      <c r="F284" s="534" t="s">
        <v>782</v>
      </c>
      <c r="G284" s="529" t="s">
        <v>779</v>
      </c>
      <c r="H284" s="529" t="s">
        <v>655</v>
      </c>
      <c r="I284" s="455" t="s">
        <v>783</v>
      </c>
    </row>
    <row r="285" spans="1:9" ht="20.100000000000001" customHeight="1" x14ac:dyDescent="0.45">
      <c r="A285" s="533">
        <v>46163</v>
      </c>
      <c r="B285" s="529" t="s">
        <v>233</v>
      </c>
      <c r="C285" s="529" t="s">
        <v>540</v>
      </c>
      <c r="D285" s="529" t="s">
        <v>69</v>
      </c>
      <c r="E285" s="534">
        <v>63</v>
      </c>
      <c r="F285" s="534" t="s">
        <v>782</v>
      </c>
      <c r="G285" s="529" t="s">
        <v>779</v>
      </c>
      <c r="H285" s="529" t="s">
        <v>679</v>
      </c>
      <c r="I285" s="455" t="s">
        <v>783</v>
      </c>
    </row>
    <row r="286" spans="1:9" ht="20.100000000000001" customHeight="1" x14ac:dyDescent="0.45">
      <c r="A286" s="533">
        <v>46163</v>
      </c>
      <c r="B286" s="529" t="s">
        <v>233</v>
      </c>
      <c r="C286" s="529" t="s">
        <v>784</v>
      </c>
      <c r="D286" s="529" t="s">
        <v>69</v>
      </c>
      <c r="E286" s="534">
        <v>42</v>
      </c>
      <c r="F286" s="534" t="s">
        <v>782</v>
      </c>
      <c r="G286" s="529" t="s">
        <v>779</v>
      </c>
      <c r="H286" s="529" t="s">
        <v>679</v>
      </c>
      <c r="I286" s="455" t="s">
        <v>783</v>
      </c>
    </row>
    <row r="287" spans="1:9" ht="20.100000000000001" customHeight="1" x14ac:dyDescent="0.45">
      <c r="A287" s="533">
        <v>46163</v>
      </c>
      <c r="B287" s="534" t="s">
        <v>786</v>
      </c>
      <c r="C287" s="534" t="s">
        <v>713</v>
      </c>
      <c r="D287" s="534" t="s">
        <v>433</v>
      </c>
      <c r="E287" s="534">
        <v>12</v>
      </c>
      <c r="F287" s="534" t="s">
        <v>18</v>
      </c>
      <c r="G287" s="529" t="s">
        <v>772</v>
      </c>
      <c r="H287" s="529" t="s">
        <v>679</v>
      </c>
      <c r="I287" s="455" t="s">
        <v>680</v>
      </c>
    </row>
    <row r="288" spans="1:9" ht="20.100000000000001" customHeight="1" x14ac:dyDescent="0.45">
      <c r="A288" s="533">
        <v>46163</v>
      </c>
      <c r="B288" s="534" t="s">
        <v>233</v>
      </c>
      <c r="C288" s="534" t="s">
        <v>540</v>
      </c>
      <c r="D288" s="534" t="s">
        <v>69</v>
      </c>
      <c r="E288" s="534">
        <v>1</v>
      </c>
      <c r="F288" s="534" t="s">
        <v>750</v>
      </c>
      <c r="G288" s="529" t="s">
        <v>772</v>
      </c>
      <c r="H288" s="529" t="s">
        <v>679</v>
      </c>
      <c r="I288" s="455" t="s">
        <v>716</v>
      </c>
    </row>
    <row r="289" spans="1:9" ht="20.100000000000001" customHeight="1" x14ac:dyDescent="0.45">
      <c r="A289" s="533">
        <v>46164</v>
      </c>
      <c r="B289" s="534" t="s">
        <v>233</v>
      </c>
      <c r="C289" s="534" t="s">
        <v>784</v>
      </c>
      <c r="D289" s="534" t="s">
        <v>69</v>
      </c>
      <c r="E289" s="534">
        <v>33</v>
      </c>
      <c r="F289" s="534" t="s">
        <v>782</v>
      </c>
      <c r="G289" s="529" t="s">
        <v>779</v>
      </c>
      <c r="H289" s="529" t="s">
        <v>852</v>
      </c>
      <c r="I289" s="455" t="s">
        <v>783</v>
      </c>
    </row>
    <row r="290" spans="1:9" ht="20.100000000000001" customHeight="1" x14ac:dyDescent="0.45">
      <c r="A290" s="533">
        <v>46164</v>
      </c>
      <c r="B290" s="534" t="s">
        <v>233</v>
      </c>
      <c r="C290" s="534" t="s">
        <v>713</v>
      </c>
      <c r="D290" s="534" t="s">
        <v>433</v>
      </c>
      <c r="E290" s="534">
        <v>12</v>
      </c>
      <c r="F290" s="534" t="s">
        <v>18</v>
      </c>
      <c r="G290" s="529" t="s">
        <v>772</v>
      </c>
      <c r="H290" s="529" t="s">
        <v>852</v>
      </c>
      <c r="I290" s="455" t="s">
        <v>680</v>
      </c>
    </row>
    <row r="291" spans="1:9" ht="20.100000000000001" customHeight="1" x14ac:dyDescent="0.45">
      <c r="A291" s="533">
        <v>46165</v>
      </c>
      <c r="B291" s="534" t="s">
        <v>233</v>
      </c>
      <c r="C291" s="534" t="s">
        <v>784</v>
      </c>
      <c r="D291" s="534" t="s">
        <v>69</v>
      </c>
      <c r="E291" s="534">
        <v>53</v>
      </c>
      <c r="F291" s="534" t="s">
        <v>782</v>
      </c>
      <c r="G291" s="529" t="s">
        <v>779</v>
      </c>
      <c r="H291" s="529" t="s">
        <v>655</v>
      </c>
      <c r="I291" s="455" t="s">
        <v>783</v>
      </c>
    </row>
    <row r="292" spans="1:9" ht="20.100000000000001" customHeight="1" x14ac:dyDescent="0.45">
      <c r="A292" s="533">
        <v>46165</v>
      </c>
      <c r="B292" s="534" t="s">
        <v>233</v>
      </c>
      <c r="C292" s="534" t="s">
        <v>853</v>
      </c>
      <c r="D292" s="534" t="s">
        <v>69</v>
      </c>
      <c r="E292" s="534">
        <v>13</v>
      </c>
      <c r="F292" s="534" t="s">
        <v>782</v>
      </c>
      <c r="G292" s="529" t="s">
        <v>779</v>
      </c>
      <c r="H292" s="529" t="s">
        <v>655</v>
      </c>
      <c r="I292" s="455" t="s">
        <v>783</v>
      </c>
    </row>
    <row r="293" spans="1:9" ht="20.100000000000001" customHeight="1" x14ac:dyDescent="0.45">
      <c r="A293" s="533">
        <v>46165</v>
      </c>
      <c r="B293" s="534" t="s">
        <v>233</v>
      </c>
      <c r="C293" s="534" t="s">
        <v>540</v>
      </c>
      <c r="D293" s="534" t="s">
        <v>69</v>
      </c>
      <c r="E293" s="534">
        <v>7</v>
      </c>
      <c r="F293" s="534" t="s">
        <v>782</v>
      </c>
      <c r="G293" s="529" t="s">
        <v>779</v>
      </c>
      <c r="H293" s="529" t="s">
        <v>655</v>
      </c>
      <c r="I293" s="455" t="s">
        <v>783</v>
      </c>
    </row>
    <row r="294" spans="1:9" ht="20.100000000000001" customHeight="1" x14ac:dyDescent="0.45">
      <c r="A294" s="533">
        <v>46165</v>
      </c>
      <c r="B294" s="534" t="s">
        <v>233</v>
      </c>
      <c r="C294" s="534" t="s">
        <v>697</v>
      </c>
      <c r="D294" s="534" t="s">
        <v>69</v>
      </c>
      <c r="E294" s="534">
        <v>1</v>
      </c>
      <c r="F294" s="534" t="s">
        <v>698</v>
      </c>
      <c r="G294" s="529" t="s">
        <v>779</v>
      </c>
      <c r="H294" s="529" t="s">
        <v>655</v>
      </c>
      <c r="I294" s="455" t="s">
        <v>688</v>
      </c>
    </row>
    <row r="295" spans="1:9" ht="20.100000000000001" customHeight="1" x14ac:dyDescent="0.45">
      <c r="A295" s="533">
        <v>46165</v>
      </c>
      <c r="B295" s="534" t="s">
        <v>233</v>
      </c>
      <c r="C295" s="534" t="s">
        <v>740</v>
      </c>
      <c r="D295" s="534" t="s">
        <v>69</v>
      </c>
      <c r="E295" s="534">
        <v>1</v>
      </c>
      <c r="F295" s="534" t="s">
        <v>854</v>
      </c>
      <c r="G295" s="529" t="s">
        <v>772</v>
      </c>
      <c r="H295" s="529" t="s">
        <v>655</v>
      </c>
      <c r="I295" s="455" t="s">
        <v>680</v>
      </c>
    </row>
    <row r="296" spans="1:9" ht="20.100000000000001" customHeight="1" x14ac:dyDescent="0.45">
      <c r="A296" s="533">
        <v>46165</v>
      </c>
      <c r="B296" s="534" t="s">
        <v>233</v>
      </c>
      <c r="C296" s="534" t="s">
        <v>740</v>
      </c>
      <c r="D296" s="534" t="s">
        <v>69</v>
      </c>
      <c r="E296" s="534">
        <v>5</v>
      </c>
      <c r="F296" s="534" t="s">
        <v>749</v>
      </c>
      <c r="G296" s="529" t="s">
        <v>772</v>
      </c>
      <c r="H296" s="529" t="s">
        <v>655</v>
      </c>
      <c r="I296" s="455" t="s">
        <v>680</v>
      </c>
    </row>
    <row r="297" spans="1:9" ht="20.100000000000001" customHeight="1" x14ac:dyDescent="0.45">
      <c r="A297" s="533">
        <v>46165</v>
      </c>
      <c r="B297" s="534" t="s">
        <v>233</v>
      </c>
      <c r="C297" s="534" t="s">
        <v>713</v>
      </c>
      <c r="D297" s="534" t="s">
        <v>433</v>
      </c>
      <c r="E297" s="534">
        <v>20</v>
      </c>
      <c r="F297" s="534" t="s">
        <v>18</v>
      </c>
      <c r="G297" s="529" t="s">
        <v>772</v>
      </c>
      <c r="H297" s="529" t="s">
        <v>655</v>
      </c>
      <c r="I297" s="455" t="s">
        <v>680</v>
      </c>
    </row>
    <row r="298" spans="1:9" ht="20.100000000000001" customHeight="1" x14ac:dyDescent="0.45">
      <c r="A298" s="533">
        <v>46165</v>
      </c>
      <c r="B298" s="536" t="s">
        <v>233</v>
      </c>
      <c r="C298" s="536" t="s">
        <v>746</v>
      </c>
      <c r="D298" s="536" t="s">
        <v>69</v>
      </c>
      <c r="E298" s="536">
        <v>2</v>
      </c>
      <c r="F298" s="536" t="s">
        <v>747</v>
      </c>
      <c r="G298" s="535" t="s">
        <v>772</v>
      </c>
      <c r="H298" s="535" t="s">
        <v>655</v>
      </c>
      <c r="I298" s="453" t="s">
        <v>716</v>
      </c>
    </row>
    <row r="299" spans="1:9" ht="20.100000000000001" customHeight="1" x14ac:dyDescent="0.45">
      <c r="A299" s="537">
        <v>46166</v>
      </c>
      <c r="B299" s="538" t="s">
        <v>233</v>
      </c>
      <c r="C299" s="538" t="s">
        <v>540</v>
      </c>
      <c r="D299" s="538" t="s">
        <v>69</v>
      </c>
      <c r="E299" s="538">
        <v>51</v>
      </c>
      <c r="F299" s="538" t="s">
        <v>782</v>
      </c>
      <c r="G299" s="454" t="s">
        <v>779</v>
      </c>
      <c r="H299" s="602" t="s">
        <v>679</v>
      </c>
      <c r="I299" s="453" t="s">
        <v>783</v>
      </c>
    </row>
    <row r="300" spans="1:9" ht="20.100000000000001" customHeight="1" x14ac:dyDescent="0.45">
      <c r="A300" s="537">
        <v>46166</v>
      </c>
      <c r="B300" s="538" t="s">
        <v>233</v>
      </c>
      <c r="C300" s="538" t="s">
        <v>855</v>
      </c>
      <c r="D300" s="538" t="s">
        <v>69</v>
      </c>
      <c r="E300" s="538">
        <v>15</v>
      </c>
      <c r="F300" s="538" t="s">
        <v>782</v>
      </c>
      <c r="G300" s="454" t="s">
        <v>779</v>
      </c>
      <c r="H300" s="602" t="s">
        <v>679</v>
      </c>
      <c r="I300" s="453" t="s">
        <v>783</v>
      </c>
    </row>
    <row r="301" spans="1:9" ht="20.100000000000001" customHeight="1" x14ac:dyDescent="0.45">
      <c r="A301" s="537">
        <v>46167</v>
      </c>
      <c r="B301" s="538" t="s">
        <v>233</v>
      </c>
      <c r="C301" s="538" t="s">
        <v>540</v>
      </c>
      <c r="D301" s="538" t="s">
        <v>69</v>
      </c>
      <c r="E301" s="538">
        <v>49</v>
      </c>
      <c r="F301" s="538" t="s">
        <v>782</v>
      </c>
      <c r="G301" s="454" t="s">
        <v>779</v>
      </c>
      <c r="H301" s="602" t="s">
        <v>852</v>
      </c>
      <c r="I301" s="453" t="s">
        <v>783</v>
      </c>
    </row>
    <row r="302" spans="1:9" ht="20.100000000000001" customHeight="1" x14ac:dyDescent="0.45">
      <c r="A302" s="537">
        <v>46167</v>
      </c>
      <c r="B302" s="538" t="s">
        <v>233</v>
      </c>
      <c r="C302" s="538" t="s">
        <v>855</v>
      </c>
      <c r="D302" s="538" t="s">
        <v>69</v>
      </c>
      <c r="E302" s="538">
        <v>5</v>
      </c>
      <c r="F302" s="538" t="s">
        <v>782</v>
      </c>
      <c r="G302" s="454" t="s">
        <v>779</v>
      </c>
      <c r="H302" s="602" t="s">
        <v>852</v>
      </c>
      <c r="I302" s="453" t="s">
        <v>783</v>
      </c>
    </row>
    <row r="303" spans="1:9" ht="20.100000000000001" customHeight="1" x14ac:dyDescent="0.45">
      <c r="A303" s="537">
        <v>46168</v>
      </c>
      <c r="B303" s="538" t="s">
        <v>233</v>
      </c>
      <c r="C303" s="538" t="s">
        <v>540</v>
      </c>
      <c r="D303" s="538" t="s">
        <v>69</v>
      </c>
      <c r="E303" s="538">
        <v>33</v>
      </c>
      <c r="F303" s="538" t="s">
        <v>782</v>
      </c>
      <c r="G303" s="454" t="s">
        <v>779</v>
      </c>
      <c r="H303" s="602" t="s">
        <v>655</v>
      </c>
      <c r="I303" s="453" t="s">
        <v>783</v>
      </c>
    </row>
    <row r="304" spans="1:9" ht="20.100000000000001" customHeight="1" x14ac:dyDescent="0.45">
      <c r="A304" s="537">
        <v>46168</v>
      </c>
      <c r="B304" s="538" t="s">
        <v>233</v>
      </c>
      <c r="C304" s="538" t="s">
        <v>855</v>
      </c>
      <c r="D304" s="538" t="s">
        <v>69</v>
      </c>
      <c r="E304" s="538">
        <v>5</v>
      </c>
      <c r="F304" s="538" t="s">
        <v>782</v>
      </c>
      <c r="G304" s="454" t="s">
        <v>779</v>
      </c>
      <c r="H304" s="602" t="s">
        <v>655</v>
      </c>
      <c r="I304" s="453" t="s">
        <v>783</v>
      </c>
    </row>
    <row r="305" spans="1:9" ht="20.100000000000001" customHeight="1" x14ac:dyDescent="0.45">
      <c r="A305" s="537">
        <v>46168</v>
      </c>
      <c r="B305" s="538" t="s">
        <v>233</v>
      </c>
      <c r="C305" s="538" t="s">
        <v>853</v>
      </c>
      <c r="D305" s="538" t="s">
        <v>69</v>
      </c>
      <c r="E305" s="538">
        <v>1</v>
      </c>
      <c r="F305" s="538" t="s">
        <v>782</v>
      </c>
      <c r="G305" s="454" t="s">
        <v>779</v>
      </c>
      <c r="H305" s="602" t="s">
        <v>655</v>
      </c>
      <c r="I305" s="453" t="s">
        <v>783</v>
      </c>
    </row>
    <row r="306" spans="1:9" ht="20.100000000000001" customHeight="1" x14ac:dyDescent="0.45">
      <c r="A306" s="537">
        <v>46168</v>
      </c>
      <c r="B306" s="538" t="s">
        <v>233</v>
      </c>
      <c r="C306" s="538" t="s">
        <v>713</v>
      </c>
      <c r="D306" s="538" t="s">
        <v>433</v>
      </c>
      <c r="E306" s="538">
        <v>185</v>
      </c>
      <c r="F306" s="538" t="s">
        <v>18</v>
      </c>
      <c r="G306" s="454" t="s">
        <v>772</v>
      </c>
      <c r="H306" s="602" t="s">
        <v>655</v>
      </c>
      <c r="I306" s="453" t="s">
        <v>680</v>
      </c>
    </row>
    <row r="307" spans="1:9" ht="20.100000000000001" customHeight="1" x14ac:dyDescent="0.45">
      <c r="A307" s="537">
        <v>46169</v>
      </c>
      <c r="B307" s="538" t="s">
        <v>233</v>
      </c>
      <c r="C307" s="538" t="s">
        <v>541</v>
      </c>
      <c r="D307" s="538" t="s">
        <v>69</v>
      </c>
      <c r="E307" s="538">
        <v>4</v>
      </c>
      <c r="F307" s="538" t="s">
        <v>856</v>
      </c>
      <c r="G307" s="454" t="s">
        <v>779</v>
      </c>
      <c r="H307" s="602" t="s">
        <v>679</v>
      </c>
      <c r="I307" s="453" t="s">
        <v>857</v>
      </c>
    </row>
    <row r="308" spans="1:9" ht="20.100000000000001" customHeight="1" x14ac:dyDescent="0.45">
      <c r="A308" s="537">
        <v>46170</v>
      </c>
      <c r="B308" s="538" t="s">
        <v>233</v>
      </c>
      <c r="C308" s="538" t="s">
        <v>540</v>
      </c>
      <c r="D308" s="538" t="s">
        <v>69</v>
      </c>
      <c r="E308" s="538">
        <v>19</v>
      </c>
      <c r="F308" s="538" t="s">
        <v>782</v>
      </c>
      <c r="G308" s="454" t="s">
        <v>779</v>
      </c>
      <c r="H308" s="602" t="s">
        <v>852</v>
      </c>
      <c r="I308" s="453" t="s">
        <v>783</v>
      </c>
    </row>
    <row r="309" spans="1:9" ht="20.100000000000001" customHeight="1" x14ac:dyDescent="0.45">
      <c r="A309" s="537">
        <v>46170</v>
      </c>
      <c r="B309" s="538" t="s">
        <v>233</v>
      </c>
      <c r="C309" s="538" t="s">
        <v>784</v>
      </c>
      <c r="D309" s="538" t="s">
        <v>69</v>
      </c>
      <c r="E309" s="538">
        <v>13</v>
      </c>
      <c r="F309" s="538" t="s">
        <v>782</v>
      </c>
      <c r="G309" s="454" t="s">
        <v>779</v>
      </c>
      <c r="H309" s="602" t="s">
        <v>852</v>
      </c>
      <c r="I309" s="453" t="s">
        <v>783</v>
      </c>
    </row>
    <row r="310" spans="1:9" ht="20.100000000000001" customHeight="1" x14ac:dyDescent="0.45">
      <c r="A310" s="537">
        <v>46171</v>
      </c>
      <c r="B310" s="538" t="s">
        <v>233</v>
      </c>
      <c r="C310" s="538" t="s">
        <v>597</v>
      </c>
      <c r="D310" s="538" t="s">
        <v>69</v>
      </c>
      <c r="E310" s="538">
        <v>1</v>
      </c>
      <c r="F310" s="538" t="s">
        <v>17</v>
      </c>
      <c r="G310" s="454" t="s">
        <v>772</v>
      </c>
      <c r="H310" s="602" t="s">
        <v>852</v>
      </c>
      <c r="I310" s="453" t="s">
        <v>680</v>
      </c>
    </row>
    <row r="311" spans="1:9" ht="20.100000000000001" customHeight="1" x14ac:dyDescent="0.45">
      <c r="A311" s="537">
        <v>46171</v>
      </c>
      <c r="B311" s="538" t="s">
        <v>233</v>
      </c>
      <c r="C311" s="538" t="s">
        <v>540</v>
      </c>
      <c r="D311" s="538" t="s">
        <v>69</v>
      </c>
      <c r="E311" s="538">
        <v>3</v>
      </c>
      <c r="F311" s="538" t="s">
        <v>782</v>
      </c>
      <c r="G311" s="454" t="s">
        <v>779</v>
      </c>
      <c r="H311" s="602" t="s">
        <v>655</v>
      </c>
      <c r="I311" s="453" t="s">
        <v>783</v>
      </c>
    </row>
    <row r="312" spans="1:9" ht="20.100000000000001" customHeight="1" x14ac:dyDescent="0.45">
      <c r="A312" s="537">
        <v>46171</v>
      </c>
      <c r="B312" s="538" t="s">
        <v>233</v>
      </c>
      <c r="C312" s="538" t="s">
        <v>784</v>
      </c>
      <c r="D312" s="538" t="s">
        <v>69</v>
      </c>
      <c r="E312" s="538">
        <v>33</v>
      </c>
      <c r="F312" s="538" t="s">
        <v>782</v>
      </c>
      <c r="G312" s="454" t="s">
        <v>779</v>
      </c>
      <c r="H312" s="602" t="s">
        <v>655</v>
      </c>
      <c r="I312" s="453" t="s">
        <v>783</v>
      </c>
    </row>
    <row r="313" spans="1:9" ht="20.100000000000001" customHeight="1" x14ac:dyDescent="0.45">
      <c r="A313" s="537">
        <v>46171</v>
      </c>
      <c r="B313" s="538" t="s">
        <v>233</v>
      </c>
      <c r="C313" s="538" t="s">
        <v>597</v>
      </c>
      <c r="D313" s="538" t="s">
        <v>69</v>
      </c>
      <c r="E313" s="538">
        <v>4</v>
      </c>
      <c r="F313" s="538" t="s">
        <v>17</v>
      </c>
      <c r="G313" s="454" t="s">
        <v>772</v>
      </c>
      <c r="H313" s="602" t="s">
        <v>655</v>
      </c>
      <c r="I313" s="453" t="s">
        <v>680</v>
      </c>
    </row>
    <row r="314" spans="1:9" ht="20.100000000000001" customHeight="1" x14ac:dyDescent="0.45">
      <c r="A314" s="537">
        <v>46172</v>
      </c>
      <c r="B314" s="538" t="s">
        <v>233</v>
      </c>
      <c r="C314" s="538" t="s">
        <v>540</v>
      </c>
      <c r="D314" s="538" t="s">
        <v>69</v>
      </c>
      <c r="E314" s="538">
        <v>26</v>
      </c>
      <c r="F314" s="538" t="s">
        <v>782</v>
      </c>
      <c r="G314" s="454" t="s">
        <v>779</v>
      </c>
      <c r="H314" s="602" t="s">
        <v>679</v>
      </c>
      <c r="I314" s="453" t="s">
        <v>783</v>
      </c>
    </row>
    <row r="315" spans="1:9" ht="20.100000000000001" customHeight="1" x14ac:dyDescent="0.45">
      <c r="A315" s="537">
        <v>46172</v>
      </c>
      <c r="B315" s="538" t="s">
        <v>233</v>
      </c>
      <c r="C315" s="538" t="s">
        <v>784</v>
      </c>
      <c r="D315" s="538" t="s">
        <v>69</v>
      </c>
      <c r="E315" s="538">
        <v>22</v>
      </c>
      <c r="F315" s="538" t="s">
        <v>782</v>
      </c>
      <c r="G315" s="454" t="s">
        <v>779</v>
      </c>
      <c r="H315" s="602" t="s">
        <v>679</v>
      </c>
      <c r="I315" s="453" t="s">
        <v>783</v>
      </c>
    </row>
    <row r="316" spans="1:9" ht="20.100000000000001" customHeight="1" x14ac:dyDescent="0.45">
      <c r="A316" s="537">
        <v>46172</v>
      </c>
      <c r="B316" s="538" t="s">
        <v>233</v>
      </c>
      <c r="C316" s="538" t="s">
        <v>853</v>
      </c>
      <c r="D316" s="538" t="s">
        <v>69</v>
      </c>
      <c r="E316" s="538">
        <v>2</v>
      </c>
      <c r="F316" s="538" t="s">
        <v>782</v>
      </c>
      <c r="G316" s="454" t="s">
        <v>779</v>
      </c>
      <c r="H316" s="602" t="s">
        <v>679</v>
      </c>
      <c r="I316" s="453" t="s">
        <v>783</v>
      </c>
    </row>
    <row r="317" spans="1:9" ht="20.100000000000001" customHeight="1" x14ac:dyDescent="0.45">
      <c r="A317" s="537">
        <v>46173</v>
      </c>
      <c r="B317" s="538" t="s">
        <v>233</v>
      </c>
      <c r="C317" s="538" t="s">
        <v>540</v>
      </c>
      <c r="D317" s="538" t="s">
        <v>69</v>
      </c>
      <c r="E317" s="538">
        <v>61</v>
      </c>
      <c r="F317" s="538" t="s">
        <v>782</v>
      </c>
      <c r="G317" s="454" t="s">
        <v>779</v>
      </c>
      <c r="H317" s="602" t="s">
        <v>852</v>
      </c>
      <c r="I317" s="453" t="s">
        <v>783</v>
      </c>
    </row>
    <row r="318" spans="1:9" ht="20.100000000000001" customHeight="1" x14ac:dyDescent="0.45">
      <c r="A318" s="537">
        <v>46173</v>
      </c>
      <c r="B318" s="538" t="s">
        <v>233</v>
      </c>
      <c r="C318" s="538" t="s">
        <v>784</v>
      </c>
      <c r="D318" s="538" t="s">
        <v>69</v>
      </c>
      <c r="E318" s="538">
        <v>17</v>
      </c>
      <c r="F318" s="538" t="s">
        <v>782</v>
      </c>
      <c r="G318" s="454" t="s">
        <v>779</v>
      </c>
      <c r="H318" s="602" t="s">
        <v>852</v>
      </c>
      <c r="I318" s="453" t="s">
        <v>783</v>
      </c>
    </row>
    <row r="319" spans="1:9" ht="20.100000000000001" customHeight="1" x14ac:dyDescent="0.45">
      <c r="A319" s="537">
        <v>46173</v>
      </c>
      <c r="B319" s="538" t="s">
        <v>233</v>
      </c>
      <c r="C319" s="538" t="s">
        <v>540</v>
      </c>
      <c r="D319" s="538" t="s">
        <v>69</v>
      </c>
      <c r="E319" s="538">
        <v>5</v>
      </c>
      <c r="F319" s="538" t="s">
        <v>750</v>
      </c>
      <c r="G319" s="454" t="s">
        <v>772</v>
      </c>
      <c r="H319" s="602" t="s">
        <v>852</v>
      </c>
      <c r="I319" s="453" t="s">
        <v>716</v>
      </c>
    </row>
    <row r="320" spans="1:9" ht="20.100000000000001" customHeight="1" x14ac:dyDescent="0.45">
      <c r="A320" s="537">
        <v>46173</v>
      </c>
      <c r="B320" s="538" t="s">
        <v>233</v>
      </c>
      <c r="C320" s="538" t="s">
        <v>540</v>
      </c>
      <c r="D320" s="538" t="s">
        <v>69</v>
      </c>
      <c r="E320" s="538">
        <v>3</v>
      </c>
      <c r="F320" s="538" t="s">
        <v>539</v>
      </c>
      <c r="G320" s="454" t="s">
        <v>772</v>
      </c>
      <c r="H320" s="602" t="s">
        <v>852</v>
      </c>
      <c r="I320" s="453" t="s">
        <v>716</v>
      </c>
    </row>
    <row r="321" spans="1:9" ht="20.100000000000001" customHeight="1" x14ac:dyDescent="0.45">
      <c r="A321" s="537">
        <v>46173</v>
      </c>
      <c r="B321" s="454" t="s">
        <v>888</v>
      </c>
      <c r="C321" s="454" t="s">
        <v>713</v>
      </c>
      <c r="D321" s="454" t="s">
        <v>433</v>
      </c>
      <c r="E321" s="454">
        <v>10</v>
      </c>
      <c r="F321" s="454" t="s">
        <v>18</v>
      </c>
      <c r="G321" s="454" t="s">
        <v>772</v>
      </c>
      <c r="H321" s="602" t="s">
        <v>852</v>
      </c>
      <c r="I321" s="453" t="s">
        <v>680</v>
      </c>
    </row>
    <row r="322" spans="1:9" ht="20.100000000000001" customHeight="1" x14ac:dyDescent="0.45">
      <c r="A322" s="456">
        <v>46174</v>
      </c>
      <c r="B322" s="538" t="s">
        <v>233</v>
      </c>
      <c r="C322" s="538" t="s">
        <v>784</v>
      </c>
      <c r="D322" s="538" t="s">
        <v>69</v>
      </c>
      <c r="E322" s="454">
        <v>11</v>
      </c>
      <c r="F322" s="454" t="s">
        <v>782</v>
      </c>
      <c r="G322" s="454" t="s">
        <v>779</v>
      </c>
      <c r="H322" s="602" t="s">
        <v>655</v>
      </c>
      <c r="I322" s="453" t="s">
        <v>783</v>
      </c>
    </row>
    <row r="323" spans="1:9" ht="20.100000000000001" customHeight="1" x14ac:dyDescent="0.45">
      <c r="A323" s="456">
        <v>46174</v>
      </c>
      <c r="B323" s="538" t="s">
        <v>233</v>
      </c>
      <c r="C323" s="538" t="s">
        <v>853</v>
      </c>
      <c r="D323" s="538" t="s">
        <v>69</v>
      </c>
      <c r="E323" s="454">
        <v>7</v>
      </c>
      <c r="F323" s="454" t="s">
        <v>782</v>
      </c>
      <c r="G323" s="454" t="s">
        <v>779</v>
      </c>
      <c r="H323" s="602" t="s">
        <v>655</v>
      </c>
      <c r="I323" s="453" t="s">
        <v>783</v>
      </c>
    </row>
    <row r="324" spans="1:9" ht="20.100000000000001" customHeight="1" x14ac:dyDescent="0.45">
      <c r="A324" s="456">
        <v>46174</v>
      </c>
      <c r="B324" s="538" t="s">
        <v>233</v>
      </c>
      <c r="C324" s="538" t="s">
        <v>540</v>
      </c>
      <c r="D324" s="538" t="s">
        <v>69</v>
      </c>
      <c r="E324" s="454">
        <v>57</v>
      </c>
      <c r="F324" s="454" t="s">
        <v>782</v>
      </c>
      <c r="G324" s="454" t="s">
        <v>779</v>
      </c>
      <c r="H324" s="602" t="s">
        <v>655</v>
      </c>
      <c r="I324" s="453" t="s">
        <v>783</v>
      </c>
    </row>
    <row r="325" spans="1:9" ht="20.100000000000001" customHeight="1" x14ac:dyDescent="0.45">
      <c r="A325" s="456">
        <v>46175</v>
      </c>
      <c r="B325" s="454" t="s">
        <v>233</v>
      </c>
      <c r="C325" s="454" t="s">
        <v>713</v>
      </c>
      <c r="D325" s="454" t="s">
        <v>433</v>
      </c>
      <c r="E325" s="454">
        <v>206</v>
      </c>
      <c r="F325" s="454" t="s">
        <v>18</v>
      </c>
      <c r="G325" s="454" t="s">
        <v>772</v>
      </c>
      <c r="H325" s="602" t="s">
        <v>679</v>
      </c>
      <c r="I325" s="453" t="s">
        <v>680</v>
      </c>
    </row>
    <row r="326" spans="1:9" ht="20.100000000000001" customHeight="1" x14ac:dyDescent="0.45">
      <c r="A326" s="456">
        <v>46175</v>
      </c>
      <c r="B326" s="454" t="s">
        <v>233</v>
      </c>
      <c r="C326" s="454" t="s">
        <v>540</v>
      </c>
      <c r="D326" s="454" t="s">
        <v>69</v>
      </c>
      <c r="E326" s="454">
        <v>24</v>
      </c>
      <c r="F326" s="454" t="s">
        <v>782</v>
      </c>
      <c r="G326" s="454" t="s">
        <v>779</v>
      </c>
      <c r="H326" s="602" t="s">
        <v>679</v>
      </c>
      <c r="I326" s="453" t="s">
        <v>783</v>
      </c>
    </row>
    <row r="327" spans="1:9" ht="20.100000000000001" customHeight="1" x14ac:dyDescent="0.45">
      <c r="A327" s="456">
        <v>46175</v>
      </c>
      <c r="B327" s="454" t="s">
        <v>233</v>
      </c>
      <c r="C327" s="454" t="s">
        <v>784</v>
      </c>
      <c r="D327" s="454" t="s">
        <v>69</v>
      </c>
      <c r="E327" s="454">
        <v>13</v>
      </c>
      <c r="F327" s="454" t="s">
        <v>782</v>
      </c>
      <c r="G327" s="454" t="s">
        <v>779</v>
      </c>
      <c r="H327" s="602" t="s">
        <v>679</v>
      </c>
      <c r="I327" s="453" t="s">
        <v>783</v>
      </c>
    </row>
    <row r="328" spans="1:9" ht="20.100000000000001" customHeight="1" x14ac:dyDescent="0.45">
      <c r="A328" s="456">
        <v>46175</v>
      </c>
      <c r="B328" s="454" t="s">
        <v>233</v>
      </c>
      <c r="C328" s="454" t="s">
        <v>713</v>
      </c>
      <c r="D328" s="454" t="s">
        <v>69</v>
      </c>
      <c r="E328" s="454">
        <v>4</v>
      </c>
      <c r="F328" s="454" t="s">
        <v>18</v>
      </c>
      <c r="G328" s="454" t="s">
        <v>779</v>
      </c>
      <c r="H328" s="602" t="s">
        <v>679</v>
      </c>
      <c r="I328" s="453" t="s">
        <v>716</v>
      </c>
    </row>
    <row r="329" spans="1:9" ht="20.100000000000001" customHeight="1" x14ac:dyDescent="0.45">
      <c r="A329" s="456">
        <v>46175</v>
      </c>
      <c r="B329" s="454" t="s">
        <v>233</v>
      </c>
      <c r="C329" s="454" t="s">
        <v>697</v>
      </c>
      <c r="D329" s="454" t="s">
        <v>69</v>
      </c>
      <c r="E329" s="454">
        <v>1</v>
      </c>
      <c r="F329" s="454" t="s">
        <v>698</v>
      </c>
      <c r="G329" s="454" t="s">
        <v>779</v>
      </c>
      <c r="H329" s="602" t="s">
        <v>679</v>
      </c>
      <c r="I329" s="453" t="s">
        <v>688</v>
      </c>
    </row>
    <row r="330" spans="1:9" ht="20.100000000000001" customHeight="1" x14ac:dyDescent="0.45">
      <c r="A330" s="456">
        <v>46175</v>
      </c>
      <c r="B330" s="454" t="s">
        <v>233</v>
      </c>
      <c r="C330" s="454" t="s">
        <v>697</v>
      </c>
      <c r="D330" s="454" t="s">
        <v>69</v>
      </c>
      <c r="E330" s="454">
        <v>1</v>
      </c>
      <c r="F330" s="454" t="s">
        <v>19</v>
      </c>
      <c r="G330" s="454" t="s">
        <v>772</v>
      </c>
      <c r="H330" s="602" t="s">
        <v>679</v>
      </c>
      <c r="I330" s="453" t="s">
        <v>680</v>
      </c>
    </row>
    <row r="331" spans="1:9" ht="20.100000000000001" customHeight="1" x14ac:dyDescent="0.45">
      <c r="A331" s="456">
        <v>46176</v>
      </c>
      <c r="B331" s="454" t="s">
        <v>233</v>
      </c>
      <c r="C331" s="454" t="s">
        <v>540</v>
      </c>
      <c r="D331" s="454" t="s">
        <v>69</v>
      </c>
      <c r="E331" s="454">
        <v>14</v>
      </c>
      <c r="F331" s="454" t="s">
        <v>782</v>
      </c>
      <c r="G331" s="454" t="s">
        <v>779</v>
      </c>
      <c r="H331" s="602" t="s">
        <v>852</v>
      </c>
      <c r="I331" s="453" t="s">
        <v>783</v>
      </c>
    </row>
    <row r="332" spans="1:9" ht="20.100000000000001" customHeight="1" x14ac:dyDescent="0.45">
      <c r="A332" s="456">
        <v>46176</v>
      </c>
      <c r="B332" s="454" t="s">
        <v>233</v>
      </c>
      <c r="C332" s="454" t="s">
        <v>784</v>
      </c>
      <c r="D332" s="454" t="s">
        <v>69</v>
      </c>
      <c r="E332" s="454">
        <v>17</v>
      </c>
      <c r="F332" s="454" t="s">
        <v>782</v>
      </c>
      <c r="G332" s="454" t="s">
        <v>779</v>
      </c>
      <c r="H332" s="602" t="s">
        <v>852</v>
      </c>
      <c r="I332" s="453" t="s">
        <v>783</v>
      </c>
    </row>
    <row r="333" spans="1:9" ht="20.100000000000001" customHeight="1" x14ac:dyDescent="0.45">
      <c r="A333" s="456">
        <v>46177</v>
      </c>
      <c r="B333" s="454" t="s">
        <v>233</v>
      </c>
      <c r="C333" s="454" t="s">
        <v>540</v>
      </c>
      <c r="D333" s="454" t="s">
        <v>69</v>
      </c>
      <c r="E333" s="454">
        <v>37</v>
      </c>
      <c r="F333" s="454" t="s">
        <v>782</v>
      </c>
      <c r="G333" s="454" t="s">
        <v>779</v>
      </c>
      <c r="H333" s="602" t="s">
        <v>655</v>
      </c>
      <c r="I333" s="453" t="s">
        <v>783</v>
      </c>
    </row>
    <row r="334" spans="1:9" ht="20.100000000000001" customHeight="1" x14ac:dyDescent="0.45">
      <c r="A334" s="456">
        <v>46177</v>
      </c>
      <c r="B334" s="454" t="s">
        <v>233</v>
      </c>
      <c r="C334" s="454" t="s">
        <v>784</v>
      </c>
      <c r="D334" s="454" t="s">
        <v>69</v>
      </c>
      <c r="E334" s="454">
        <v>4</v>
      </c>
      <c r="F334" s="454" t="s">
        <v>782</v>
      </c>
      <c r="G334" s="454" t="s">
        <v>779</v>
      </c>
      <c r="H334" s="602" t="s">
        <v>655</v>
      </c>
      <c r="I334" s="453" t="s">
        <v>783</v>
      </c>
    </row>
    <row r="335" spans="1:9" ht="20.100000000000001" customHeight="1" x14ac:dyDescent="0.45">
      <c r="A335" s="456">
        <v>46177</v>
      </c>
      <c r="B335" s="454" t="s">
        <v>233</v>
      </c>
      <c r="C335" s="454" t="s">
        <v>597</v>
      </c>
      <c r="D335" s="454" t="s">
        <v>69</v>
      </c>
      <c r="E335" s="454">
        <v>1</v>
      </c>
      <c r="F335" s="454" t="s">
        <v>542</v>
      </c>
      <c r="G335" s="454" t="s">
        <v>772</v>
      </c>
      <c r="H335" s="602" t="s">
        <v>655</v>
      </c>
      <c r="I335" s="453" t="s">
        <v>783</v>
      </c>
    </row>
    <row r="336" spans="1:9" ht="20.100000000000001" customHeight="1" x14ac:dyDescent="0.45">
      <c r="A336" s="456">
        <v>46178</v>
      </c>
      <c r="B336" s="454" t="s">
        <v>233</v>
      </c>
      <c r="C336" s="454" t="s">
        <v>540</v>
      </c>
      <c r="D336" s="454" t="s">
        <v>69</v>
      </c>
      <c r="E336" s="454">
        <v>37</v>
      </c>
      <c r="F336" s="454" t="s">
        <v>782</v>
      </c>
      <c r="G336" s="454" t="s">
        <v>779</v>
      </c>
      <c r="H336" s="602" t="s">
        <v>679</v>
      </c>
      <c r="I336" s="453" t="s">
        <v>783</v>
      </c>
    </row>
    <row r="337" spans="1:9" ht="20.100000000000001" customHeight="1" x14ac:dyDescent="0.45">
      <c r="A337" s="456">
        <v>46178</v>
      </c>
      <c r="B337" s="454" t="s">
        <v>233</v>
      </c>
      <c r="C337" s="454" t="s">
        <v>784</v>
      </c>
      <c r="D337" s="454" t="s">
        <v>69</v>
      </c>
      <c r="E337" s="454">
        <v>5</v>
      </c>
      <c r="F337" s="454" t="s">
        <v>782</v>
      </c>
      <c r="G337" s="454" t="s">
        <v>779</v>
      </c>
      <c r="H337" s="602" t="s">
        <v>679</v>
      </c>
      <c r="I337" s="453" t="s">
        <v>783</v>
      </c>
    </row>
    <row r="338" spans="1:9" ht="20.100000000000001" customHeight="1" x14ac:dyDescent="0.45">
      <c r="A338" s="456">
        <v>46178</v>
      </c>
      <c r="B338" s="454" t="s">
        <v>901</v>
      </c>
      <c r="C338" s="454" t="s">
        <v>713</v>
      </c>
      <c r="D338" s="454" t="s">
        <v>433</v>
      </c>
      <c r="E338" s="454">
        <v>10</v>
      </c>
      <c r="F338" s="454" t="s">
        <v>18</v>
      </c>
      <c r="G338" s="454" t="s">
        <v>772</v>
      </c>
      <c r="H338" s="602" t="s">
        <v>679</v>
      </c>
      <c r="I338" s="453" t="s">
        <v>680</v>
      </c>
    </row>
    <row r="339" spans="1:9" ht="20.100000000000001" customHeight="1" x14ac:dyDescent="0.45">
      <c r="A339" s="456">
        <v>46178</v>
      </c>
      <c r="B339" s="454" t="s">
        <v>233</v>
      </c>
      <c r="C339" s="454" t="s">
        <v>740</v>
      </c>
      <c r="D339" s="454" t="s">
        <v>69</v>
      </c>
      <c r="E339" s="454">
        <v>1</v>
      </c>
      <c r="F339" s="454" t="s">
        <v>902</v>
      </c>
      <c r="G339" s="454" t="s">
        <v>772</v>
      </c>
      <c r="H339" s="602" t="s">
        <v>679</v>
      </c>
      <c r="I339" s="453" t="s">
        <v>680</v>
      </c>
    </row>
    <row r="340" spans="1:9" ht="20.100000000000001" customHeight="1" x14ac:dyDescent="0.45">
      <c r="A340" s="456">
        <v>46178</v>
      </c>
      <c r="B340" s="454" t="s">
        <v>903</v>
      </c>
      <c r="C340" s="454" t="s">
        <v>597</v>
      </c>
      <c r="D340" s="454" t="s">
        <v>69</v>
      </c>
      <c r="E340" s="454">
        <v>500</v>
      </c>
      <c r="F340" s="454" t="s">
        <v>497</v>
      </c>
      <c r="G340" s="454" t="s">
        <v>772</v>
      </c>
      <c r="H340" s="602" t="s">
        <v>679</v>
      </c>
      <c r="I340" s="453" t="s">
        <v>680</v>
      </c>
    </row>
    <row r="341" spans="1:9" ht="20.100000000000001" customHeight="1" x14ac:dyDescent="0.45">
      <c r="A341" s="456"/>
      <c r="B341" s="454"/>
      <c r="C341" s="454"/>
      <c r="D341" s="454"/>
      <c r="E341" s="454"/>
      <c r="F341" s="454"/>
      <c r="G341" s="454"/>
      <c r="H341" s="602"/>
      <c r="I341" s="453"/>
    </row>
    <row r="342" spans="1:9" ht="20.100000000000001" customHeight="1" x14ac:dyDescent="0.45">
      <c r="A342" s="456"/>
      <c r="B342" s="454"/>
      <c r="C342" s="454"/>
      <c r="D342" s="454"/>
      <c r="E342" s="454"/>
      <c r="F342" s="454"/>
      <c r="G342" s="454"/>
      <c r="H342" s="602"/>
      <c r="I342" s="453"/>
    </row>
    <row r="343" spans="1:9" ht="20.100000000000001" customHeight="1" x14ac:dyDescent="0.45">
      <c r="A343" s="456"/>
      <c r="B343" s="454"/>
      <c r="C343" s="454"/>
      <c r="D343" s="454"/>
      <c r="E343" s="454"/>
      <c r="F343" s="454"/>
      <c r="G343" s="454"/>
      <c r="H343" s="602"/>
      <c r="I343" s="453"/>
    </row>
    <row r="344" spans="1:9" ht="20.100000000000001" customHeight="1" x14ac:dyDescent="0.45">
      <c r="A344" s="456"/>
      <c r="B344" s="454"/>
      <c r="C344" s="454"/>
      <c r="D344" s="454"/>
      <c r="E344" s="454"/>
      <c r="F344" s="454"/>
      <c r="G344" s="454"/>
      <c r="H344" s="602"/>
      <c r="I344" s="453"/>
    </row>
    <row r="345" spans="1:9" ht="20.100000000000001" customHeight="1" x14ac:dyDescent="0.45">
      <c r="A345" s="456"/>
      <c r="B345" s="454"/>
      <c r="C345" s="454"/>
      <c r="D345" s="454"/>
      <c r="E345" s="454"/>
      <c r="F345" s="454"/>
      <c r="G345" s="454"/>
      <c r="H345" s="602"/>
      <c r="I345" s="453"/>
    </row>
    <row r="346" spans="1:9" ht="20.100000000000001" customHeight="1" x14ac:dyDescent="0.45">
      <c r="A346" s="456"/>
      <c r="B346" s="454"/>
      <c r="C346" s="454"/>
      <c r="D346" s="454"/>
      <c r="E346" s="454"/>
      <c r="F346" s="454"/>
      <c r="G346" s="454"/>
      <c r="H346" s="602"/>
      <c r="I346" s="453"/>
    </row>
    <row r="347" spans="1:9" ht="20.100000000000001" customHeight="1" x14ac:dyDescent="0.45">
      <c r="A347" s="456"/>
      <c r="B347" s="454"/>
      <c r="C347" s="454"/>
      <c r="D347" s="454"/>
      <c r="E347" s="454"/>
      <c r="F347" s="454"/>
      <c r="G347" s="454"/>
      <c r="H347" s="602"/>
      <c r="I347" s="453"/>
    </row>
    <row r="348" spans="1:9" ht="20.100000000000001" customHeight="1" x14ac:dyDescent="0.45">
      <c r="A348" s="456"/>
      <c r="B348" s="454"/>
      <c r="C348" s="454"/>
      <c r="D348" s="454"/>
      <c r="E348" s="454"/>
      <c r="F348" s="454"/>
      <c r="G348" s="454"/>
      <c r="H348" s="602"/>
      <c r="I348" s="453"/>
    </row>
    <row r="349" spans="1:9" ht="20.100000000000001" customHeight="1" x14ac:dyDescent="0.45">
      <c r="A349" s="456"/>
      <c r="B349" s="454"/>
      <c r="C349" s="454"/>
      <c r="D349" s="454"/>
      <c r="E349" s="454"/>
      <c r="F349" s="454"/>
      <c r="G349" s="454"/>
      <c r="H349" s="602"/>
      <c r="I349" s="453"/>
    </row>
    <row r="350" spans="1:9" ht="20.100000000000001" customHeight="1" x14ac:dyDescent="0.45">
      <c r="A350" s="456"/>
      <c r="B350" s="454"/>
      <c r="C350" s="454"/>
      <c r="D350" s="454"/>
      <c r="E350" s="454"/>
      <c r="F350" s="454"/>
      <c r="G350" s="454"/>
      <c r="H350" s="602"/>
      <c r="I350" s="453"/>
    </row>
    <row r="351" spans="1:9" ht="20.100000000000001" customHeight="1" x14ac:dyDescent="0.45">
      <c r="A351" s="456"/>
      <c r="B351" s="454"/>
      <c r="C351" s="454"/>
      <c r="D351" s="454"/>
      <c r="E351" s="454"/>
      <c r="F351" s="454"/>
      <c r="G351" s="454"/>
      <c r="H351" s="602"/>
      <c r="I351" s="453"/>
    </row>
    <row r="352" spans="1:9" ht="20.100000000000001" customHeight="1" x14ac:dyDescent="0.45">
      <c r="A352" s="456"/>
      <c r="B352" s="454"/>
      <c r="C352" s="454"/>
      <c r="D352" s="454"/>
      <c r="E352" s="454"/>
      <c r="F352" s="454"/>
      <c r="G352" s="454"/>
      <c r="H352" s="602"/>
      <c r="I352" s="453"/>
    </row>
    <row r="353" spans="1:9" ht="20.100000000000001" customHeight="1" x14ac:dyDescent="0.45">
      <c r="A353" s="456"/>
      <c r="B353" s="454"/>
      <c r="C353" s="454"/>
      <c r="D353" s="454"/>
      <c r="E353" s="454"/>
      <c r="F353" s="454"/>
      <c r="G353" s="454"/>
      <c r="H353" s="602"/>
      <c r="I353" s="453"/>
    </row>
    <row r="354" spans="1:9" ht="20.100000000000001" customHeight="1" x14ac:dyDescent="0.45">
      <c r="A354" s="456"/>
      <c r="B354" s="454"/>
      <c r="C354" s="454"/>
      <c r="D354" s="454"/>
      <c r="E354" s="454"/>
      <c r="F354" s="454"/>
      <c r="G354" s="454"/>
      <c r="H354" s="602"/>
      <c r="I354" s="453"/>
    </row>
    <row r="355" spans="1:9" ht="20.100000000000001" customHeight="1" x14ac:dyDescent="0.45">
      <c r="A355" s="456"/>
      <c r="B355" s="454"/>
      <c r="C355" s="454"/>
      <c r="D355" s="454"/>
      <c r="E355" s="454"/>
      <c r="F355" s="454"/>
      <c r="G355" s="454"/>
      <c r="H355" s="602"/>
      <c r="I355" s="453"/>
    </row>
    <row r="356" spans="1:9" ht="20.100000000000001" customHeight="1" x14ac:dyDescent="0.45">
      <c r="A356" s="456"/>
      <c r="B356" s="454"/>
      <c r="C356" s="454"/>
      <c r="D356" s="454"/>
      <c r="E356" s="454"/>
      <c r="F356" s="454"/>
      <c r="G356" s="454"/>
      <c r="H356" s="602"/>
      <c r="I356" s="453"/>
    </row>
    <row r="357" spans="1:9" ht="20.100000000000001" customHeight="1" x14ac:dyDescent="0.45">
      <c r="A357" s="456"/>
      <c r="B357" s="454"/>
      <c r="C357" s="454"/>
      <c r="D357" s="454"/>
      <c r="E357" s="454"/>
      <c r="F357" s="454"/>
      <c r="G357" s="454"/>
      <c r="H357" s="602"/>
      <c r="I357" s="453"/>
    </row>
    <row r="358" spans="1:9" ht="20.100000000000001" customHeight="1" x14ac:dyDescent="0.45">
      <c r="A358" s="456"/>
      <c r="B358" s="454"/>
      <c r="C358" s="454"/>
      <c r="D358" s="454"/>
      <c r="E358" s="454"/>
      <c r="F358" s="454"/>
      <c r="G358" s="454"/>
      <c r="H358" s="602"/>
      <c r="I358" s="453"/>
    </row>
    <row r="359" spans="1:9" ht="20.100000000000001" customHeight="1" x14ac:dyDescent="0.45">
      <c r="A359" s="456"/>
      <c r="B359" s="454"/>
      <c r="C359" s="454"/>
      <c r="D359" s="454"/>
      <c r="E359" s="454"/>
      <c r="F359" s="454"/>
      <c r="G359" s="454"/>
      <c r="H359" s="602"/>
      <c r="I359" s="453"/>
    </row>
    <row r="360" spans="1:9" ht="20.100000000000001" customHeight="1" x14ac:dyDescent="0.45">
      <c r="A360" s="456"/>
      <c r="B360" s="454"/>
      <c r="C360" s="454"/>
      <c r="D360" s="454"/>
      <c r="E360" s="454"/>
      <c r="F360" s="454"/>
      <c r="G360" s="454"/>
      <c r="H360" s="602"/>
      <c r="I360" s="453"/>
    </row>
    <row r="361" spans="1:9" ht="20.100000000000001" customHeight="1" x14ac:dyDescent="0.45">
      <c r="A361" s="456"/>
      <c r="B361" s="454"/>
      <c r="C361" s="454"/>
      <c r="D361" s="454"/>
      <c r="E361" s="454"/>
      <c r="F361" s="454"/>
      <c r="G361" s="454"/>
      <c r="H361" s="602"/>
      <c r="I361" s="453"/>
    </row>
    <row r="362" spans="1:9" ht="20.100000000000001" customHeight="1" x14ac:dyDescent="0.45">
      <c r="A362" s="456"/>
      <c r="B362" s="454"/>
      <c r="C362" s="454"/>
      <c r="D362" s="454"/>
      <c r="E362" s="454"/>
      <c r="F362" s="454"/>
      <c r="G362" s="454"/>
      <c r="H362" s="602"/>
      <c r="I362" s="453"/>
    </row>
    <row r="363" spans="1:9" ht="20.100000000000001" customHeight="1" x14ac:dyDescent="0.45">
      <c r="A363" s="456"/>
      <c r="B363" s="454"/>
      <c r="C363" s="454"/>
      <c r="D363" s="454"/>
      <c r="E363" s="454"/>
      <c r="F363" s="454"/>
      <c r="G363" s="454"/>
      <c r="H363" s="602"/>
      <c r="I363" s="453"/>
    </row>
    <row r="364" spans="1:9" ht="20.100000000000001" customHeight="1" x14ac:dyDescent="0.45">
      <c r="A364" s="456"/>
      <c r="B364" s="454"/>
      <c r="C364" s="454"/>
      <c r="D364" s="454"/>
      <c r="E364" s="454"/>
      <c r="F364" s="454"/>
      <c r="G364" s="454"/>
      <c r="H364" s="602"/>
      <c r="I364" s="453"/>
    </row>
    <row r="365" spans="1:9" ht="20.100000000000001" customHeight="1" x14ac:dyDescent="0.45">
      <c r="A365" s="456"/>
      <c r="B365" s="454"/>
      <c r="C365" s="454"/>
      <c r="D365" s="454"/>
      <c r="E365" s="454"/>
      <c r="F365" s="454"/>
      <c r="G365" s="454"/>
      <c r="H365" s="602"/>
      <c r="I365" s="453"/>
    </row>
    <row r="366" spans="1:9" ht="20.100000000000001" customHeight="1" x14ac:dyDescent="0.45">
      <c r="A366" s="456"/>
      <c r="B366" s="454"/>
      <c r="C366" s="454"/>
      <c r="D366" s="454"/>
      <c r="E366" s="454"/>
      <c r="F366" s="454"/>
      <c r="G366" s="454"/>
      <c r="H366" s="602"/>
      <c r="I366" s="453"/>
    </row>
    <row r="367" spans="1:9" ht="20.100000000000001" customHeight="1" x14ac:dyDescent="0.45">
      <c r="A367" s="456"/>
      <c r="B367" s="454"/>
      <c r="C367" s="454"/>
      <c r="D367" s="454"/>
      <c r="E367" s="454"/>
      <c r="F367" s="454"/>
      <c r="G367" s="454"/>
      <c r="H367" s="602"/>
      <c r="I367" s="453"/>
    </row>
    <row r="368" spans="1:9" ht="20.100000000000001" customHeight="1" x14ac:dyDescent="0.45">
      <c r="A368" s="456"/>
      <c r="B368" s="454"/>
      <c r="C368" s="454"/>
      <c r="D368" s="454"/>
      <c r="E368" s="454"/>
      <c r="F368" s="454"/>
      <c r="G368" s="454"/>
      <c r="H368" s="602"/>
      <c r="I368" s="453"/>
    </row>
    <row r="369" spans="1:9" ht="20.100000000000001" customHeight="1" x14ac:dyDescent="0.45">
      <c r="A369" s="456"/>
      <c r="B369" s="454"/>
      <c r="C369" s="454"/>
      <c r="D369" s="454"/>
      <c r="E369" s="454"/>
      <c r="F369" s="454"/>
      <c r="G369" s="454"/>
      <c r="H369" s="602"/>
      <c r="I369" s="453"/>
    </row>
    <row r="370" spans="1:9" ht="20.100000000000001" customHeight="1" x14ac:dyDescent="0.45">
      <c r="A370" s="456"/>
      <c r="B370" s="454"/>
      <c r="C370" s="454"/>
      <c r="D370" s="454"/>
      <c r="E370" s="454"/>
      <c r="F370" s="454"/>
      <c r="G370" s="454"/>
      <c r="H370" s="602"/>
      <c r="I370" s="453"/>
    </row>
    <row r="371" spans="1:9" ht="20.100000000000001" customHeight="1" x14ac:dyDescent="0.45">
      <c r="A371" s="456"/>
      <c r="B371" s="454"/>
      <c r="C371" s="454"/>
      <c r="D371" s="454"/>
      <c r="E371" s="454"/>
      <c r="F371" s="454"/>
      <c r="G371" s="454"/>
      <c r="H371" s="602"/>
      <c r="I371" s="453"/>
    </row>
    <row r="372" spans="1:9" ht="20.100000000000001" customHeight="1" x14ac:dyDescent="0.45">
      <c r="A372" s="456"/>
      <c r="B372" s="454"/>
      <c r="C372" s="454"/>
      <c r="D372" s="454"/>
      <c r="E372" s="454"/>
      <c r="F372" s="454"/>
      <c r="G372" s="454"/>
      <c r="H372" s="602"/>
      <c r="I372" s="453"/>
    </row>
    <row r="373" spans="1:9" ht="20.100000000000001" customHeight="1" x14ac:dyDescent="0.45">
      <c r="A373" s="456"/>
      <c r="B373" s="454"/>
      <c r="C373" s="454"/>
      <c r="D373" s="454"/>
      <c r="E373" s="454"/>
      <c r="F373" s="454"/>
      <c r="G373" s="454"/>
      <c r="H373" s="602"/>
      <c r="I373" s="453"/>
    </row>
    <row r="374" spans="1:9" ht="20.100000000000001" customHeight="1" x14ac:dyDescent="0.45">
      <c r="A374" s="456"/>
      <c r="B374" s="454"/>
      <c r="C374" s="454"/>
      <c r="D374" s="454"/>
      <c r="E374" s="454"/>
      <c r="F374" s="454"/>
      <c r="G374" s="454"/>
      <c r="H374" s="602"/>
      <c r="I374" s="453"/>
    </row>
    <row r="375" spans="1:9" ht="20.100000000000001" customHeight="1" x14ac:dyDescent="0.45">
      <c r="A375" s="456"/>
      <c r="B375" s="454"/>
      <c r="C375" s="454"/>
      <c r="D375" s="454"/>
      <c r="E375" s="454"/>
      <c r="F375" s="454"/>
      <c r="G375" s="454"/>
      <c r="H375" s="602"/>
      <c r="I375" s="453"/>
    </row>
    <row r="376" spans="1:9" ht="20.100000000000001" customHeight="1" x14ac:dyDescent="0.45">
      <c r="A376" s="456"/>
      <c r="B376" s="454"/>
      <c r="C376" s="454"/>
      <c r="D376" s="454"/>
      <c r="E376" s="454"/>
      <c r="F376" s="454"/>
      <c r="G376" s="454"/>
      <c r="H376" s="602"/>
      <c r="I376" s="453"/>
    </row>
    <row r="377" spans="1:9" ht="20.100000000000001" customHeight="1" x14ac:dyDescent="0.45">
      <c r="A377" s="456"/>
      <c r="B377" s="454"/>
      <c r="C377" s="454"/>
      <c r="D377" s="454"/>
      <c r="E377" s="454"/>
      <c r="F377" s="454"/>
      <c r="G377" s="454"/>
      <c r="H377" s="602"/>
      <c r="I377" s="453"/>
    </row>
    <row r="378" spans="1:9" ht="20.100000000000001" customHeight="1" x14ac:dyDescent="0.45">
      <c r="A378" s="456"/>
      <c r="B378" s="454"/>
      <c r="C378" s="454"/>
      <c r="D378" s="454"/>
      <c r="E378" s="454"/>
      <c r="F378" s="454"/>
      <c r="G378" s="454"/>
      <c r="H378" s="602"/>
      <c r="I378" s="453"/>
    </row>
    <row r="379" spans="1:9" ht="20.100000000000001" customHeight="1" x14ac:dyDescent="0.45">
      <c r="A379" s="456"/>
      <c r="B379" s="454"/>
      <c r="C379" s="454"/>
      <c r="D379" s="454"/>
      <c r="E379" s="454"/>
      <c r="F379" s="454"/>
      <c r="G379" s="454"/>
      <c r="H379" s="602"/>
      <c r="I379" s="453"/>
    </row>
    <row r="380" spans="1:9" ht="20.100000000000001" customHeight="1" x14ac:dyDescent="0.45">
      <c r="A380" s="456"/>
      <c r="B380" s="454"/>
      <c r="C380" s="454"/>
      <c r="D380" s="454"/>
      <c r="E380" s="454"/>
      <c r="F380" s="454"/>
      <c r="G380" s="454"/>
      <c r="H380" s="602"/>
      <c r="I380" s="453"/>
    </row>
    <row r="381" spans="1:9" ht="20.100000000000001" customHeight="1" x14ac:dyDescent="0.45">
      <c r="A381" s="456"/>
      <c r="B381" s="454"/>
      <c r="C381" s="454"/>
      <c r="D381" s="454"/>
      <c r="E381" s="454"/>
      <c r="F381" s="454"/>
      <c r="G381" s="454"/>
      <c r="H381" s="602"/>
      <c r="I381" s="453"/>
    </row>
    <row r="382" spans="1:9" ht="20.100000000000001" customHeight="1" x14ac:dyDescent="0.45">
      <c r="A382" s="456"/>
      <c r="B382" s="454"/>
      <c r="C382" s="454"/>
      <c r="D382" s="454"/>
      <c r="E382" s="454"/>
      <c r="F382" s="454"/>
      <c r="G382" s="454"/>
      <c r="H382" s="602"/>
      <c r="I382" s="453"/>
    </row>
    <row r="383" spans="1:9" ht="20.100000000000001" customHeight="1" x14ac:dyDescent="0.45">
      <c r="A383" s="456"/>
      <c r="B383" s="454"/>
      <c r="C383" s="454"/>
      <c r="D383" s="454"/>
      <c r="E383" s="454"/>
      <c r="F383" s="454"/>
      <c r="G383" s="454"/>
      <c r="H383" s="602"/>
      <c r="I383" s="453"/>
    </row>
    <row r="384" spans="1:9" ht="20.100000000000001" customHeight="1" x14ac:dyDescent="0.45">
      <c r="A384" s="456"/>
      <c r="B384" s="454"/>
      <c r="C384" s="454"/>
      <c r="D384" s="454"/>
      <c r="E384" s="454"/>
      <c r="F384" s="454"/>
      <c r="G384" s="454"/>
      <c r="H384" s="602"/>
      <c r="I384" s="453"/>
    </row>
    <row r="385" spans="1:9" ht="20.100000000000001" customHeight="1" x14ac:dyDescent="0.45">
      <c r="A385" s="456"/>
      <c r="B385" s="454"/>
      <c r="C385" s="454"/>
      <c r="D385" s="454"/>
      <c r="E385" s="454"/>
      <c r="F385" s="454"/>
      <c r="G385" s="454"/>
      <c r="H385" s="602"/>
      <c r="I385" s="453"/>
    </row>
    <row r="386" spans="1:9" ht="20.100000000000001" customHeight="1" x14ac:dyDescent="0.45">
      <c r="A386" s="456"/>
      <c r="B386" s="454"/>
      <c r="C386" s="454"/>
      <c r="D386" s="454"/>
      <c r="E386" s="454"/>
      <c r="F386" s="454"/>
      <c r="G386" s="454"/>
      <c r="H386" s="602"/>
      <c r="I386" s="453"/>
    </row>
    <row r="387" spans="1:9" ht="20.100000000000001" customHeight="1" x14ac:dyDescent="0.45">
      <c r="A387" s="456"/>
      <c r="B387" s="454"/>
      <c r="C387" s="454"/>
      <c r="D387" s="454"/>
      <c r="E387" s="454"/>
      <c r="F387" s="454"/>
      <c r="G387" s="454"/>
      <c r="H387" s="602"/>
      <c r="I387" s="453"/>
    </row>
    <row r="388" spans="1:9" ht="20.100000000000001" customHeight="1" x14ac:dyDescent="0.45">
      <c r="A388" s="456"/>
      <c r="B388" s="454"/>
      <c r="C388" s="454"/>
      <c r="D388" s="454"/>
      <c r="E388" s="454"/>
      <c r="F388" s="454"/>
      <c r="G388" s="454"/>
      <c r="H388" s="602"/>
      <c r="I388" s="453"/>
    </row>
    <row r="389" spans="1:9" ht="20.100000000000001" customHeight="1" x14ac:dyDescent="0.45">
      <c r="A389" s="456"/>
      <c r="B389" s="454"/>
      <c r="C389" s="454"/>
      <c r="D389" s="454"/>
      <c r="E389" s="454"/>
      <c r="F389" s="454"/>
      <c r="G389" s="454"/>
      <c r="H389" s="602"/>
      <c r="I389" s="453"/>
    </row>
    <row r="390" spans="1:9" ht="20.100000000000001" customHeight="1" x14ac:dyDescent="0.45">
      <c r="A390" s="456"/>
      <c r="B390" s="454"/>
      <c r="C390" s="454"/>
      <c r="D390" s="454"/>
      <c r="E390" s="454"/>
      <c r="F390" s="454"/>
      <c r="G390" s="454"/>
      <c r="H390" s="602"/>
      <c r="I390" s="453"/>
    </row>
    <row r="391" spans="1:9" ht="20.100000000000001" customHeight="1" x14ac:dyDescent="0.45">
      <c r="A391" s="456"/>
      <c r="B391" s="454"/>
      <c r="C391" s="454"/>
      <c r="D391" s="454"/>
      <c r="E391" s="454"/>
      <c r="F391" s="454"/>
      <c r="G391" s="454"/>
      <c r="H391" s="602"/>
      <c r="I391" s="453"/>
    </row>
    <row r="392" spans="1:9" ht="20.100000000000001" customHeight="1" x14ac:dyDescent="0.45">
      <c r="A392" s="456"/>
      <c r="B392" s="454"/>
      <c r="C392" s="454"/>
      <c r="D392" s="454"/>
      <c r="E392" s="454"/>
      <c r="F392" s="454"/>
      <c r="G392" s="454"/>
      <c r="H392" s="602"/>
      <c r="I392" s="453"/>
    </row>
    <row r="393" spans="1:9" ht="20.100000000000001" customHeight="1" x14ac:dyDescent="0.45">
      <c r="A393" s="456"/>
      <c r="B393" s="454"/>
      <c r="C393" s="454"/>
      <c r="D393" s="454"/>
      <c r="E393" s="454"/>
      <c r="F393" s="454"/>
      <c r="G393" s="454"/>
      <c r="H393" s="602"/>
      <c r="I393" s="453"/>
    </row>
    <row r="394" spans="1:9" ht="20.100000000000001" customHeight="1" x14ac:dyDescent="0.45">
      <c r="A394" s="456"/>
      <c r="B394" s="454"/>
      <c r="C394" s="454"/>
      <c r="D394" s="454"/>
      <c r="E394" s="454"/>
      <c r="F394" s="454"/>
      <c r="G394" s="454"/>
      <c r="H394" s="602"/>
      <c r="I394" s="453"/>
    </row>
    <row r="395" spans="1:9" ht="20.100000000000001" customHeight="1" x14ac:dyDescent="0.45">
      <c r="A395" s="456"/>
      <c r="B395" s="454"/>
      <c r="C395" s="454"/>
      <c r="D395" s="454"/>
      <c r="E395" s="454"/>
      <c r="F395" s="454"/>
      <c r="G395" s="454"/>
      <c r="H395" s="602"/>
      <c r="I395" s="453"/>
    </row>
    <row r="396" spans="1:9" ht="20.100000000000001" customHeight="1" x14ac:dyDescent="0.45">
      <c r="A396" s="456"/>
      <c r="B396" s="454"/>
      <c r="C396" s="454"/>
      <c r="D396" s="454"/>
      <c r="E396" s="454"/>
      <c r="F396" s="454"/>
      <c r="G396" s="454"/>
      <c r="H396" s="602"/>
      <c r="I396" s="453"/>
    </row>
    <row r="397" spans="1:9" ht="20.100000000000001" customHeight="1" x14ac:dyDescent="0.45">
      <c r="A397" s="456"/>
      <c r="B397" s="454"/>
      <c r="C397" s="454"/>
      <c r="D397" s="454"/>
      <c r="E397" s="454"/>
      <c r="F397" s="454"/>
      <c r="G397" s="454"/>
      <c r="H397" s="602"/>
      <c r="I397" s="453"/>
    </row>
    <row r="398" spans="1:9" ht="20.100000000000001" customHeight="1" x14ac:dyDescent="0.45">
      <c r="A398" s="456"/>
      <c r="B398" s="454"/>
      <c r="C398" s="454"/>
      <c r="D398" s="454"/>
      <c r="E398" s="454"/>
      <c r="F398" s="454"/>
      <c r="G398" s="454"/>
      <c r="H398" s="602"/>
      <c r="I398" s="453"/>
    </row>
    <row r="399" spans="1:9" ht="20.100000000000001" customHeight="1" x14ac:dyDescent="0.45">
      <c r="A399" s="456"/>
      <c r="B399" s="454"/>
      <c r="C399" s="454"/>
      <c r="D399" s="454"/>
      <c r="E399" s="454"/>
      <c r="F399" s="454"/>
      <c r="G399" s="454"/>
      <c r="H399" s="602"/>
      <c r="I399" s="453"/>
    </row>
    <row r="400" spans="1:9" ht="20.100000000000001" customHeight="1" x14ac:dyDescent="0.45">
      <c r="A400" s="456"/>
      <c r="B400" s="454"/>
      <c r="C400" s="454"/>
      <c r="D400" s="454"/>
      <c r="E400" s="454"/>
      <c r="F400" s="454"/>
      <c r="G400" s="454"/>
      <c r="H400" s="602"/>
      <c r="I400" s="453"/>
    </row>
    <row r="401" spans="1:9" ht="20.100000000000001" customHeight="1" x14ac:dyDescent="0.45">
      <c r="A401" s="456"/>
      <c r="B401" s="454"/>
      <c r="C401" s="454"/>
      <c r="D401" s="454"/>
      <c r="E401" s="454"/>
      <c r="F401" s="454"/>
      <c r="G401" s="454"/>
      <c r="H401" s="602"/>
      <c r="I401" s="453"/>
    </row>
    <row r="402" spans="1:9" ht="20.100000000000001" customHeight="1" x14ac:dyDescent="0.45">
      <c r="A402" s="456"/>
      <c r="B402" s="454"/>
      <c r="C402" s="454"/>
      <c r="D402" s="454"/>
      <c r="E402" s="454"/>
      <c r="F402" s="454"/>
      <c r="G402" s="454"/>
      <c r="H402" s="602"/>
      <c r="I402" s="453"/>
    </row>
    <row r="403" spans="1:9" ht="20.100000000000001" customHeight="1" x14ac:dyDescent="0.45">
      <c r="A403" s="456"/>
      <c r="B403" s="454"/>
      <c r="C403" s="454"/>
      <c r="D403" s="454"/>
      <c r="E403" s="454"/>
      <c r="F403" s="454"/>
      <c r="G403" s="454"/>
      <c r="H403" s="602"/>
      <c r="I403" s="453"/>
    </row>
    <row r="404" spans="1:9" ht="20.100000000000001" customHeight="1" x14ac:dyDescent="0.45">
      <c r="A404" s="456"/>
      <c r="B404" s="454"/>
      <c r="C404" s="454"/>
      <c r="D404" s="454"/>
      <c r="E404" s="454"/>
      <c r="F404" s="454"/>
      <c r="G404" s="454"/>
      <c r="H404" s="602"/>
      <c r="I404" s="453"/>
    </row>
    <row r="405" spans="1:9" ht="20.100000000000001" customHeight="1" x14ac:dyDescent="0.45">
      <c r="A405" s="456"/>
      <c r="B405" s="454"/>
      <c r="C405" s="454"/>
      <c r="D405" s="454"/>
      <c r="E405" s="454"/>
      <c r="F405" s="454"/>
      <c r="G405" s="454"/>
      <c r="H405" s="602"/>
      <c r="I405" s="453"/>
    </row>
    <row r="406" spans="1:9" ht="20.100000000000001" customHeight="1" x14ac:dyDescent="0.45">
      <c r="A406" s="456"/>
      <c r="B406" s="454"/>
      <c r="C406" s="454"/>
      <c r="D406" s="454"/>
      <c r="E406" s="454"/>
      <c r="F406" s="454"/>
      <c r="G406" s="454"/>
      <c r="H406" s="602"/>
      <c r="I406" s="453"/>
    </row>
    <row r="407" spans="1:9" ht="20.100000000000001" customHeight="1" x14ac:dyDescent="0.45">
      <c r="A407" s="456"/>
      <c r="B407" s="454"/>
      <c r="C407" s="454"/>
      <c r="D407" s="454"/>
      <c r="E407" s="454"/>
      <c r="F407" s="454"/>
      <c r="G407" s="454"/>
      <c r="H407" s="602"/>
      <c r="I407" s="453"/>
    </row>
    <row r="408" spans="1:9" ht="20.100000000000001" customHeight="1" x14ac:dyDescent="0.45">
      <c r="A408" s="456"/>
      <c r="B408" s="454"/>
      <c r="C408" s="454"/>
      <c r="D408" s="454"/>
      <c r="E408" s="454"/>
      <c r="F408" s="454"/>
      <c r="G408" s="454"/>
      <c r="H408" s="602"/>
      <c r="I408" s="453"/>
    </row>
    <row r="409" spans="1:9" ht="20.100000000000001" customHeight="1" x14ac:dyDescent="0.45">
      <c r="A409" s="456"/>
      <c r="B409" s="454"/>
      <c r="C409" s="454"/>
      <c r="D409" s="454"/>
      <c r="E409" s="454"/>
      <c r="F409" s="454"/>
      <c r="G409" s="454"/>
      <c r="H409" s="602"/>
      <c r="I409" s="453"/>
    </row>
    <row r="410" spans="1:9" ht="20.100000000000001" customHeight="1" x14ac:dyDescent="0.45">
      <c r="A410" s="456"/>
      <c r="B410" s="454"/>
      <c r="C410" s="454"/>
      <c r="D410" s="454"/>
      <c r="E410" s="454"/>
      <c r="F410" s="454"/>
      <c r="G410" s="454"/>
      <c r="H410" s="602"/>
      <c r="I410" s="453"/>
    </row>
    <row r="411" spans="1:9" ht="20.100000000000001" customHeight="1" x14ac:dyDescent="0.45">
      <c r="A411" s="456"/>
      <c r="B411" s="454"/>
      <c r="C411" s="454"/>
      <c r="D411" s="454"/>
      <c r="E411" s="454"/>
      <c r="F411" s="454"/>
      <c r="G411" s="454"/>
      <c r="H411" s="602"/>
      <c r="I411" s="453"/>
    </row>
    <row r="412" spans="1:9" ht="20.100000000000001" customHeight="1" x14ac:dyDescent="0.45">
      <c r="A412" s="456"/>
      <c r="B412" s="454"/>
      <c r="C412" s="454"/>
      <c r="D412" s="454"/>
      <c r="E412" s="454"/>
      <c r="F412" s="454"/>
      <c r="G412" s="454"/>
      <c r="H412" s="602"/>
      <c r="I412" s="453"/>
    </row>
    <row r="413" spans="1:9" ht="20.100000000000001" customHeight="1" x14ac:dyDescent="0.45">
      <c r="A413" s="456"/>
      <c r="B413" s="454"/>
      <c r="C413" s="454"/>
      <c r="D413" s="454"/>
      <c r="E413" s="454"/>
      <c r="F413" s="454"/>
      <c r="G413" s="454"/>
      <c r="H413" s="602"/>
      <c r="I413" s="453"/>
    </row>
    <row r="414" spans="1:9" ht="20.100000000000001" customHeight="1" x14ac:dyDescent="0.45">
      <c r="A414" s="456"/>
      <c r="B414" s="454"/>
      <c r="C414" s="454"/>
      <c r="D414" s="454"/>
      <c r="E414" s="454"/>
      <c r="F414" s="454"/>
      <c r="G414" s="454"/>
      <c r="H414" s="602"/>
      <c r="I414" s="453"/>
    </row>
    <row r="415" spans="1:9" ht="20.100000000000001" customHeight="1" x14ac:dyDescent="0.45">
      <c r="A415" s="456"/>
      <c r="B415" s="454"/>
      <c r="C415" s="454"/>
      <c r="D415" s="454"/>
      <c r="E415" s="454"/>
      <c r="F415" s="454"/>
      <c r="G415" s="454"/>
      <c r="H415" s="602"/>
      <c r="I415" s="453"/>
    </row>
    <row r="416" spans="1:9" ht="20.100000000000001" customHeight="1" x14ac:dyDescent="0.45">
      <c r="A416" s="456"/>
      <c r="B416" s="454"/>
      <c r="C416" s="454"/>
      <c r="D416" s="454"/>
      <c r="E416" s="454"/>
      <c r="F416" s="454"/>
      <c r="G416" s="454"/>
      <c r="H416" s="602"/>
      <c r="I416" s="453"/>
    </row>
    <row r="417" spans="1:9" ht="20.100000000000001" customHeight="1" x14ac:dyDescent="0.45">
      <c r="A417" s="456"/>
      <c r="B417" s="454"/>
      <c r="C417" s="454"/>
      <c r="D417" s="454"/>
      <c r="E417" s="454"/>
      <c r="F417" s="454"/>
      <c r="G417" s="454"/>
      <c r="H417" s="602"/>
      <c r="I417" s="453"/>
    </row>
    <row r="418" spans="1:9" ht="20.100000000000001" customHeight="1" x14ac:dyDescent="0.45">
      <c r="A418" s="456"/>
      <c r="B418" s="454"/>
      <c r="C418" s="454"/>
      <c r="D418" s="454"/>
      <c r="E418" s="454"/>
      <c r="F418" s="454"/>
      <c r="G418" s="454"/>
      <c r="H418" s="602"/>
      <c r="I418" s="453"/>
    </row>
    <row r="419" spans="1:9" ht="20.100000000000001" customHeight="1" x14ac:dyDescent="0.45">
      <c r="A419" s="456"/>
      <c r="B419" s="454"/>
      <c r="C419" s="454"/>
      <c r="D419" s="454"/>
      <c r="E419" s="454"/>
      <c r="F419" s="454"/>
      <c r="G419" s="454"/>
      <c r="H419" s="602"/>
      <c r="I419" s="453"/>
    </row>
    <row r="420" spans="1:9" ht="20.100000000000001" customHeight="1" x14ac:dyDescent="0.45">
      <c r="A420" s="456"/>
      <c r="B420" s="454"/>
      <c r="C420" s="454"/>
      <c r="D420" s="454"/>
      <c r="E420" s="454"/>
      <c r="F420" s="454"/>
      <c r="G420" s="454"/>
      <c r="H420" s="602"/>
      <c r="I420" s="453"/>
    </row>
    <row r="421" spans="1:9" ht="20.100000000000001" customHeight="1" x14ac:dyDescent="0.45">
      <c r="A421" s="456"/>
      <c r="B421" s="454"/>
      <c r="C421" s="454"/>
      <c r="D421" s="454"/>
      <c r="E421" s="454"/>
      <c r="F421" s="454"/>
      <c r="G421" s="454"/>
      <c r="H421" s="602"/>
      <c r="I421" s="453"/>
    </row>
    <row r="422" spans="1:9" ht="20.100000000000001" customHeight="1" x14ac:dyDescent="0.45">
      <c r="A422" s="456"/>
      <c r="B422" s="454"/>
      <c r="C422" s="454"/>
      <c r="D422" s="454"/>
      <c r="E422" s="454"/>
      <c r="F422" s="454"/>
      <c r="G422" s="454"/>
      <c r="H422" s="602"/>
      <c r="I422" s="453"/>
    </row>
    <row r="423" spans="1:9" ht="20.100000000000001" customHeight="1" x14ac:dyDescent="0.45">
      <c r="A423" s="456"/>
      <c r="B423" s="454"/>
      <c r="C423" s="454"/>
      <c r="D423" s="454"/>
      <c r="E423" s="454"/>
      <c r="F423" s="454"/>
      <c r="G423" s="454"/>
      <c r="H423" s="602"/>
      <c r="I423" s="453"/>
    </row>
    <row r="424" spans="1:9" ht="20.100000000000001" customHeight="1" x14ac:dyDescent="0.45">
      <c r="A424" s="456"/>
      <c r="B424" s="454"/>
      <c r="C424" s="454"/>
      <c r="D424" s="454"/>
      <c r="E424" s="454"/>
      <c r="F424" s="454"/>
      <c r="G424" s="454"/>
      <c r="H424" s="602"/>
      <c r="I424" s="453"/>
    </row>
    <row r="425" spans="1:9" ht="20.100000000000001" customHeight="1" x14ac:dyDescent="0.45">
      <c r="A425" s="456"/>
      <c r="B425" s="454"/>
      <c r="C425" s="454"/>
      <c r="D425" s="454"/>
      <c r="E425" s="454"/>
      <c r="F425" s="454"/>
      <c r="G425" s="454"/>
      <c r="H425" s="602"/>
      <c r="I425" s="453"/>
    </row>
    <row r="426" spans="1:9" ht="20.100000000000001" customHeight="1" x14ac:dyDescent="0.45">
      <c r="A426" s="456"/>
      <c r="B426" s="454"/>
      <c r="C426" s="454"/>
      <c r="D426" s="454"/>
      <c r="E426" s="454"/>
      <c r="F426" s="454"/>
      <c r="G426" s="454"/>
      <c r="H426" s="602"/>
      <c r="I426" s="453"/>
    </row>
    <row r="427" spans="1:9" ht="20.100000000000001" customHeight="1" x14ac:dyDescent="0.45">
      <c r="A427" s="456"/>
      <c r="B427" s="454"/>
      <c r="C427" s="454"/>
      <c r="D427" s="454"/>
      <c r="E427" s="454"/>
      <c r="F427" s="454"/>
      <c r="G427" s="454"/>
      <c r="H427" s="602"/>
      <c r="I427" s="453"/>
    </row>
    <row r="428" spans="1:9" ht="20.100000000000001" customHeight="1" x14ac:dyDescent="0.45">
      <c r="A428" s="456"/>
      <c r="B428" s="454"/>
      <c r="C428" s="454"/>
      <c r="D428" s="454"/>
      <c r="E428" s="454"/>
      <c r="F428" s="454"/>
      <c r="G428" s="454"/>
      <c r="H428" s="602"/>
      <c r="I428" s="453"/>
    </row>
    <row r="429" spans="1:9" ht="20.100000000000001" customHeight="1" x14ac:dyDescent="0.45">
      <c r="A429" s="456"/>
      <c r="B429" s="454"/>
      <c r="C429" s="454"/>
      <c r="D429" s="454"/>
      <c r="E429" s="454"/>
      <c r="F429" s="454"/>
      <c r="G429" s="454"/>
      <c r="H429" s="602"/>
      <c r="I429" s="453"/>
    </row>
    <row r="430" spans="1:9" ht="20.100000000000001" customHeight="1" x14ac:dyDescent="0.45">
      <c r="A430" s="456"/>
      <c r="B430" s="454"/>
      <c r="C430" s="454"/>
      <c r="D430" s="454"/>
      <c r="E430" s="454"/>
      <c r="F430" s="454"/>
      <c r="G430" s="454"/>
      <c r="H430" s="602"/>
      <c r="I430" s="453"/>
    </row>
    <row r="431" spans="1:9" ht="20.100000000000001" customHeight="1" x14ac:dyDescent="0.45">
      <c r="A431" s="456"/>
      <c r="B431" s="454"/>
      <c r="C431" s="454"/>
      <c r="D431" s="454"/>
      <c r="E431" s="454"/>
      <c r="F431" s="454"/>
      <c r="G431" s="454"/>
      <c r="H431" s="602"/>
      <c r="I431" s="453"/>
    </row>
    <row r="432" spans="1:9" ht="20.100000000000001" customHeight="1" x14ac:dyDescent="0.45">
      <c r="A432" s="456"/>
      <c r="B432" s="454"/>
      <c r="C432" s="454"/>
      <c r="D432" s="454"/>
      <c r="E432" s="454"/>
      <c r="F432" s="454"/>
      <c r="G432" s="454"/>
      <c r="H432" s="602"/>
      <c r="I432" s="453"/>
    </row>
    <row r="433" spans="1:9" ht="20.100000000000001" customHeight="1" x14ac:dyDescent="0.45">
      <c r="A433" s="456"/>
      <c r="B433" s="454"/>
      <c r="C433" s="454"/>
      <c r="D433" s="454"/>
      <c r="E433" s="454"/>
      <c r="F433" s="454"/>
      <c r="G433" s="454"/>
      <c r="H433" s="602"/>
      <c r="I433" s="453"/>
    </row>
    <row r="434" spans="1:9" ht="20.100000000000001" customHeight="1" x14ac:dyDescent="0.45">
      <c r="A434" s="456"/>
      <c r="B434" s="454"/>
      <c r="C434" s="454"/>
      <c r="D434" s="454"/>
      <c r="E434" s="454"/>
      <c r="F434" s="454"/>
      <c r="G434" s="454"/>
      <c r="H434" s="602"/>
      <c r="I434" s="453"/>
    </row>
    <row r="435" spans="1:9" ht="20.100000000000001" customHeight="1" x14ac:dyDescent="0.45">
      <c r="A435" s="456"/>
      <c r="B435" s="454"/>
      <c r="C435" s="454"/>
      <c r="D435" s="454"/>
      <c r="E435" s="454"/>
      <c r="F435" s="454"/>
      <c r="G435" s="454"/>
      <c r="H435" s="602"/>
      <c r="I435" s="453"/>
    </row>
    <row r="436" spans="1:9" ht="20.100000000000001" customHeight="1" x14ac:dyDescent="0.45">
      <c r="A436" s="456"/>
      <c r="B436" s="454"/>
      <c r="C436" s="454"/>
      <c r="D436" s="454"/>
      <c r="E436" s="454"/>
      <c r="F436" s="454"/>
      <c r="G436" s="454"/>
      <c r="H436" s="602"/>
      <c r="I436" s="453"/>
    </row>
    <row r="437" spans="1:9" ht="20.100000000000001" customHeight="1" x14ac:dyDescent="0.45">
      <c r="A437" s="456"/>
      <c r="B437" s="454"/>
      <c r="C437" s="454"/>
      <c r="D437" s="454"/>
      <c r="E437" s="454"/>
      <c r="F437" s="454"/>
      <c r="G437" s="454"/>
      <c r="H437" s="602"/>
      <c r="I437" s="453"/>
    </row>
    <row r="438" spans="1:9" ht="20.100000000000001" customHeight="1" x14ac:dyDescent="0.45">
      <c r="A438" s="456"/>
      <c r="B438" s="454"/>
      <c r="C438" s="454"/>
      <c r="D438" s="454"/>
      <c r="E438" s="454"/>
      <c r="F438" s="454"/>
      <c r="G438" s="454"/>
      <c r="H438" s="602"/>
      <c r="I438" s="453"/>
    </row>
    <row r="439" spans="1:9" ht="20.100000000000001" customHeight="1" x14ac:dyDescent="0.45">
      <c r="A439" s="456"/>
      <c r="B439" s="454"/>
      <c r="C439" s="454"/>
      <c r="D439" s="454"/>
      <c r="E439" s="454"/>
      <c r="F439" s="454"/>
      <c r="G439" s="454"/>
      <c r="H439" s="602"/>
      <c r="I439" s="453"/>
    </row>
    <row r="440" spans="1:9" ht="20.100000000000001" customHeight="1" x14ac:dyDescent="0.45">
      <c r="A440" s="456"/>
      <c r="B440" s="454"/>
      <c r="C440" s="454"/>
      <c r="D440" s="454"/>
      <c r="E440" s="454"/>
      <c r="F440" s="454"/>
      <c r="G440" s="454"/>
      <c r="H440" s="602"/>
      <c r="I440" s="453"/>
    </row>
    <row r="441" spans="1:9" ht="20.100000000000001" customHeight="1" x14ac:dyDescent="0.45">
      <c r="A441" s="456"/>
      <c r="B441" s="454"/>
      <c r="C441" s="454"/>
      <c r="D441" s="454"/>
      <c r="E441" s="454"/>
      <c r="F441" s="454"/>
      <c r="G441" s="454"/>
      <c r="H441" s="602"/>
      <c r="I441" s="453"/>
    </row>
    <row r="442" spans="1:9" ht="20.100000000000001" customHeight="1" x14ac:dyDescent="0.45">
      <c r="A442" s="456"/>
      <c r="B442" s="454"/>
      <c r="C442" s="454"/>
      <c r="D442" s="454"/>
      <c r="E442" s="454"/>
      <c r="F442" s="454"/>
      <c r="G442" s="454"/>
      <c r="H442" s="602"/>
      <c r="I442" s="453"/>
    </row>
    <row r="443" spans="1:9" ht="20.100000000000001" customHeight="1" x14ac:dyDescent="0.45">
      <c r="A443" s="456"/>
      <c r="B443" s="454"/>
      <c r="C443" s="454"/>
      <c r="D443" s="454"/>
      <c r="E443" s="454"/>
      <c r="F443" s="454"/>
      <c r="G443" s="454"/>
      <c r="H443" s="602"/>
      <c r="I443" s="453"/>
    </row>
    <row r="444" spans="1:9" ht="20.100000000000001" customHeight="1" x14ac:dyDescent="0.45">
      <c r="A444" s="456"/>
      <c r="B444" s="454"/>
      <c r="C444" s="454"/>
      <c r="D444" s="454"/>
      <c r="E444" s="454"/>
      <c r="F444" s="454"/>
      <c r="G444" s="454"/>
      <c r="H444" s="602"/>
      <c r="I444" s="453"/>
    </row>
    <row r="445" spans="1:9" ht="20.100000000000001" customHeight="1" x14ac:dyDescent="0.45">
      <c r="A445" s="456"/>
      <c r="B445" s="454"/>
      <c r="C445" s="454"/>
      <c r="D445" s="454"/>
      <c r="E445" s="454"/>
      <c r="F445" s="454"/>
      <c r="G445" s="454"/>
      <c r="H445" s="602"/>
      <c r="I445" s="453"/>
    </row>
    <row r="446" spans="1:9" ht="20.100000000000001" customHeight="1" x14ac:dyDescent="0.45">
      <c r="A446" s="456"/>
      <c r="B446" s="454"/>
      <c r="C446" s="454"/>
      <c r="D446" s="454"/>
      <c r="E446" s="454"/>
      <c r="F446" s="454"/>
      <c r="G446" s="454"/>
      <c r="H446" s="602"/>
      <c r="I446" s="453"/>
    </row>
    <row r="447" spans="1:9" ht="20.100000000000001" customHeight="1" x14ac:dyDescent="0.45">
      <c r="A447" s="456"/>
      <c r="B447" s="454"/>
      <c r="C447" s="454"/>
      <c r="D447" s="454"/>
      <c r="E447" s="454"/>
      <c r="F447" s="454"/>
      <c r="G447" s="454"/>
      <c r="H447" s="602"/>
      <c r="I447" s="453"/>
    </row>
    <row r="448" spans="1:9" ht="20.100000000000001" customHeight="1" x14ac:dyDescent="0.45">
      <c r="A448" s="456"/>
      <c r="B448" s="454"/>
      <c r="C448" s="454"/>
      <c r="D448" s="454"/>
      <c r="E448" s="454"/>
      <c r="F448" s="454"/>
      <c r="G448" s="454"/>
      <c r="H448" s="602"/>
      <c r="I448" s="453"/>
    </row>
    <row r="449" spans="1:9" ht="20.100000000000001" customHeight="1" x14ac:dyDescent="0.45">
      <c r="A449" s="456"/>
      <c r="B449" s="454"/>
      <c r="C449" s="454"/>
      <c r="D449" s="454"/>
      <c r="E449" s="454"/>
      <c r="F449" s="454"/>
      <c r="G449" s="454"/>
      <c r="H449" s="602"/>
      <c r="I449" s="453"/>
    </row>
    <row r="450" spans="1:9" ht="20.100000000000001" customHeight="1" x14ac:dyDescent="0.45">
      <c r="A450" s="456"/>
      <c r="B450" s="454"/>
      <c r="C450" s="454"/>
      <c r="D450" s="454"/>
      <c r="E450" s="454"/>
      <c r="F450" s="454"/>
      <c r="G450" s="454"/>
      <c r="H450" s="602"/>
      <c r="I450" s="453"/>
    </row>
    <row r="451" spans="1:9" ht="20.100000000000001" customHeight="1" x14ac:dyDescent="0.45">
      <c r="A451" s="456"/>
      <c r="B451" s="454"/>
      <c r="C451" s="454"/>
      <c r="D451" s="454"/>
      <c r="E451" s="454"/>
      <c r="F451" s="454"/>
      <c r="G451" s="454"/>
      <c r="H451" s="602"/>
      <c r="I451" s="453"/>
    </row>
    <row r="452" spans="1:9" ht="20.100000000000001" customHeight="1" x14ac:dyDescent="0.45">
      <c r="A452" s="456"/>
      <c r="B452" s="454"/>
      <c r="C452" s="454"/>
      <c r="D452" s="454"/>
      <c r="E452" s="454"/>
      <c r="F452" s="454"/>
      <c r="G452" s="454"/>
      <c r="H452" s="602"/>
      <c r="I452" s="453"/>
    </row>
    <row r="453" spans="1:9" ht="20.100000000000001" customHeight="1" x14ac:dyDescent="0.45">
      <c r="A453" s="456"/>
      <c r="B453" s="454"/>
      <c r="C453" s="454"/>
      <c r="D453" s="454"/>
      <c r="E453" s="454"/>
      <c r="F453" s="454"/>
      <c r="G453" s="454"/>
      <c r="H453" s="602"/>
      <c r="I453" s="453"/>
    </row>
    <row r="454" spans="1:9" ht="20.100000000000001" customHeight="1" x14ac:dyDescent="0.45">
      <c r="A454" s="456"/>
      <c r="B454" s="454"/>
      <c r="C454" s="454"/>
      <c r="D454" s="454"/>
      <c r="E454" s="454"/>
      <c r="F454" s="454"/>
      <c r="G454" s="454"/>
      <c r="H454" s="602"/>
      <c r="I454" s="453"/>
    </row>
    <row r="455" spans="1:9" ht="20.100000000000001" customHeight="1" x14ac:dyDescent="0.45">
      <c r="A455" s="456"/>
      <c r="B455" s="454"/>
      <c r="C455" s="454"/>
      <c r="D455" s="454"/>
      <c r="E455" s="454"/>
      <c r="F455" s="454"/>
      <c r="G455" s="454"/>
      <c r="H455" s="602"/>
      <c r="I455" s="453"/>
    </row>
    <row r="456" spans="1:9" ht="20.100000000000001" customHeight="1" x14ac:dyDescent="0.45">
      <c r="A456" s="456"/>
      <c r="B456" s="454"/>
      <c r="C456" s="454"/>
      <c r="D456" s="454"/>
      <c r="E456" s="454"/>
      <c r="F456" s="454"/>
      <c r="G456" s="454"/>
      <c r="H456" s="602"/>
      <c r="I456" s="453"/>
    </row>
    <row r="457" spans="1:9" ht="20.100000000000001" customHeight="1" x14ac:dyDescent="0.45">
      <c r="A457" s="456"/>
      <c r="B457" s="454"/>
      <c r="C457" s="454"/>
      <c r="D457" s="454"/>
      <c r="E457" s="454"/>
      <c r="F457" s="454"/>
      <c r="G457" s="454"/>
      <c r="H457" s="602"/>
      <c r="I457" s="453"/>
    </row>
    <row r="458" spans="1:9" ht="20.100000000000001" customHeight="1" x14ac:dyDescent="0.45">
      <c r="A458" s="456"/>
      <c r="B458" s="454"/>
      <c r="C458" s="454"/>
      <c r="D458" s="454"/>
      <c r="E458" s="454"/>
      <c r="F458" s="454"/>
      <c r="G458" s="454"/>
      <c r="H458" s="602"/>
      <c r="I458" s="453"/>
    </row>
    <row r="459" spans="1:9" ht="20.100000000000001" customHeight="1" x14ac:dyDescent="0.45">
      <c r="A459" s="456"/>
      <c r="B459" s="454"/>
      <c r="C459" s="454"/>
      <c r="D459" s="454"/>
      <c r="E459" s="454"/>
      <c r="F459" s="454"/>
      <c r="G459" s="454"/>
      <c r="H459" s="602"/>
      <c r="I459" s="453"/>
    </row>
    <row r="460" spans="1:9" ht="20.100000000000001" customHeight="1" x14ac:dyDescent="0.45">
      <c r="A460" s="456"/>
      <c r="B460" s="454"/>
      <c r="C460" s="454"/>
      <c r="D460" s="454"/>
      <c r="E460" s="454"/>
      <c r="F460" s="454"/>
      <c r="G460" s="454"/>
      <c r="H460" s="602"/>
      <c r="I460" s="453"/>
    </row>
    <row r="461" spans="1:9" ht="20.100000000000001" customHeight="1" x14ac:dyDescent="0.45">
      <c r="A461" s="456"/>
      <c r="B461" s="454"/>
      <c r="C461" s="454"/>
      <c r="D461" s="454"/>
      <c r="E461" s="454"/>
      <c r="F461" s="454"/>
      <c r="G461" s="454"/>
      <c r="H461" s="602"/>
      <c r="I461" s="453"/>
    </row>
    <row r="462" spans="1:9" ht="20.100000000000001" customHeight="1" x14ac:dyDescent="0.45">
      <c r="A462" s="456"/>
      <c r="B462" s="454"/>
      <c r="C462" s="454"/>
      <c r="D462" s="454"/>
      <c r="E462" s="454"/>
      <c r="F462" s="454"/>
      <c r="G462" s="454"/>
      <c r="H462" s="602"/>
      <c r="I462" s="453"/>
    </row>
    <row r="463" spans="1:9" ht="20.100000000000001" customHeight="1" x14ac:dyDescent="0.45">
      <c r="A463" s="456"/>
      <c r="B463" s="454"/>
      <c r="C463" s="454"/>
      <c r="D463" s="454"/>
      <c r="E463" s="454"/>
      <c r="F463" s="454"/>
      <c r="G463" s="454"/>
      <c r="H463" s="602"/>
      <c r="I463" s="453"/>
    </row>
    <row r="464" spans="1:9" ht="20.100000000000001" customHeight="1" x14ac:dyDescent="0.45">
      <c r="A464" s="456"/>
      <c r="B464" s="454"/>
      <c r="C464" s="454"/>
      <c r="D464" s="454"/>
      <c r="E464" s="454"/>
      <c r="F464" s="454"/>
      <c r="G464" s="454"/>
      <c r="H464" s="602"/>
      <c r="I464" s="453"/>
    </row>
    <row r="465" spans="1:9" ht="20.100000000000001" customHeight="1" x14ac:dyDescent="0.45">
      <c r="A465" s="456"/>
      <c r="B465" s="454"/>
      <c r="C465" s="454"/>
      <c r="D465" s="454"/>
      <c r="E465" s="454"/>
      <c r="F465" s="454"/>
      <c r="G465" s="454"/>
      <c r="H465" s="602"/>
      <c r="I465" s="453"/>
    </row>
    <row r="466" spans="1:9" ht="20.100000000000001" customHeight="1" x14ac:dyDescent="0.45">
      <c r="A466" s="456"/>
      <c r="B466" s="454"/>
      <c r="C466" s="454"/>
      <c r="D466" s="454"/>
      <c r="E466" s="454"/>
      <c r="F466" s="454"/>
      <c r="G466" s="454"/>
      <c r="H466" s="602"/>
      <c r="I466" s="453"/>
    </row>
    <row r="467" spans="1:9" ht="20.100000000000001" customHeight="1" x14ac:dyDescent="0.45">
      <c r="A467" s="456"/>
      <c r="B467" s="454"/>
      <c r="C467" s="454"/>
      <c r="D467" s="454"/>
      <c r="E467" s="454"/>
      <c r="F467" s="454"/>
      <c r="G467" s="454"/>
      <c r="H467" s="602"/>
      <c r="I467" s="453"/>
    </row>
    <row r="468" spans="1:9" ht="20.100000000000001" customHeight="1" x14ac:dyDescent="0.45">
      <c r="A468" s="456"/>
      <c r="B468" s="454"/>
      <c r="C468" s="454"/>
      <c r="D468" s="454"/>
      <c r="E468" s="454"/>
      <c r="F468" s="454"/>
      <c r="G468" s="454"/>
      <c r="H468" s="602"/>
      <c r="I468" s="453"/>
    </row>
    <row r="469" spans="1:9" ht="20.100000000000001" customHeight="1" x14ac:dyDescent="0.45">
      <c r="A469" s="456"/>
      <c r="B469" s="454"/>
      <c r="C469" s="454"/>
      <c r="D469" s="454"/>
      <c r="E469" s="454"/>
      <c r="F469" s="454"/>
      <c r="G469" s="454"/>
      <c r="H469" s="602"/>
      <c r="I469" s="453"/>
    </row>
    <row r="470" spans="1:9" ht="20.100000000000001" customHeight="1" x14ac:dyDescent="0.45">
      <c r="A470" s="456"/>
      <c r="B470" s="454"/>
      <c r="C470" s="454"/>
      <c r="D470" s="454"/>
      <c r="E470" s="454"/>
      <c r="F470" s="454"/>
      <c r="G470" s="454"/>
      <c r="H470" s="602"/>
      <c r="I470" s="453"/>
    </row>
    <row r="471" spans="1:9" ht="20.100000000000001" customHeight="1" x14ac:dyDescent="0.45">
      <c r="A471" s="456"/>
      <c r="B471" s="454"/>
      <c r="C471" s="454"/>
      <c r="D471" s="454"/>
      <c r="E471" s="454"/>
      <c r="F471" s="454"/>
      <c r="G471" s="454"/>
      <c r="H471" s="602"/>
      <c r="I471" s="453"/>
    </row>
    <row r="472" spans="1:9" ht="20.100000000000001" customHeight="1" x14ac:dyDescent="0.45">
      <c r="A472" s="456"/>
      <c r="B472" s="454"/>
      <c r="C472" s="454"/>
      <c r="D472" s="454"/>
      <c r="E472" s="454"/>
      <c r="F472" s="454"/>
      <c r="G472" s="454"/>
      <c r="H472" s="602"/>
      <c r="I472" s="453"/>
    </row>
    <row r="473" spans="1:9" ht="20.100000000000001" customHeight="1" x14ac:dyDescent="0.45">
      <c r="A473" s="456"/>
      <c r="B473" s="454"/>
      <c r="C473" s="454"/>
      <c r="D473" s="454"/>
      <c r="E473" s="454"/>
      <c r="F473" s="454"/>
      <c r="G473" s="454"/>
      <c r="H473" s="602"/>
      <c r="I473" s="453"/>
    </row>
    <row r="474" spans="1:9" ht="20.100000000000001" customHeight="1" x14ac:dyDescent="0.45">
      <c r="A474" s="456"/>
      <c r="B474" s="454"/>
      <c r="C474" s="454"/>
      <c r="D474" s="454"/>
      <c r="E474" s="454"/>
      <c r="F474" s="454"/>
      <c r="G474" s="454"/>
      <c r="H474" s="602"/>
      <c r="I474" s="453"/>
    </row>
    <row r="475" spans="1:9" ht="20.100000000000001" customHeight="1" x14ac:dyDescent="0.45">
      <c r="A475" s="456"/>
      <c r="B475" s="454"/>
      <c r="C475" s="454"/>
      <c r="D475" s="454"/>
      <c r="E475" s="454"/>
      <c r="F475" s="454"/>
      <c r="G475" s="454"/>
      <c r="H475" s="602"/>
      <c r="I475" s="453"/>
    </row>
    <row r="476" spans="1:9" ht="20.100000000000001" customHeight="1" x14ac:dyDescent="0.45">
      <c r="A476" s="456"/>
      <c r="B476" s="454"/>
      <c r="C476" s="454"/>
      <c r="D476" s="454"/>
      <c r="E476" s="454"/>
      <c r="F476" s="454"/>
      <c r="G476" s="454"/>
      <c r="H476" s="602"/>
      <c r="I476" s="453"/>
    </row>
    <row r="477" spans="1:9" ht="20.100000000000001" customHeight="1" x14ac:dyDescent="0.45">
      <c r="A477" s="456"/>
      <c r="B477" s="454"/>
      <c r="C477" s="454"/>
      <c r="D477" s="454"/>
      <c r="E477" s="454"/>
      <c r="F477" s="454"/>
      <c r="G477" s="454"/>
      <c r="H477" s="602"/>
      <c r="I477" s="453"/>
    </row>
    <row r="478" spans="1:9" ht="20.100000000000001" customHeight="1" x14ac:dyDescent="0.45">
      <c r="A478" s="456"/>
      <c r="B478" s="454"/>
      <c r="C478" s="454"/>
      <c r="D478" s="454"/>
      <c r="E478" s="454"/>
      <c r="F478" s="454"/>
      <c r="G478" s="454"/>
      <c r="H478" s="602"/>
      <c r="I478" s="453"/>
    </row>
    <row r="479" spans="1:9" ht="20.100000000000001" customHeight="1" x14ac:dyDescent="0.45">
      <c r="A479" s="456"/>
      <c r="B479" s="454"/>
      <c r="C479" s="454"/>
      <c r="D479" s="454"/>
      <c r="E479" s="454"/>
      <c r="F479" s="454"/>
      <c r="G479" s="454"/>
      <c r="H479" s="602"/>
      <c r="I479" s="453"/>
    </row>
    <row r="480" spans="1:9" ht="20.100000000000001" customHeight="1" x14ac:dyDescent="0.45">
      <c r="A480" s="456"/>
      <c r="B480" s="454"/>
      <c r="C480" s="454"/>
      <c r="D480" s="454"/>
      <c r="E480" s="454"/>
      <c r="F480" s="454"/>
      <c r="G480" s="454"/>
      <c r="H480" s="602"/>
      <c r="I480" s="453"/>
    </row>
    <row r="481" spans="1:9" ht="20.100000000000001" customHeight="1" x14ac:dyDescent="0.45">
      <c r="A481" s="456"/>
      <c r="B481" s="454"/>
      <c r="C481" s="454"/>
      <c r="D481" s="454"/>
      <c r="E481" s="454"/>
      <c r="F481" s="454"/>
      <c r="G481" s="454"/>
      <c r="H481" s="602"/>
      <c r="I481" s="453"/>
    </row>
    <row r="482" spans="1:9" ht="20.100000000000001" customHeight="1" x14ac:dyDescent="0.45">
      <c r="A482" s="456"/>
      <c r="B482" s="454"/>
      <c r="C482" s="454"/>
      <c r="D482" s="454"/>
      <c r="E482" s="454"/>
      <c r="F482" s="454"/>
      <c r="G482" s="454"/>
      <c r="H482" s="602"/>
      <c r="I482" s="453"/>
    </row>
    <row r="483" spans="1:9" ht="20.100000000000001" customHeight="1" x14ac:dyDescent="0.45">
      <c r="A483" s="456"/>
      <c r="B483" s="454"/>
      <c r="C483" s="454"/>
      <c r="D483" s="454"/>
      <c r="E483" s="454"/>
      <c r="F483" s="454"/>
      <c r="G483" s="454"/>
      <c r="H483" s="602"/>
      <c r="I483" s="453"/>
    </row>
    <row r="484" spans="1:9" ht="20.100000000000001" customHeight="1" x14ac:dyDescent="0.45">
      <c r="A484" s="456"/>
      <c r="B484" s="454"/>
      <c r="C484" s="454"/>
      <c r="D484" s="454"/>
      <c r="E484" s="454"/>
      <c r="F484" s="454"/>
      <c r="G484" s="454"/>
      <c r="H484" s="602"/>
      <c r="I484" s="453"/>
    </row>
    <row r="485" spans="1:9" ht="20.100000000000001" customHeight="1" x14ac:dyDescent="0.45">
      <c r="A485" s="456"/>
      <c r="B485" s="454"/>
      <c r="C485" s="454"/>
      <c r="D485" s="454"/>
      <c r="E485" s="454"/>
      <c r="F485" s="454"/>
      <c r="G485" s="454"/>
      <c r="H485" s="602"/>
      <c r="I485" s="453"/>
    </row>
    <row r="486" spans="1:9" ht="20.100000000000001" customHeight="1" x14ac:dyDescent="0.45">
      <c r="A486" s="456"/>
      <c r="B486" s="454"/>
      <c r="C486" s="454"/>
      <c r="D486" s="454"/>
      <c r="E486" s="454"/>
      <c r="F486" s="454"/>
      <c r="G486" s="454"/>
      <c r="H486" s="602"/>
      <c r="I486" s="453"/>
    </row>
    <row r="487" spans="1:9" ht="20.100000000000001" customHeight="1" x14ac:dyDescent="0.45">
      <c r="A487" s="456"/>
      <c r="B487" s="454"/>
      <c r="C487" s="454"/>
      <c r="D487" s="454"/>
      <c r="E487" s="454"/>
      <c r="F487" s="454"/>
      <c r="G487" s="454"/>
      <c r="H487" s="602"/>
      <c r="I487" s="453"/>
    </row>
    <row r="488" spans="1:9" ht="20.100000000000001" customHeight="1" x14ac:dyDescent="0.45">
      <c r="A488" s="456"/>
      <c r="B488" s="454"/>
      <c r="C488" s="454"/>
      <c r="D488" s="454"/>
      <c r="E488" s="454"/>
      <c r="F488" s="454"/>
      <c r="G488" s="454"/>
      <c r="H488" s="602"/>
      <c r="I488" s="453"/>
    </row>
    <row r="489" spans="1:9" ht="20.100000000000001" customHeight="1" x14ac:dyDescent="0.45">
      <c r="A489" s="456"/>
      <c r="B489" s="454"/>
      <c r="C489" s="454"/>
      <c r="D489" s="454"/>
      <c r="E489" s="454"/>
      <c r="F489" s="454"/>
      <c r="G489" s="454"/>
      <c r="H489" s="602"/>
      <c r="I489" s="453"/>
    </row>
    <row r="490" spans="1:9" ht="20.100000000000001" customHeight="1" x14ac:dyDescent="0.45">
      <c r="A490" s="456"/>
      <c r="B490" s="454"/>
      <c r="C490" s="454"/>
      <c r="D490" s="454"/>
      <c r="E490" s="454"/>
      <c r="F490" s="454"/>
      <c r="G490" s="454"/>
      <c r="H490" s="602"/>
      <c r="I490" s="453"/>
    </row>
    <row r="491" spans="1:9" ht="20.100000000000001" customHeight="1" x14ac:dyDescent="0.45">
      <c r="A491" s="456"/>
      <c r="B491" s="454"/>
      <c r="C491" s="454"/>
      <c r="D491" s="454"/>
      <c r="E491" s="454"/>
      <c r="F491" s="454"/>
      <c r="G491" s="454"/>
      <c r="H491" s="602"/>
      <c r="I491" s="453"/>
    </row>
    <row r="492" spans="1:9" ht="20.100000000000001" customHeight="1" x14ac:dyDescent="0.45">
      <c r="A492" s="456"/>
      <c r="B492" s="454"/>
      <c r="C492" s="454"/>
      <c r="D492" s="454"/>
      <c r="E492" s="454"/>
      <c r="F492" s="454"/>
      <c r="G492" s="454"/>
      <c r="H492" s="602"/>
      <c r="I492" s="453"/>
    </row>
    <row r="493" spans="1:9" ht="20.100000000000001" customHeight="1" x14ac:dyDescent="0.45">
      <c r="A493" s="456"/>
      <c r="B493" s="454"/>
      <c r="C493" s="454"/>
      <c r="D493" s="454"/>
      <c r="E493" s="454"/>
      <c r="F493" s="454"/>
      <c r="G493" s="454"/>
      <c r="H493" s="602"/>
      <c r="I493" s="453"/>
    </row>
    <row r="494" spans="1:9" ht="20.100000000000001" customHeight="1" x14ac:dyDescent="0.45">
      <c r="A494" s="456"/>
      <c r="B494" s="454"/>
      <c r="C494" s="454"/>
      <c r="D494" s="454"/>
      <c r="E494" s="454"/>
      <c r="F494" s="454"/>
      <c r="G494" s="454"/>
      <c r="H494" s="602"/>
      <c r="I494" s="453"/>
    </row>
    <row r="495" spans="1:9" ht="20.100000000000001" customHeight="1" x14ac:dyDescent="0.45">
      <c r="A495" s="456"/>
      <c r="B495" s="454"/>
      <c r="C495" s="454"/>
      <c r="D495" s="454"/>
      <c r="E495" s="454"/>
      <c r="F495" s="454"/>
      <c r="G495" s="454"/>
      <c r="H495" s="602"/>
      <c r="I495" s="453"/>
    </row>
    <row r="496" spans="1:9" ht="20.100000000000001" customHeight="1" x14ac:dyDescent="0.45">
      <c r="A496" s="456"/>
      <c r="B496" s="454"/>
      <c r="C496" s="454"/>
      <c r="D496" s="454"/>
      <c r="E496" s="454"/>
      <c r="F496" s="454"/>
      <c r="G496" s="454"/>
      <c r="H496" s="602"/>
      <c r="I496" s="453"/>
    </row>
    <row r="497" spans="1:9" ht="20.100000000000001" customHeight="1" x14ac:dyDescent="0.45">
      <c r="A497" s="456"/>
      <c r="B497" s="454"/>
      <c r="C497" s="454"/>
      <c r="D497" s="454"/>
      <c r="E497" s="454"/>
      <c r="F497" s="454"/>
      <c r="G497" s="454"/>
      <c r="H497" s="602"/>
      <c r="I497" s="453"/>
    </row>
    <row r="498" spans="1:9" ht="20.100000000000001" customHeight="1" x14ac:dyDescent="0.45">
      <c r="A498" s="456"/>
      <c r="B498" s="454"/>
      <c r="C498" s="454"/>
      <c r="D498" s="454"/>
      <c r="E498" s="454"/>
      <c r="F498" s="454"/>
      <c r="G498" s="454"/>
      <c r="H498" s="602"/>
      <c r="I498" s="453"/>
    </row>
    <row r="499" spans="1:9" ht="20.100000000000001" customHeight="1" x14ac:dyDescent="0.45">
      <c r="A499" s="456"/>
      <c r="B499" s="454"/>
      <c r="C499" s="454"/>
      <c r="D499" s="454"/>
      <c r="E499" s="454"/>
      <c r="F499" s="454"/>
      <c r="G499" s="454"/>
      <c r="H499" s="602"/>
      <c r="I499" s="453"/>
    </row>
    <row r="500" spans="1:9" ht="20.100000000000001" customHeight="1" x14ac:dyDescent="0.45">
      <c r="A500" s="456"/>
      <c r="B500" s="454"/>
      <c r="C500" s="454"/>
      <c r="D500" s="454"/>
      <c r="E500" s="454"/>
      <c r="F500" s="454"/>
      <c r="G500" s="454"/>
      <c r="H500" s="602"/>
      <c r="I500" s="453"/>
    </row>
    <row r="501" spans="1:9" ht="20.100000000000001" customHeight="1" x14ac:dyDescent="0.45">
      <c r="A501" s="456"/>
      <c r="B501" s="454"/>
      <c r="C501" s="454"/>
      <c r="D501" s="454"/>
      <c r="E501" s="454"/>
      <c r="F501" s="454"/>
      <c r="G501" s="454"/>
      <c r="H501" s="602"/>
      <c r="I501" s="453"/>
    </row>
    <row r="502" spans="1:9" ht="20.100000000000001" customHeight="1" x14ac:dyDescent="0.45">
      <c r="A502" s="456"/>
      <c r="B502" s="454"/>
      <c r="C502" s="454"/>
      <c r="D502" s="454"/>
      <c r="E502" s="454"/>
      <c r="F502" s="454"/>
      <c r="G502" s="454"/>
      <c r="H502" s="602"/>
      <c r="I502" s="453"/>
    </row>
    <row r="503" spans="1:9" ht="20.100000000000001" customHeight="1" x14ac:dyDescent="0.45">
      <c r="A503" s="456"/>
      <c r="B503" s="454"/>
      <c r="C503" s="454"/>
      <c r="D503" s="454"/>
      <c r="E503" s="454"/>
      <c r="F503" s="454"/>
      <c r="G503" s="454"/>
      <c r="H503" s="602"/>
      <c r="I503" s="453"/>
    </row>
    <row r="504" spans="1:9" ht="20.100000000000001" customHeight="1" x14ac:dyDescent="0.45">
      <c r="A504" s="456"/>
      <c r="B504" s="454"/>
      <c r="C504" s="454"/>
      <c r="D504" s="454"/>
      <c r="E504" s="454"/>
      <c r="F504" s="454"/>
      <c r="G504" s="454"/>
      <c r="H504" s="602"/>
      <c r="I504" s="453"/>
    </row>
    <row r="505" spans="1:9" ht="20.100000000000001" customHeight="1" x14ac:dyDescent="0.45">
      <c r="A505" s="456"/>
      <c r="B505" s="454"/>
      <c r="C505" s="454"/>
      <c r="D505" s="454"/>
      <c r="E505" s="454"/>
      <c r="F505" s="454"/>
      <c r="G505" s="454"/>
      <c r="H505" s="602"/>
      <c r="I505" s="453"/>
    </row>
    <row r="506" spans="1:9" ht="20.100000000000001" customHeight="1" x14ac:dyDescent="0.45">
      <c r="A506" s="456"/>
      <c r="B506" s="454"/>
      <c r="C506" s="454"/>
      <c r="D506" s="454"/>
      <c r="E506" s="454"/>
      <c r="F506" s="454"/>
      <c r="G506" s="454"/>
      <c r="H506" s="602"/>
      <c r="I506" s="453"/>
    </row>
    <row r="507" spans="1:9" ht="20.100000000000001" customHeight="1" x14ac:dyDescent="0.45">
      <c r="A507" s="456"/>
      <c r="B507" s="454"/>
      <c r="C507" s="454"/>
      <c r="D507" s="454"/>
      <c r="E507" s="454"/>
      <c r="F507" s="454"/>
      <c r="G507" s="454"/>
      <c r="H507" s="602"/>
      <c r="I507" s="453"/>
    </row>
    <row r="508" spans="1:9" ht="20.100000000000001" customHeight="1" x14ac:dyDescent="0.45">
      <c r="A508" s="456"/>
      <c r="B508" s="454"/>
      <c r="C508" s="454"/>
      <c r="D508" s="454"/>
      <c r="E508" s="454"/>
      <c r="F508" s="454"/>
      <c r="G508" s="454"/>
      <c r="H508" s="602"/>
    </row>
    <row r="509" spans="1:9" ht="20.100000000000001" customHeight="1" x14ac:dyDescent="0.45">
      <c r="A509" s="456"/>
      <c r="B509" s="454"/>
      <c r="C509" s="454"/>
      <c r="D509" s="454"/>
      <c r="E509" s="454"/>
      <c r="F509" s="454"/>
      <c r="G509" s="454"/>
      <c r="H509" s="602"/>
    </row>
    <row r="510" spans="1:9" ht="20.100000000000001" customHeight="1" x14ac:dyDescent="0.45">
      <c r="A510" s="456"/>
      <c r="B510" s="454"/>
      <c r="C510" s="454"/>
      <c r="D510" s="454"/>
      <c r="E510" s="454"/>
      <c r="F510" s="454"/>
      <c r="G510" s="454"/>
      <c r="H510" s="602"/>
    </row>
    <row r="511" spans="1:9" ht="20.100000000000001" customHeight="1" x14ac:dyDescent="0.45">
      <c r="A511" s="456"/>
      <c r="B511" s="454"/>
      <c r="C511" s="454"/>
      <c r="D511" s="454"/>
      <c r="E511" s="454"/>
      <c r="F511" s="454"/>
      <c r="G511" s="454"/>
      <c r="H511" s="602"/>
    </row>
    <row r="512" spans="1:9" ht="20.100000000000001" customHeight="1" x14ac:dyDescent="0.45">
      <c r="A512" s="456"/>
      <c r="B512" s="454"/>
      <c r="C512" s="454"/>
      <c r="D512" s="454"/>
      <c r="E512" s="454"/>
      <c r="F512" s="454"/>
      <c r="G512" s="454"/>
      <c r="H512" s="602"/>
    </row>
    <row r="513" spans="1:8" ht="20.100000000000001" customHeight="1" x14ac:dyDescent="0.45">
      <c r="A513" s="456"/>
      <c r="B513" s="454"/>
      <c r="C513" s="454"/>
      <c r="D513" s="454"/>
      <c r="E513" s="454"/>
      <c r="F513" s="454"/>
      <c r="G513" s="454"/>
      <c r="H513" s="602"/>
    </row>
    <row r="514" spans="1:8" ht="20.100000000000001" customHeight="1" x14ac:dyDescent="0.45">
      <c r="A514" s="456"/>
      <c r="B514" s="454"/>
      <c r="C514" s="454"/>
      <c r="D514" s="454"/>
      <c r="E514" s="454"/>
      <c r="F514" s="454"/>
      <c r="G514" s="454"/>
      <c r="H514" s="602"/>
    </row>
    <row r="515" spans="1:8" ht="20.100000000000001" customHeight="1" x14ac:dyDescent="0.45">
      <c r="A515" s="456"/>
      <c r="B515" s="454"/>
      <c r="C515" s="454"/>
      <c r="D515" s="454"/>
      <c r="E515" s="454"/>
      <c r="F515" s="454"/>
      <c r="G515" s="454"/>
      <c r="H515" s="602"/>
    </row>
    <row r="516" spans="1:8" ht="20.100000000000001" customHeight="1" x14ac:dyDescent="0.45">
      <c r="A516" s="456"/>
      <c r="B516" s="454"/>
      <c r="C516" s="454"/>
      <c r="D516" s="454"/>
      <c r="E516" s="454"/>
      <c r="F516" s="454"/>
      <c r="G516" s="454"/>
      <c r="H516" s="602"/>
    </row>
    <row r="517" spans="1:8" ht="20.100000000000001" customHeight="1" x14ac:dyDescent="0.45">
      <c r="A517" s="456"/>
      <c r="B517" s="454"/>
      <c r="C517" s="454"/>
      <c r="D517" s="454"/>
      <c r="E517" s="454"/>
      <c r="F517" s="454"/>
      <c r="G517" s="454"/>
      <c r="H517" s="602"/>
    </row>
    <row r="518" spans="1:8" ht="20.100000000000001" customHeight="1" x14ac:dyDescent="0.45">
      <c r="A518" s="456"/>
      <c r="B518" s="454"/>
      <c r="C518" s="454"/>
      <c r="D518" s="454"/>
      <c r="E518" s="454"/>
      <c r="F518" s="454"/>
      <c r="G518" s="454"/>
      <c r="H518" s="602"/>
    </row>
    <row r="519" spans="1:8" ht="20.100000000000001" customHeight="1" x14ac:dyDescent="0.45">
      <c r="A519" s="456"/>
      <c r="B519" s="454"/>
      <c r="C519" s="454"/>
      <c r="D519" s="454"/>
      <c r="E519" s="454"/>
      <c r="F519" s="454"/>
      <c r="G519" s="454"/>
      <c r="H519" s="602"/>
    </row>
    <row r="520" spans="1:8" ht="20.100000000000001" customHeight="1" x14ac:dyDescent="0.45">
      <c r="A520" s="456"/>
      <c r="B520" s="454"/>
      <c r="C520" s="454"/>
      <c r="D520" s="454"/>
      <c r="E520" s="454"/>
      <c r="F520" s="454"/>
      <c r="G520" s="454"/>
      <c r="H520" s="602"/>
    </row>
    <row r="521" spans="1:8" ht="20.100000000000001" customHeight="1" x14ac:dyDescent="0.45">
      <c r="A521" s="456"/>
      <c r="B521" s="454"/>
      <c r="C521" s="454"/>
      <c r="D521" s="454"/>
      <c r="E521" s="454"/>
      <c r="F521" s="454"/>
      <c r="G521" s="454"/>
      <c r="H521" s="602"/>
    </row>
    <row r="522" spans="1:8" ht="20.100000000000001" customHeight="1" x14ac:dyDescent="0.45">
      <c r="A522" s="456"/>
      <c r="B522" s="454"/>
      <c r="C522" s="454"/>
      <c r="D522" s="454"/>
      <c r="E522" s="454"/>
      <c r="F522" s="454"/>
      <c r="G522" s="454"/>
      <c r="H522" s="602"/>
    </row>
    <row r="523" spans="1:8" ht="20.100000000000001" customHeight="1" x14ac:dyDescent="0.45">
      <c r="A523" s="456"/>
      <c r="B523" s="454"/>
      <c r="C523" s="454"/>
      <c r="D523" s="454"/>
      <c r="E523" s="454"/>
      <c r="F523" s="454"/>
      <c r="G523" s="454"/>
      <c r="H523" s="602"/>
    </row>
    <row r="524" spans="1:8" ht="20.100000000000001" customHeight="1" x14ac:dyDescent="0.45">
      <c r="A524" s="456"/>
      <c r="B524" s="454"/>
      <c r="C524" s="454"/>
      <c r="D524" s="454"/>
      <c r="E524" s="454"/>
      <c r="F524" s="454"/>
      <c r="G524" s="454"/>
      <c r="H524" s="602"/>
    </row>
    <row r="525" spans="1:8" ht="20.100000000000001" customHeight="1" x14ac:dyDescent="0.45">
      <c r="A525" s="456"/>
      <c r="B525" s="454"/>
      <c r="C525" s="454"/>
      <c r="D525" s="454"/>
      <c r="E525" s="454"/>
      <c r="F525" s="454"/>
      <c r="G525" s="454"/>
      <c r="H525" s="602"/>
    </row>
    <row r="526" spans="1:8" ht="20.100000000000001" customHeight="1" x14ac:dyDescent="0.45">
      <c r="A526" s="456"/>
      <c r="B526" s="454"/>
      <c r="C526" s="454"/>
      <c r="D526" s="454"/>
      <c r="E526" s="454"/>
      <c r="F526" s="454"/>
      <c r="G526" s="454"/>
      <c r="H526" s="602"/>
    </row>
    <row r="527" spans="1:8" ht="20.100000000000001" customHeight="1" x14ac:dyDescent="0.45">
      <c r="A527" s="456"/>
      <c r="B527" s="454"/>
      <c r="C527" s="454"/>
      <c r="D527" s="454"/>
      <c r="E527" s="454"/>
      <c r="F527" s="454"/>
      <c r="G527" s="454"/>
      <c r="H527" s="602"/>
    </row>
    <row r="528" spans="1:8" ht="20.100000000000001" customHeight="1" x14ac:dyDescent="0.45">
      <c r="A528" s="456"/>
      <c r="B528" s="454"/>
      <c r="C528" s="454"/>
      <c r="D528" s="454"/>
      <c r="E528" s="454"/>
      <c r="F528" s="454"/>
      <c r="G528" s="454"/>
      <c r="H528" s="602"/>
    </row>
    <row r="529" spans="1:8" ht="20.100000000000001" customHeight="1" x14ac:dyDescent="0.45">
      <c r="A529" s="456"/>
      <c r="B529" s="454"/>
      <c r="C529" s="454"/>
      <c r="D529" s="454"/>
      <c r="E529" s="454"/>
      <c r="F529" s="454"/>
      <c r="G529" s="454"/>
      <c r="H529" s="602"/>
    </row>
    <row r="530" spans="1:8" ht="20.100000000000001" customHeight="1" x14ac:dyDescent="0.45">
      <c r="A530" s="456"/>
      <c r="B530" s="454"/>
      <c r="C530" s="454"/>
      <c r="D530" s="454"/>
      <c r="E530" s="454"/>
      <c r="F530" s="454"/>
      <c r="G530" s="454"/>
      <c r="H530" s="602"/>
    </row>
    <row r="531" spans="1:8" ht="20.100000000000001" customHeight="1" x14ac:dyDescent="0.45">
      <c r="A531" s="456"/>
      <c r="B531" s="454"/>
      <c r="C531" s="454"/>
      <c r="D531" s="454"/>
      <c r="E531" s="454"/>
      <c r="F531" s="454"/>
      <c r="G531" s="454"/>
      <c r="H531" s="602"/>
    </row>
    <row r="532" spans="1:8" ht="20.100000000000001" customHeight="1" x14ac:dyDescent="0.45">
      <c r="A532" s="456"/>
      <c r="B532" s="454"/>
      <c r="C532" s="454"/>
      <c r="D532" s="454"/>
      <c r="E532" s="454"/>
      <c r="F532" s="454"/>
      <c r="G532" s="454"/>
      <c r="H532" s="602"/>
    </row>
    <row r="533" spans="1:8" ht="20.100000000000001" customHeight="1" x14ac:dyDescent="0.45">
      <c r="A533" s="456"/>
      <c r="B533" s="454"/>
      <c r="C533" s="454"/>
      <c r="D533" s="454"/>
      <c r="E533" s="454"/>
      <c r="F533" s="454"/>
      <c r="G533" s="454"/>
      <c r="H533" s="602"/>
    </row>
    <row r="534" spans="1:8" ht="20.100000000000001" customHeight="1" x14ac:dyDescent="0.45">
      <c r="A534" s="456"/>
      <c r="B534" s="454"/>
      <c r="C534" s="454"/>
      <c r="D534" s="454"/>
      <c r="E534" s="454"/>
      <c r="F534" s="454"/>
      <c r="G534" s="454"/>
      <c r="H534" s="602"/>
    </row>
    <row r="535" spans="1:8" ht="20.100000000000001" customHeight="1" x14ac:dyDescent="0.45">
      <c r="A535" s="456"/>
      <c r="B535" s="454"/>
      <c r="C535" s="454"/>
      <c r="D535" s="454"/>
      <c r="E535" s="454"/>
      <c r="F535" s="454"/>
      <c r="G535" s="454"/>
      <c r="H535" s="602"/>
    </row>
    <row r="536" spans="1:8" ht="20.100000000000001" customHeight="1" x14ac:dyDescent="0.45">
      <c r="A536" s="456"/>
      <c r="B536" s="454"/>
      <c r="C536" s="454"/>
      <c r="D536" s="454"/>
      <c r="E536" s="454"/>
      <c r="F536" s="454"/>
      <c r="G536" s="454"/>
      <c r="H536" s="602"/>
    </row>
    <row r="537" spans="1:8" ht="20.100000000000001" customHeight="1" x14ac:dyDescent="0.45">
      <c r="A537" s="456"/>
      <c r="B537" s="454"/>
      <c r="C537" s="454"/>
      <c r="D537" s="454"/>
      <c r="E537" s="454"/>
      <c r="F537" s="454"/>
      <c r="G537" s="454"/>
      <c r="H537" s="602"/>
    </row>
    <row r="538" spans="1:8" ht="20.100000000000001" customHeight="1" x14ac:dyDescent="0.45">
      <c r="A538" s="456"/>
      <c r="B538" s="454"/>
      <c r="C538" s="454"/>
      <c r="D538" s="454"/>
      <c r="E538" s="454"/>
      <c r="F538" s="454"/>
      <c r="G538" s="454"/>
      <c r="H538" s="602"/>
    </row>
    <row r="539" spans="1:8" ht="20.100000000000001" customHeight="1" x14ac:dyDescent="0.45">
      <c r="A539" s="456"/>
      <c r="B539" s="454"/>
      <c r="C539" s="454"/>
      <c r="D539" s="454"/>
      <c r="E539" s="454"/>
      <c r="F539" s="454"/>
      <c r="G539" s="454"/>
      <c r="H539" s="602"/>
    </row>
    <row r="540" spans="1:8" ht="20.100000000000001" customHeight="1" x14ac:dyDescent="0.45">
      <c r="A540" s="456"/>
      <c r="B540" s="454"/>
      <c r="C540" s="454"/>
      <c r="D540" s="454"/>
      <c r="E540" s="454"/>
      <c r="F540" s="454"/>
      <c r="G540" s="454"/>
      <c r="H540" s="602"/>
    </row>
    <row r="541" spans="1:8" ht="20.100000000000001" customHeight="1" x14ac:dyDescent="0.45">
      <c r="A541" s="456"/>
      <c r="B541" s="454"/>
      <c r="C541" s="454"/>
      <c r="D541" s="454"/>
      <c r="E541" s="454"/>
      <c r="F541" s="454"/>
      <c r="G541" s="454"/>
      <c r="H541" s="602"/>
    </row>
    <row r="542" spans="1:8" ht="20.100000000000001" customHeight="1" x14ac:dyDescent="0.45">
      <c r="A542" s="456"/>
      <c r="B542" s="454"/>
      <c r="C542" s="454"/>
      <c r="D542" s="454"/>
      <c r="E542" s="454"/>
      <c r="F542" s="454"/>
      <c r="G542" s="454"/>
      <c r="H542" s="602"/>
    </row>
    <row r="543" spans="1:8" ht="20.100000000000001" customHeight="1" x14ac:dyDescent="0.45">
      <c r="A543" s="456"/>
      <c r="B543" s="454"/>
      <c r="C543" s="454"/>
      <c r="D543" s="454"/>
      <c r="E543" s="454"/>
      <c r="F543" s="454"/>
      <c r="G543" s="454"/>
      <c r="H543" s="602"/>
    </row>
    <row r="544" spans="1:8" ht="20.100000000000001" customHeight="1" x14ac:dyDescent="0.45">
      <c r="A544" s="456"/>
      <c r="B544" s="454"/>
      <c r="C544" s="454"/>
      <c r="D544" s="454"/>
      <c r="E544" s="454"/>
      <c r="F544" s="454"/>
      <c r="G544" s="454"/>
      <c r="H544" s="602"/>
    </row>
    <row r="545" spans="1:8" ht="20.100000000000001" customHeight="1" x14ac:dyDescent="0.45">
      <c r="A545" s="456"/>
      <c r="B545" s="454"/>
      <c r="C545" s="454"/>
      <c r="D545" s="454"/>
      <c r="E545" s="454"/>
      <c r="F545" s="454"/>
      <c r="G545" s="454"/>
      <c r="H545" s="602"/>
    </row>
    <row r="546" spans="1:8" ht="20.100000000000001" customHeight="1" x14ac:dyDescent="0.45">
      <c r="A546" s="456"/>
      <c r="B546" s="454"/>
      <c r="C546" s="454"/>
      <c r="D546" s="454"/>
      <c r="E546" s="454"/>
      <c r="F546" s="454"/>
      <c r="G546" s="454"/>
      <c r="H546" s="602"/>
    </row>
    <row r="547" spans="1:8" ht="20.100000000000001" customHeight="1" x14ac:dyDescent="0.45">
      <c r="A547" s="456"/>
      <c r="B547" s="454"/>
      <c r="C547" s="454"/>
      <c r="D547" s="454"/>
      <c r="E547" s="454"/>
      <c r="F547" s="454"/>
      <c r="G547" s="454"/>
      <c r="H547" s="602"/>
    </row>
    <row r="548" spans="1:8" ht="20.100000000000001" customHeight="1" x14ac:dyDescent="0.45">
      <c r="A548" s="456"/>
      <c r="B548" s="454"/>
      <c r="C548" s="454"/>
      <c r="D548" s="454"/>
      <c r="E548" s="454"/>
      <c r="F548" s="454"/>
      <c r="G548" s="454"/>
      <c r="H548" s="602"/>
    </row>
    <row r="549" spans="1:8" ht="20.100000000000001" customHeight="1" x14ac:dyDescent="0.45">
      <c r="A549" s="456"/>
      <c r="B549" s="454"/>
      <c r="C549" s="454"/>
      <c r="D549" s="454"/>
      <c r="E549" s="454"/>
      <c r="F549" s="454"/>
      <c r="G549" s="454"/>
      <c r="H549" s="602"/>
    </row>
    <row r="550" spans="1:8" ht="20.100000000000001" customHeight="1" x14ac:dyDescent="0.45">
      <c r="A550" s="456"/>
      <c r="B550" s="454"/>
      <c r="C550" s="454"/>
      <c r="D550" s="454"/>
      <c r="E550" s="454"/>
      <c r="F550" s="454"/>
      <c r="G550" s="454"/>
      <c r="H550" s="602"/>
    </row>
    <row r="551" spans="1:8" ht="20.100000000000001" customHeight="1" x14ac:dyDescent="0.45">
      <c r="A551" s="456"/>
      <c r="B551" s="454"/>
      <c r="C551" s="454"/>
      <c r="D551" s="454"/>
      <c r="E551" s="454"/>
      <c r="F551" s="454"/>
      <c r="G551" s="454"/>
      <c r="H551" s="602"/>
    </row>
    <row r="552" spans="1:8" ht="20.100000000000001" customHeight="1" x14ac:dyDescent="0.45">
      <c r="A552" s="456"/>
      <c r="B552" s="454"/>
      <c r="C552" s="454"/>
      <c r="D552" s="454"/>
      <c r="E552" s="454"/>
      <c r="F552" s="454"/>
      <c r="G552" s="454"/>
      <c r="H552" s="602"/>
    </row>
    <row r="553" spans="1:8" ht="20.100000000000001" customHeight="1" x14ac:dyDescent="0.45">
      <c r="A553" s="456"/>
      <c r="B553" s="454"/>
      <c r="C553" s="454"/>
      <c r="D553" s="454"/>
      <c r="E553" s="454"/>
      <c r="F553" s="454"/>
      <c r="G553" s="454"/>
      <c r="H553" s="602"/>
    </row>
    <row r="554" spans="1:8" ht="20.100000000000001" customHeight="1" x14ac:dyDescent="0.45">
      <c r="A554" s="456"/>
      <c r="B554" s="454"/>
      <c r="C554" s="454"/>
      <c r="D554" s="454"/>
      <c r="E554" s="454"/>
      <c r="F554" s="454"/>
      <c r="G554" s="454"/>
      <c r="H554" s="602"/>
    </row>
    <row r="555" spans="1:8" ht="20.100000000000001" customHeight="1" x14ac:dyDescent="0.45">
      <c r="A555" s="456"/>
      <c r="B555" s="454"/>
      <c r="C555" s="454"/>
      <c r="D555" s="454"/>
      <c r="E555" s="454"/>
      <c r="F555" s="454"/>
      <c r="G555" s="454"/>
      <c r="H555" s="602"/>
    </row>
    <row r="556" spans="1:8" ht="20.100000000000001" customHeight="1" x14ac:dyDescent="0.45">
      <c r="A556" s="456"/>
      <c r="B556" s="454"/>
      <c r="C556" s="454"/>
      <c r="D556" s="454"/>
      <c r="E556" s="454"/>
      <c r="F556" s="454"/>
      <c r="G556" s="454"/>
      <c r="H556" s="602"/>
    </row>
    <row r="557" spans="1:8" ht="20.100000000000001" customHeight="1" x14ac:dyDescent="0.45">
      <c r="A557" s="456"/>
      <c r="B557" s="454"/>
      <c r="C557" s="454"/>
      <c r="D557" s="454"/>
      <c r="E557" s="454"/>
      <c r="F557" s="454"/>
      <c r="G557" s="454"/>
      <c r="H557" s="602"/>
    </row>
    <row r="558" spans="1:8" ht="20.100000000000001" customHeight="1" x14ac:dyDescent="0.45">
      <c r="A558" s="456"/>
      <c r="B558" s="454"/>
      <c r="C558" s="454"/>
      <c r="D558" s="454"/>
      <c r="E558" s="454"/>
      <c r="F558" s="454"/>
      <c r="G558" s="454"/>
      <c r="H558" s="602"/>
    </row>
    <row r="559" spans="1:8" ht="20.100000000000001" customHeight="1" x14ac:dyDescent="0.45">
      <c r="A559" s="456"/>
      <c r="B559" s="454"/>
      <c r="C559" s="454"/>
      <c r="D559" s="454"/>
      <c r="E559" s="454"/>
      <c r="F559" s="454"/>
      <c r="G559" s="454"/>
      <c r="H559" s="602"/>
    </row>
    <row r="560" spans="1:8" ht="20.100000000000001" customHeight="1" x14ac:dyDescent="0.45">
      <c r="A560" s="456"/>
      <c r="B560" s="454"/>
      <c r="C560" s="454"/>
      <c r="D560" s="454"/>
      <c r="E560" s="454"/>
      <c r="F560" s="454"/>
      <c r="G560" s="454"/>
      <c r="H560" s="602"/>
    </row>
    <row r="561" spans="1:8" ht="20.100000000000001" customHeight="1" x14ac:dyDescent="0.45">
      <c r="A561" s="456"/>
      <c r="B561" s="454"/>
      <c r="C561" s="454"/>
      <c r="D561" s="454"/>
      <c r="E561" s="454"/>
      <c r="F561" s="454"/>
      <c r="G561" s="454"/>
      <c r="H561" s="602"/>
    </row>
    <row r="562" spans="1:8" ht="20.100000000000001" customHeight="1" x14ac:dyDescent="0.45">
      <c r="A562" s="456"/>
      <c r="B562" s="454"/>
      <c r="C562" s="454"/>
      <c r="D562" s="454"/>
      <c r="E562" s="454"/>
      <c r="F562" s="454"/>
      <c r="G562" s="454"/>
      <c r="H562" s="602"/>
    </row>
    <row r="563" spans="1:8" ht="20.100000000000001" customHeight="1" x14ac:dyDescent="0.45">
      <c r="A563" s="456"/>
      <c r="B563" s="454"/>
      <c r="C563" s="454"/>
      <c r="D563" s="454"/>
      <c r="E563" s="454"/>
      <c r="F563" s="454"/>
      <c r="G563" s="454"/>
      <c r="H563" s="602"/>
    </row>
    <row r="564" spans="1:8" ht="20.100000000000001" customHeight="1" x14ac:dyDescent="0.45">
      <c r="A564" s="456"/>
      <c r="B564" s="454"/>
      <c r="C564" s="454"/>
      <c r="D564" s="454"/>
      <c r="E564" s="454"/>
      <c r="F564" s="454"/>
      <c r="G564" s="454"/>
      <c r="H564" s="602"/>
    </row>
    <row r="565" spans="1:8" ht="20.100000000000001" customHeight="1" x14ac:dyDescent="0.45">
      <c r="A565" s="456"/>
      <c r="B565" s="454"/>
      <c r="C565" s="454"/>
      <c r="D565" s="454"/>
      <c r="E565" s="454"/>
      <c r="F565" s="454"/>
      <c r="G565" s="454"/>
      <c r="H565" s="602"/>
    </row>
    <row r="566" spans="1:8" ht="20.100000000000001" customHeight="1" x14ac:dyDescent="0.45">
      <c r="A566" s="456"/>
      <c r="B566" s="454"/>
      <c r="C566" s="454"/>
      <c r="D566" s="454"/>
      <c r="E566" s="454"/>
      <c r="F566" s="454"/>
      <c r="G566" s="454"/>
      <c r="H566" s="602"/>
    </row>
    <row r="567" spans="1:8" ht="20.100000000000001" customHeight="1" x14ac:dyDescent="0.45">
      <c r="A567" s="456"/>
      <c r="B567" s="454"/>
      <c r="C567" s="454"/>
      <c r="D567" s="454"/>
      <c r="E567" s="454"/>
      <c r="F567" s="454"/>
      <c r="G567" s="454"/>
      <c r="H567" s="602"/>
    </row>
    <row r="568" spans="1:8" ht="20.100000000000001" customHeight="1" x14ac:dyDescent="0.45">
      <c r="A568" s="456"/>
      <c r="B568" s="454"/>
      <c r="C568" s="454"/>
      <c r="D568" s="454"/>
      <c r="E568" s="454"/>
      <c r="F568" s="454"/>
      <c r="G568" s="454"/>
      <c r="H568" s="602"/>
    </row>
    <row r="569" spans="1:8" ht="20.100000000000001" customHeight="1" x14ac:dyDescent="0.45">
      <c r="A569" s="456"/>
      <c r="B569" s="454"/>
      <c r="C569" s="454"/>
      <c r="D569" s="454"/>
      <c r="E569" s="454"/>
      <c r="F569" s="454"/>
      <c r="G569" s="454"/>
      <c r="H569" s="602"/>
    </row>
    <row r="570" spans="1:8" ht="20.100000000000001" customHeight="1" x14ac:dyDescent="0.45">
      <c r="A570" s="456"/>
      <c r="B570" s="454"/>
      <c r="C570" s="454"/>
      <c r="D570" s="454"/>
      <c r="E570" s="454"/>
      <c r="F570" s="454"/>
      <c r="G570" s="454"/>
      <c r="H570" s="602"/>
    </row>
    <row r="571" spans="1:8" ht="20.100000000000001" customHeight="1" x14ac:dyDescent="0.45">
      <c r="A571" s="456"/>
      <c r="B571" s="454"/>
      <c r="C571" s="454"/>
      <c r="D571" s="454"/>
      <c r="E571" s="454"/>
      <c r="F571" s="454"/>
      <c r="G571" s="454"/>
      <c r="H571" s="602"/>
    </row>
    <row r="572" spans="1:8" ht="20.100000000000001" customHeight="1" x14ac:dyDescent="0.45">
      <c r="A572" s="456"/>
      <c r="B572" s="454"/>
      <c r="C572" s="454"/>
      <c r="D572" s="454"/>
      <c r="E572" s="454"/>
      <c r="F572" s="454"/>
      <c r="G572" s="454"/>
      <c r="H572" s="602"/>
    </row>
    <row r="573" spans="1:8" ht="20.100000000000001" customHeight="1" x14ac:dyDescent="0.45">
      <c r="A573" s="456"/>
      <c r="B573" s="454"/>
      <c r="C573" s="454"/>
      <c r="D573" s="454"/>
      <c r="E573" s="454"/>
      <c r="F573" s="454"/>
      <c r="G573" s="454"/>
      <c r="H573" s="602"/>
    </row>
    <row r="574" spans="1:8" ht="20.100000000000001" customHeight="1" x14ac:dyDescent="0.45">
      <c r="A574" s="456"/>
      <c r="B574" s="454"/>
      <c r="C574" s="454"/>
      <c r="D574" s="454"/>
      <c r="E574" s="454"/>
      <c r="F574" s="454"/>
      <c r="G574" s="454"/>
      <c r="H574" s="602"/>
    </row>
    <row r="575" spans="1:8" ht="20.100000000000001" customHeight="1" x14ac:dyDescent="0.45">
      <c r="A575" s="456"/>
      <c r="B575" s="454"/>
      <c r="C575" s="454"/>
      <c r="D575" s="454"/>
      <c r="E575" s="454"/>
      <c r="F575" s="454"/>
      <c r="G575" s="454"/>
      <c r="H575" s="602"/>
    </row>
    <row r="576" spans="1:8" ht="20.100000000000001" customHeight="1" x14ac:dyDescent="0.45">
      <c r="A576" s="456"/>
      <c r="B576" s="454"/>
      <c r="C576" s="454"/>
      <c r="D576" s="454"/>
      <c r="E576" s="454"/>
      <c r="F576" s="454"/>
      <c r="G576" s="454"/>
      <c r="H576" s="602"/>
    </row>
    <row r="577" spans="1:8" ht="20.100000000000001" customHeight="1" x14ac:dyDescent="0.45">
      <c r="A577" s="456"/>
      <c r="B577" s="454"/>
      <c r="C577" s="454"/>
      <c r="D577" s="454"/>
      <c r="E577" s="454"/>
      <c r="F577" s="454"/>
      <c r="G577" s="454"/>
      <c r="H577" s="602"/>
    </row>
    <row r="578" spans="1:8" ht="20.100000000000001" customHeight="1" x14ac:dyDescent="0.45">
      <c r="A578" s="456"/>
      <c r="B578" s="454"/>
      <c r="C578" s="454"/>
      <c r="D578" s="454"/>
      <c r="E578" s="454"/>
      <c r="F578" s="454"/>
      <c r="G578" s="454"/>
      <c r="H578" s="602"/>
    </row>
    <row r="579" spans="1:8" ht="20.100000000000001" customHeight="1" x14ac:dyDescent="0.45">
      <c r="A579" s="456"/>
      <c r="B579" s="454"/>
      <c r="C579" s="454"/>
      <c r="D579" s="454"/>
      <c r="E579" s="454"/>
      <c r="F579" s="454"/>
      <c r="G579" s="454"/>
      <c r="H579" s="602"/>
    </row>
    <row r="580" spans="1:8" ht="20.100000000000001" customHeight="1" x14ac:dyDescent="0.45">
      <c r="A580" s="456"/>
      <c r="B580" s="454"/>
      <c r="C580" s="454"/>
      <c r="D580" s="454"/>
      <c r="E580" s="454"/>
      <c r="F580" s="454"/>
      <c r="G580" s="454"/>
      <c r="H580" s="602"/>
    </row>
    <row r="581" spans="1:8" ht="20.100000000000001" customHeight="1" x14ac:dyDescent="0.45">
      <c r="A581" s="456"/>
      <c r="B581" s="454"/>
      <c r="C581" s="454"/>
      <c r="D581" s="454"/>
      <c r="E581" s="454"/>
      <c r="F581" s="454"/>
      <c r="G581" s="454"/>
      <c r="H581" s="602"/>
    </row>
    <row r="582" spans="1:8" ht="20.100000000000001" customHeight="1" x14ac:dyDescent="0.45">
      <c r="A582" s="456"/>
      <c r="B582" s="454"/>
      <c r="C582" s="454"/>
      <c r="D582" s="454"/>
      <c r="E582" s="454"/>
      <c r="F582" s="454"/>
      <c r="G582" s="454"/>
      <c r="H582" s="602"/>
    </row>
    <row r="583" spans="1:8" ht="20.100000000000001" customHeight="1" x14ac:dyDescent="0.45">
      <c r="A583" s="456"/>
      <c r="B583" s="454"/>
      <c r="C583" s="454"/>
      <c r="D583" s="454"/>
      <c r="E583" s="454"/>
      <c r="F583" s="454"/>
      <c r="G583" s="454"/>
      <c r="H583" s="602"/>
    </row>
    <row r="584" spans="1:8" ht="20.100000000000001" customHeight="1" x14ac:dyDescent="0.45">
      <c r="A584" s="456"/>
      <c r="B584" s="454"/>
      <c r="C584" s="454"/>
      <c r="D584" s="454"/>
      <c r="E584" s="454"/>
      <c r="F584" s="454"/>
      <c r="G584" s="454"/>
      <c r="H584" s="602"/>
    </row>
    <row r="585" spans="1:8" ht="20.100000000000001" customHeight="1" x14ac:dyDescent="0.45">
      <c r="A585" s="456"/>
      <c r="B585" s="454"/>
      <c r="C585" s="454"/>
      <c r="D585" s="454"/>
      <c r="E585" s="454"/>
      <c r="F585" s="454"/>
      <c r="G585" s="454"/>
      <c r="H585" s="602"/>
    </row>
    <row r="586" spans="1:8" ht="20.100000000000001" customHeight="1" x14ac:dyDescent="0.45">
      <c r="A586" s="456"/>
      <c r="B586" s="454"/>
      <c r="C586" s="454"/>
      <c r="D586" s="454"/>
      <c r="E586" s="454"/>
      <c r="F586" s="454"/>
      <c r="G586" s="454"/>
      <c r="H586" s="602"/>
    </row>
    <row r="587" spans="1:8" ht="20.100000000000001" customHeight="1" x14ac:dyDescent="0.45">
      <c r="A587" s="456"/>
      <c r="B587" s="454"/>
      <c r="C587" s="454"/>
      <c r="D587" s="454"/>
      <c r="E587" s="454"/>
      <c r="F587" s="454"/>
      <c r="G587" s="454"/>
      <c r="H587" s="602"/>
    </row>
    <row r="588" spans="1:8" ht="20.100000000000001" customHeight="1" x14ac:dyDescent="0.45">
      <c r="A588" s="456"/>
      <c r="B588" s="454"/>
      <c r="C588" s="454"/>
      <c r="D588" s="454"/>
      <c r="E588" s="454"/>
      <c r="F588" s="454"/>
      <c r="G588" s="454"/>
      <c r="H588" s="602"/>
    </row>
    <row r="589" spans="1:8" ht="20.100000000000001" customHeight="1" x14ac:dyDescent="0.45">
      <c r="A589" s="456"/>
      <c r="B589" s="454"/>
      <c r="C589" s="454"/>
      <c r="D589" s="454"/>
      <c r="E589" s="454"/>
      <c r="F589" s="454"/>
      <c r="G589" s="454"/>
      <c r="H589" s="602"/>
    </row>
    <row r="590" spans="1:8" ht="20.100000000000001" customHeight="1" x14ac:dyDescent="0.45">
      <c r="A590" s="456"/>
      <c r="B590" s="454"/>
      <c r="C590" s="454"/>
      <c r="D590" s="454"/>
      <c r="E590" s="454"/>
      <c r="F590" s="454"/>
      <c r="G590" s="454"/>
      <c r="H590" s="602"/>
    </row>
    <row r="591" spans="1:8" ht="20.100000000000001" customHeight="1" x14ac:dyDescent="0.45">
      <c r="A591" s="456"/>
      <c r="B591" s="454"/>
      <c r="C591" s="454"/>
      <c r="D591" s="454"/>
      <c r="E591" s="454"/>
      <c r="F591" s="454"/>
      <c r="G591" s="454"/>
      <c r="H591" s="602"/>
    </row>
    <row r="592" spans="1:8" ht="20.100000000000001" customHeight="1" x14ac:dyDescent="0.45">
      <c r="A592" s="456"/>
      <c r="B592" s="454"/>
      <c r="C592" s="454"/>
      <c r="D592" s="454"/>
      <c r="E592" s="454"/>
      <c r="F592" s="454"/>
      <c r="G592" s="454"/>
      <c r="H592" s="602"/>
    </row>
    <row r="593" spans="1:8" ht="20.100000000000001" customHeight="1" x14ac:dyDescent="0.45">
      <c r="A593" s="456"/>
      <c r="B593" s="454"/>
      <c r="C593" s="454"/>
      <c r="D593" s="454"/>
      <c r="E593" s="454"/>
      <c r="F593" s="454"/>
      <c r="G593" s="454"/>
      <c r="H593" s="602"/>
    </row>
    <row r="594" spans="1:8" ht="20.100000000000001" customHeight="1" x14ac:dyDescent="0.45">
      <c r="A594" s="456"/>
      <c r="B594" s="454"/>
      <c r="C594" s="454"/>
      <c r="D594" s="454"/>
      <c r="E594" s="454"/>
      <c r="F594" s="454"/>
      <c r="G594" s="454"/>
      <c r="H594" s="602"/>
    </row>
    <row r="595" spans="1:8" ht="20.100000000000001" customHeight="1" x14ac:dyDescent="0.45">
      <c r="A595" s="456"/>
      <c r="B595" s="454"/>
      <c r="C595" s="454"/>
      <c r="D595" s="454"/>
      <c r="E595" s="454"/>
      <c r="F595" s="454"/>
      <c r="G595" s="454"/>
      <c r="H595" s="602"/>
    </row>
    <row r="596" spans="1:8" ht="20.100000000000001" customHeight="1" x14ac:dyDescent="0.45">
      <c r="A596" s="456"/>
      <c r="B596" s="454"/>
      <c r="C596" s="454"/>
      <c r="D596" s="454"/>
      <c r="E596" s="454"/>
      <c r="F596" s="454"/>
      <c r="G596" s="454"/>
      <c r="H596" s="602"/>
    </row>
    <row r="597" spans="1:8" ht="20.100000000000001" customHeight="1" x14ac:dyDescent="0.45">
      <c r="A597" s="456"/>
      <c r="B597" s="454"/>
      <c r="C597" s="454"/>
      <c r="D597" s="454"/>
      <c r="E597" s="454"/>
      <c r="F597" s="454"/>
      <c r="G597" s="454"/>
      <c r="H597" s="602"/>
    </row>
    <row r="598" spans="1:8" ht="20.100000000000001" customHeight="1" x14ac:dyDescent="0.45">
      <c r="A598" s="456"/>
      <c r="B598" s="454"/>
      <c r="C598" s="454"/>
      <c r="D598" s="454"/>
      <c r="E598" s="454"/>
      <c r="F598" s="454"/>
      <c r="G598" s="454"/>
      <c r="H598" s="602"/>
    </row>
    <row r="599" spans="1:8" ht="20.100000000000001" customHeight="1" x14ac:dyDescent="0.45">
      <c r="A599" s="456"/>
      <c r="B599" s="454"/>
      <c r="C599" s="454"/>
      <c r="D599" s="454"/>
      <c r="E599" s="454"/>
      <c r="F599" s="454"/>
      <c r="G599" s="454"/>
      <c r="H599" s="602"/>
    </row>
    <row r="600" spans="1:8" ht="20.100000000000001" customHeight="1" x14ac:dyDescent="0.45">
      <c r="A600" s="456"/>
      <c r="B600" s="454"/>
      <c r="C600" s="454"/>
      <c r="D600" s="454"/>
      <c r="E600" s="454"/>
      <c r="F600" s="454"/>
      <c r="G600" s="454"/>
      <c r="H600" s="602"/>
    </row>
    <row r="601" spans="1:8" ht="20.100000000000001" customHeight="1" x14ac:dyDescent="0.45">
      <c r="A601" s="456"/>
      <c r="B601" s="454"/>
      <c r="C601" s="454"/>
      <c r="D601" s="454"/>
      <c r="E601" s="454"/>
      <c r="F601" s="454"/>
      <c r="G601" s="454"/>
      <c r="H601" s="602"/>
    </row>
    <row r="602" spans="1:8" ht="20.100000000000001" customHeight="1" x14ac:dyDescent="0.45">
      <c r="A602" s="456"/>
      <c r="B602" s="454"/>
      <c r="C602" s="454"/>
      <c r="D602" s="454"/>
      <c r="E602" s="454"/>
      <c r="F602" s="454"/>
      <c r="G602" s="454"/>
      <c r="H602" s="602"/>
    </row>
    <row r="603" spans="1:8" ht="20.100000000000001" customHeight="1" x14ac:dyDescent="0.45">
      <c r="A603" s="456"/>
      <c r="B603" s="454"/>
      <c r="C603" s="454"/>
      <c r="D603" s="454"/>
      <c r="E603" s="454"/>
      <c r="F603" s="454"/>
      <c r="G603" s="454"/>
      <c r="H603" s="602"/>
    </row>
    <row r="604" spans="1:8" ht="20.100000000000001" customHeight="1" x14ac:dyDescent="0.45">
      <c r="A604" s="456"/>
      <c r="B604" s="454"/>
      <c r="C604" s="454"/>
      <c r="D604" s="454"/>
      <c r="E604" s="454"/>
      <c r="F604" s="454"/>
      <c r="G604" s="454"/>
      <c r="H604" s="602"/>
    </row>
    <row r="605" spans="1:8" ht="20.100000000000001" customHeight="1" x14ac:dyDescent="0.45">
      <c r="A605" s="456"/>
      <c r="B605" s="454"/>
      <c r="C605" s="454"/>
      <c r="D605" s="454"/>
      <c r="E605" s="454"/>
      <c r="F605" s="454"/>
      <c r="G605" s="454"/>
      <c r="H605" s="602"/>
    </row>
    <row r="606" spans="1:8" ht="20.100000000000001" customHeight="1" x14ac:dyDescent="0.45">
      <c r="A606" s="456"/>
      <c r="B606" s="454"/>
      <c r="C606" s="454"/>
      <c r="D606" s="454"/>
      <c r="E606" s="454"/>
      <c r="F606" s="454"/>
      <c r="G606" s="454"/>
      <c r="H606" s="602"/>
    </row>
    <row r="607" spans="1:8" ht="20.100000000000001" customHeight="1" x14ac:dyDescent="0.45">
      <c r="A607" s="456"/>
      <c r="B607" s="454"/>
      <c r="C607" s="454"/>
      <c r="D607" s="454"/>
      <c r="E607" s="454"/>
      <c r="F607" s="454"/>
      <c r="G607" s="454"/>
      <c r="H607" s="602"/>
    </row>
    <row r="608" spans="1:8" ht="20.100000000000001" customHeight="1" x14ac:dyDescent="0.45">
      <c r="A608" s="456"/>
      <c r="B608" s="454"/>
      <c r="C608" s="454"/>
      <c r="D608" s="454"/>
      <c r="E608" s="454"/>
      <c r="F608" s="454"/>
      <c r="G608" s="454"/>
      <c r="H608" s="602"/>
    </row>
    <row r="609" spans="1:8" ht="20.100000000000001" customHeight="1" x14ac:dyDescent="0.45">
      <c r="A609" s="456"/>
      <c r="B609" s="454"/>
      <c r="C609" s="454"/>
      <c r="D609" s="454"/>
      <c r="E609" s="454"/>
      <c r="F609" s="454"/>
      <c r="G609" s="454"/>
      <c r="H609" s="602"/>
    </row>
    <row r="610" spans="1:8" ht="20.100000000000001" customHeight="1" x14ac:dyDescent="0.45">
      <c r="A610" s="456"/>
      <c r="B610" s="454"/>
      <c r="C610" s="454"/>
      <c r="D610" s="454"/>
      <c r="E610" s="454"/>
      <c r="F610" s="454"/>
      <c r="G610" s="454"/>
      <c r="H610" s="602"/>
    </row>
    <row r="611" spans="1:8" ht="20.100000000000001" customHeight="1" x14ac:dyDescent="0.45">
      <c r="A611" s="456"/>
      <c r="B611" s="454"/>
      <c r="C611" s="454"/>
      <c r="D611" s="454"/>
      <c r="E611" s="454"/>
      <c r="F611" s="454"/>
      <c r="G611" s="454"/>
      <c r="H611" s="602"/>
    </row>
    <row r="612" spans="1:8" ht="20.100000000000001" customHeight="1" x14ac:dyDescent="0.45">
      <c r="A612" s="456"/>
      <c r="B612" s="454"/>
      <c r="C612" s="454"/>
      <c r="D612" s="454"/>
      <c r="E612" s="454"/>
      <c r="F612" s="454"/>
      <c r="G612" s="454"/>
      <c r="H612" s="602"/>
    </row>
    <row r="613" spans="1:8" ht="20.100000000000001" customHeight="1" x14ac:dyDescent="0.45">
      <c r="A613" s="456"/>
      <c r="B613" s="454"/>
      <c r="C613" s="454"/>
      <c r="D613" s="454"/>
      <c r="E613" s="454"/>
      <c r="F613" s="454"/>
      <c r="G613" s="454"/>
      <c r="H613" s="602"/>
    </row>
    <row r="614" spans="1:8" ht="20.100000000000001" customHeight="1" x14ac:dyDescent="0.45">
      <c r="A614" s="456"/>
      <c r="B614" s="454"/>
      <c r="C614" s="454"/>
      <c r="D614" s="454"/>
      <c r="E614" s="454"/>
      <c r="F614" s="454"/>
      <c r="G614" s="454"/>
      <c r="H614" s="602"/>
    </row>
    <row r="615" spans="1:8" ht="20.100000000000001" customHeight="1" x14ac:dyDescent="0.45">
      <c r="A615" s="456"/>
      <c r="B615" s="454"/>
      <c r="C615" s="454"/>
      <c r="D615" s="454"/>
      <c r="E615" s="454"/>
      <c r="F615" s="454"/>
      <c r="G615" s="454"/>
      <c r="H615" s="602"/>
    </row>
    <row r="616" spans="1:8" ht="20.100000000000001" customHeight="1" x14ac:dyDescent="0.45">
      <c r="A616" s="456"/>
      <c r="B616" s="454"/>
      <c r="C616" s="454"/>
      <c r="D616" s="454"/>
      <c r="E616" s="454"/>
      <c r="F616" s="454"/>
      <c r="G616" s="454"/>
      <c r="H616" s="602"/>
    </row>
    <row r="617" spans="1:8" ht="20.100000000000001" customHeight="1" x14ac:dyDescent="0.45">
      <c r="A617" s="456"/>
      <c r="B617" s="454"/>
      <c r="C617" s="454"/>
      <c r="D617" s="454"/>
      <c r="E617" s="454"/>
      <c r="F617" s="454"/>
      <c r="G617" s="454"/>
      <c r="H617" s="602"/>
    </row>
    <row r="618" spans="1:8" ht="20.100000000000001" customHeight="1" x14ac:dyDescent="0.45">
      <c r="A618" s="456"/>
      <c r="B618" s="454"/>
      <c r="C618" s="454"/>
      <c r="D618" s="454"/>
      <c r="E618" s="454"/>
      <c r="F618" s="454"/>
      <c r="G618" s="454"/>
      <c r="H618" s="602"/>
    </row>
    <row r="619" spans="1:8" ht="20.100000000000001" customHeight="1" x14ac:dyDescent="0.45">
      <c r="A619" s="456"/>
      <c r="B619" s="454"/>
      <c r="C619" s="454"/>
      <c r="D619" s="454"/>
      <c r="E619" s="454"/>
      <c r="F619" s="454"/>
      <c r="G619" s="454"/>
      <c r="H619" s="602"/>
    </row>
    <row r="620" spans="1:8" ht="20.100000000000001" customHeight="1" x14ac:dyDescent="0.45">
      <c r="A620" s="456"/>
      <c r="B620" s="454"/>
      <c r="C620" s="454"/>
      <c r="D620" s="454"/>
      <c r="E620" s="454"/>
      <c r="F620" s="454"/>
      <c r="G620" s="454"/>
      <c r="H620" s="602"/>
    </row>
    <row r="621" spans="1:8" ht="20.100000000000001" customHeight="1" x14ac:dyDescent="0.45">
      <c r="A621" s="456"/>
      <c r="B621" s="454"/>
      <c r="C621" s="454"/>
      <c r="D621" s="454"/>
      <c r="E621" s="454"/>
      <c r="F621" s="454"/>
      <c r="G621" s="454"/>
      <c r="H621" s="602"/>
    </row>
    <row r="622" spans="1:8" ht="20.100000000000001" customHeight="1" x14ac:dyDescent="0.45">
      <c r="A622" s="456"/>
      <c r="B622" s="454"/>
      <c r="C622" s="454"/>
      <c r="D622" s="454"/>
      <c r="E622" s="454"/>
      <c r="F622" s="454"/>
      <c r="G622" s="454"/>
      <c r="H622" s="602"/>
    </row>
    <row r="623" spans="1:8" ht="20.100000000000001" customHeight="1" x14ac:dyDescent="0.45">
      <c r="A623" s="456"/>
      <c r="B623" s="454"/>
      <c r="C623" s="454"/>
      <c r="D623" s="454"/>
      <c r="E623" s="454"/>
      <c r="F623" s="454"/>
      <c r="G623" s="454"/>
      <c r="H623" s="602"/>
    </row>
    <row r="624" spans="1:8" ht="20.100000000000001" customHeight="1" x14ac:dyDescent="0.45">
      <c r="A624" s="456"/>
      <c r="B624" s="454"/>
      <c r="C624" s="454"/>
      <c r="D624" s="454"/>
      <c r="E624" s="454"/>
      <c r="F624" s="454"/>
      <c r="G624" s="454"/>
      <c r="H624" s="602"/>
    </row>
    <row r="625" spans="1:8" ht="20.100000000000001" customHeight="1" x14ac:dyDescent="0.45">
      <c r="A625" s="456"/>
      <c r="B625" s="454"/>
      <c r="C625" s="454"/>
      <c r="D625" s="454"/>
      <c r="E625" s="454"/>
      <c r="F625" s="454"/>
      <c r="G625" s="454"/>
      <c r="H625" s="602"/>
    </row>
    <row r="626" spans="1:8" ht="20.100000000000001" customHeight="1" x14ac:dyDescent="0.45">
      <c r="A626" s="456"/>
      <c r="B626" s="454"/>
      <c r="C626" s="454"/>
      <c r="D626" s="454"/>
      <c r="E626" s="454"/>
      <c r="F626" s="454"/>
      <c r="G626" s="454"/>
      <c r="H626" s="602"/>
    </row>
    <row r="627" spans="1:8" ht="20.100000000000001" customHeight="1" x14ac:dyDescent="0.45">
      <c r="A627" s="456"/>
      <c r="B627" s="454"/>
      <c r="C627" s="454"/>
      <c r="D627" s="454"/>
      <c r="E627" s="454"/>
      <c r="F627" s="454"/>
      <c r="G627" s="454"/>
      <c r="H627" s="602"/>
    </row>
    <row r="628" spans="1:8" ht="20.100000000000001" customHeight="1" x14ac:dyDescent="0.45">
      <c r="A628" s="456"/>
      <c r="B628" s="454"/>
      <c r="C628" s="454"/>
      <c r="D628" s="454"/>
      <c r="E628" s="454"/>
      <c r="F628" s="454"/>
      <c r="G628" s="454"/>
      <c r="H628" s="602"/>
    </row>
    <row r="629" spans="1:8" ht="20.100000000000001" customHeight="1" x14ac:dyDescent="0.45">
      <c r="A629" s="456"/>
      <c r="B629" s="454"/>
      <c r="C629" s="454"/>
      <c r="D629" s="454"/>
      <c r="E629" s="454"/>
      <c r="F629" s="454"/>
      <c r="G629" s="454"/>
      <c r="H629" s="602"/>
    </row>
    <row r="630" spans="1:8" ht="20.100000000000001" customHeight="1" x14ac:dyDescent="0.45">
      <c r="A630" s="456"/>
      <c r="B630" s="454"/>
      <c r="C630" s="454"/>
      <c r="D630" s="454"/>
      <c r="E630" s="454"/>
      <c r="F630" s="454"/>
      <c r="G630" s="454"/>
      <c r="H630" s="602"/>
    </row>
    <row r="631" spans="1:8" ht="20.100000000000001" customHeight="1" x14ac:dyDescent="0.45">
      <c r="A631" s="456"/>
      <c r="B631" s="454"/>
      <c r="C631" s="454"/>
      <c r="D631" s="454"/>
      <c r="E631" s="454"/>
      <c r="F631" s="454"/>
      <c r="G631" s="454"/>
      <c r="H631" s="602"/>
    </row>
    <row r="632" spans="1:8" ht="20.100000000000001" customHeight="1" x14ac:dyDescent="0.45">
      <c r="A632" s="456"/>
      <c r="B632" s="454"/>
      <c r="C632" s="454"/>
      <c r="D632" s="454"/>
      <c r="E632" s="454"/>
      <c r="F632" s="454"/>
      <c r="G632" s="454"/>
      <c r="H632" s="602"/>
    </row>
    <row r="633" spans="1:8" ht="20.100000000000001" customHeight="1" x14ac:dyDescent="0.45">
      <c r="A633" s="456"/>
      <c r="B633" s="454"/>
      <c r="C633" s="454"/>
      <c r="D633" s="454"/>
      <c r="E633" s="454"/>
      <c r="F633" s="454"/>
      <c r="G633" s="454"/>
      <c r="H633" s="602"/>
    </row>
    <row r="634" spans="1:8" ht="20.100000000000001" customHeight="1" x14ac:dyDescent="0.45">
      <c r="A634" s="456"/>
      <c r="B634" s="454"/>
      <c r="C634" s="454"/>
      <c r="D634" s="454"/>
      <c r="E634" s="454"/>
      <c r="F634" s="454"/>
      <c r="G634" s="454"/>
      <c r="H634" s="602"/>
    </row>
    <row r="635" spans="1:8" ht="20.100000000000001" customHeight="1" x14ac:dyDescent="0.45">
      <c r="A635" s="456"/>
      <c r="B635" s="454"/>
      <c r="C635" s="454"/>
      <c r="D635" s="454"/>
      <c r="E635" s="454"/>
      <c r="F635" s="454"/>
      <c r="G635" s="454"/>
      <c r="H635" s="602"/>
    </row>
    <row r="636" spans="1:8" ht="20.100000000000001" customHeight="1" x14ac:dyDescent="0.45">
      <c r="A636" s="456"/>
      <c r="B636" s="454"/>
      <c r="C636" s="454"/>
      <c r="D636" s="454"/>
      <c r="E636" s="454"/>
      <c r="F636" s="454"/>
      <c r="G636" s="454"/>
      <c r="H636" s="602"/>
    </row>
    <row r="637" spans="1:8" ht="20.100000000000001" customHeight="1" x14ac:dyDescent="0.45">
      <c r="A637" s="456"/>
      <c r="B637" s="454"/>
      <c r="C637" s="454"/>
      <c r="D637" s="454"/>
      <c r="E637" s="454"/>
      <c r="F637" s="454"/>
      <c r="G637" s="454"/>
      <c r="H637" s="602"/>
    </row>
    <row r="638" spans="1:8" ht="20.100000000000001" customHeight="1" x14ac:dyDescent="0.45">
      <c r="A638" s="456"/>
      <c r="B638" s="454"/>
      <c r="C638" s="454"/>
      <c r="D638" s="454"/>
      <c r="E638" s="454"/>
      <c r="F638" s="454"/>
      <c r="G638" s="454"/>
      <c r="H638" s="602"/>
    </row>
    <row r="639" spans="1:8" ht="20.100000000000001" customHeight="1" x14ac:dyDescent="0.45">
      <c r="A639" s="456"/>
      <c r="B639" s="454"/>
      <c r="C639" s="454"/>
      <c r="D639" s="454"/>
      <c r="E639" s="454"/>
      <c r="F639" s="454"/>
      <c r="G639" s="454"/>
      <c r="H639" s="602"/>
    </row>
    <row r="640" spans="1:8" ht="20.100000000000001" customHeight="1" x14ac:dyDescent="0.45">
      <c r="A640" s="456"/>
      <c r="B640" s="454"/>
      <c r="C640" s="454"/>
      <c r="D640" s="454"/>
      <c r="E640" s="454"/>
      <c r="F640" s="454"/>
      <c r="G640" s="454"/>
      <c r="H640" s="602"/>
    </row>
    <row r="641" spans="1:8" ht="20.100000000000001" customHeight="1" x14ac:dyDescent="0.45">
      <c r="A641" s="456"/>
      <c r="B641" s="454"/>
      <c r="C641" s="454"/>
      <c r="D641" s="454"/>
      <c r="E641" s="454"/>
      <c r="F641" s="454"/>
      <c r="G641" s="454"/>
      <c r="H641" s="602"/>
    </row>
    <row r="642" spans="1:8" ht="20.100000000000001" customHeight="1" x14ac:dyDescent="0.45">
      <c r="A642" s="456"/>
      <c r="B642" s="454"/>
      <c r="C642" s="454"/>
      <c r="D642" s="454"/>
      <c r="E642" s="454"/>
      <c r="F642" s="454"/>
      <c r="G642" s="454"/>
      <c r="H642" s="602"/>
    </row>
    <row r="643" spans="1:8" ht="20.100000000000001" customHeight="1" x14ac:dyDescent="0.45">
      <c r="A643" s="456"/>
      <c r="B643" s="454"/>
      <c r="C643" s="454"/>
      <c r="D643" s="454"/>
      <c r="E643" s="454"/>
      <c r="F643" s="454"/>
      <c r="G643" s="454"/>
      <c r="H643" s="602"/>
    </row>
    <row r="644" spans="1:8" ht="20.100000000000001" customHeight="1" x14ac:dyDescent="0.45">
      <c r="A644" s="456"/>
      <c r="B644" s="454"/>
      <c r="C644" s="454"/>
      <c r="D644" s="454"/>
      <c r="E644" s="454"/>
      <c r="F644" s="454"/>
      <c r="G644" s="454"/>
      <c r="H644" s="602"/>
    </row>
    <row r="645" spans="1:8" ht="20.100000000000001" customHeight="1" x14ac:dyDescent="0.45">
      <c r="A645" s="456"/>
      <c r="B645" s="454"/>
      <c r="C645" s="454"/>
      <c r="D645" s="454"/>
      <c r="E645" s="454"/>
      <c r="F645" s="454"/>
      <c r="G645" s="454"/>
      <c r="H645" s="602"/>
    </row>
    <row r="646" spans="1:8" ht="20.100000000000001" customHeight="1" x14ac:dyDescent="0.45">
      <c r="A646" s="456"/>
      <c r="B646" s="454"/>
      <c r="C646" s="454"/>
      <c r="D646" s="454"/>
      <c r="E646" s="454"/>
      <c r="F646" s="454"/>
      <c r="G646" s="454"/>
      <c r="H646" s="602"/>
    </row>
    <row r="647" spans="1:8" ht="20.100000000000001" customHeight="1" x14ac:dyDescent="0.45">
      <c r="A647" s="456"/>
      <c r="B647" s="454"/>
      <c r="C647" s="454"/>
      <c r="D647" s="454"/>
      <c r="E647" s="454"/>
      <c r="F647" s="454"/>
      <c r="G647" s="454"/>
      <c r="H647" s="602"/>
    </row>
    <row r="648" spans="1:8" ht="20.100000000000001" customHeight="1" x14ac:dyDescent="0.45">
      <c r="A648" s="456"/>
      <c r="B648" s="454"/>
      <c r="C648" s="454"/>
      <c r="D648" s="454"/>
      <c r="E648" s="454"/>
      <c r="F648" s="454"/>
      <c r="G648" s="454"/>
      <c r="H648" s="602"/>
    </row>
    <row r="649" spans="1:8" ht="20.100000000000001" customHeight="1" x14ac:dyDescent="0.45">
      <c r="A649" s="456"/>
      <c r="B649" s="454"/>
      <c r="C649" s="454"/>
      <c r="D649" s="454"/>
      <c r="E649" s="454"/>
      <c r="F649" s="454"/>
      <c r="G649" s="454"/>
      <c r="H649" s="602"/>
    </row>
    <row r="650" spans="1:8" ht="20.100000000000001" customHeight="1" x14ac:dyDescent="0.45">
      <c r="A650" s="456"/>
      <c r="B650" s="454"/>
      <c r="C650" s="454"/>
      <c r="D650" s="454"/>
      <c r="E650" s="454"/>
      <c r="F650" s="454"/>
      <c r="G650" s="454"/>
      <c r="H650" s="602"/>
    </row>
    <row r="651" spans="1:8" ht="20.100000000000001" customHeight="1" x14ac:dyDescent="0.45">
      <c r="A651" s="456"/>
      <c r="B651" s="454"/>
      <c r="C651" s="454"/>
      <c r="D651" s="454"/>
      <c r="E651" s="454"/>
      <c r="F651" s="454"/>
      <c r="G651" s="454"/>
      <c r="H651" s="602"/>
    </row>
    <row r="652" spans="1:8" ht="20.100000000000001" customHeight="1" x14ac:dyDescent="0.45">
      <c r="A652" s="456"/>
      <c r="B652" s="454"/>
      <c r="C652" s="454"/>
      <c r="D652" s="454"/>
      <c r="E652" s="454"/>
      <c r="F652" s="454"/>
      <c r="G652" s="454"/>
      <c r="H652" s="602"/>
    </row>
    <row r="653" spans="1:8" ht="20.100000000000001" customHeight="1" x14ac:dyDescent="0.45">
      <c r="A653" s="456"/>
      <c r="B653" s="454"/>
      <c r="C653" s="454"/>
      <c r="D653" s="454"/>
      <c r="E653" s="454"/>
      <c r="F653" s="454"/>
      <c r="G653" s="454"/>
      <c r="H653" s="602"/>
    </row>
    <row r="654" spans="1:8" ht="20.100000000000001" customHeight="1" x14ac:dyDescent="0.45">
      <c r="A654" s="456"/>
      <c r="B654" s="454"/>
      <c r="C654" s="454"/>
      <c r="D654" s="454"/>
      <c r="E654" s="454"/>
      <c r="F654" s="454"/>
      <c r="G654" s="454"/>
      <c r="H654" s="602"/>
    </row>
    <row r="655" spans="1:8" ht="20.100000000000001" customHeight="1" x14ac:dyDescent="0.45">
      <c r="A655" s="456"/>
      <c r="B655" s="454"/>
      <c r="C655" s="454"/>
      <c r="D655" s="454"/>
      <c r="E655" s="454"/>
      <c r="F655" s="454"/>
      <c r="G655" s="454"/>
      <c r="H655" s="602"/>
    </row>
    <row r="656" spans="1:8" ht="20.100000000000001" customHeight="1" x14ac:dyDescent="0.45">
      <c r="A656" s="456"/>
      <c r="B656" s="454"/>
      <c r="C656" s="454"/>
      <c r="D656" s="454"/>
      <c r="E656" s="454"/>
      <c r="F656" s="454"/>
      <c r="G656" s="454"/>
      <c r="H656" s="602"/>
    </row>
    <row r="657" spans="1:8" ht="20.100000000000001" customHeight="1" x14ac:dyDescent="0.45">
      <c r="A657" s="456"/>
      <c r="B657" s="454"/>
      <c r="C657" s="454"/>
      <c r="D657" s="454"/>
      <c r="E657" s="454"/>
      <c r="F657" s="454"/>
      <c r="G657" s="454"/>
      <c r="H657" s="602"/>
    </row>
    <row r="658" spans="1:8" ht="20.100000000000001" customHeight="1" x14ac:dyDescent="0.45">
      <c r="A658" s="456"/>
      <c r="B658" s="454"/>
      <c r="C658" s="454"/>
      <c r="D658" s="454"/>
      <c r="E658" s="454"/>
      <c r="F658" s="454"/>
      <c r="G658" s="454"/>
      <c r="H658" s="602"/>
    </row>
    <row r="659" spans="1:8" ht="20.100000000000001" customHeight="1" x14ac:dyDescent="0.45">
      <c r="A659" s="456"/>
      <c r="B659" s="454"/>
      <c r="C659" s="454"/>
      <c r="D659" s="454"/>
      <c r="E659" s="454"/>
      <c r="F659" s="454"/>
      <c r="G659" s="454"/>
      <c r="H659" s="602"/>
    </row>
    <row r="660" spans="1:8" ht="20.100000000000001" customHeight="1" x14ac:dyDescent="0.45">
      <c r="A660" s="456"/>
      <c r="B660" s="454"/>
      <c r="C660" s="454"/>
      <c r="D660" s="454"/>
      <c r="E660" s="454"/>
      <c r="F660" s="454"/>
      <c r="G660" s="454"/>
      <c r="H660" s="602"/>
    </row>
    <row r="661" spans="1:8" ht="20.100000000000001" customHeight="1" x14ac:dyDescent="0.45">
      <c r="A661" s="456"/>
      <c r="B661" s="454"/>
      <c r="C661" s="454"/>
      <c r="D661" s="454"/>
      <c r="E661" s="454"/>
      <c r="F661" s="454"/>
      <c r="G661" s="454"/>
      <c r="H661" s="602"/>
    </row>
    <row r="662" spans="1:8" ht="20.100000000000001" customHeight="1" x14ac:dyDescent="0.45">
      <c r="A662" s="456"/>
      <c r="B662" s="454"/>
      <c r="C662" s="454"/>
      <c r="D662" s="454"/>
      <c r="E662" s="454"/>
      <c r="F662" s="454"/>
      <c r="G662" s="454"/>
      <c r="H662" s="602"/>
    </row>
    <row r="663" spans="1:8" ht="20.100000000000001" customHeight="1" x14ac:dyDescent="0.45">
      <c r="A663" s="456"/>
      <c r="B663" s="454"/>
      <c r="C663" s="454"/>
      <c r="D663" s="454"/>
      <c r="E663" s="454"/>
      <c r="F663" s="454"/>
      <c r="G663" s="454"/>
      <c r="H663" s="602"/>
    </row>
    <row r="664" spans="1:8" ht="20.100000000000001" customHeight="1" x14ac:dyDescent="0.45">
      <c r="A664" s="456"/>
      <c r="B664" s="454"/>
      <c r="C664" s="454"/>
      <c r="D664" s="454"/>
      <c r="E664" s="454"/>
      <c r="F664" s="454"/>
      <c r="G664" s="454"/>
      <c r="H664" s="602"/>
    </row>
    <row r="665" spans="1:8" ht="20.100000000000001" customHeight="1" x14ac:dyDescent="0.45">
      <c r="A665" s="456"/>
      <c r="B665" s="454"/>
      <c r="C665" s="454"/>
      <c r="D665" s="454"/>
      <c r="E665" s="454"/>
      <c r="F665" s="454"/>
      <c r="G665" s="454"/>
      <c r="H665" s="602"/>
    </row>
    <row r="666" spans="1:8" ht="20.100000000000001" customHeight="1" x14ac:dyDescent="0.45">
      <c r="A666" s="456"/>
      <c r="B666" s="454"/>
      <c r="C666" s="454"/>
      <c r="D666" s="454"/>
      <c r="E666" s="454"/>
      <c r="F666" s="454"/>
      <c r="G666" s="454"/>
      <c r="H666" s="602"/>
    </row>
    <row r="667" spans="1:8" ht="20.100000000000001" customHeight="1" x14ac:dyDescent="0.45">
      <c r="A667" s="456"/>
      <c r="B667" s="454"/>
      <c r="C667" s="454"/>
      <c r="D667" s="454"/>
      <c r="E667" s="454"/>
      <c r="F667" s="454"/>
      <c r="G667" s="454"/>
      <c r="H667" s="602"/>
    </row>
    <row r="668" spans="1:8" ht="20.100000000000001" customHeight="1" x14ac:dyDescent="0.45">
      <c r="A668" s="456"/>
      <c r="B668" s="454"/>
      <c r="C668" s="454"/>
      <c r="D668" s="454"/>
      <c r="E668" s="454"/>
      <c r="F668" s="454"/>
      <c r="G668" s="454"/>
      <c r="H668" s="602"/>
    </row>
    <row r="669" spans="1:8" ht="20.100000000000001" customHeight="1" x14ac:dyDescent="0.45">
      <c r="A669" s="456"/>
      <c r="B669" s="454"/>
      <c r="C669" s="454"/>
      <c r="D669" s="454"/>
      <c r="E669" s="454"/>
      <c r="F669" s="454"/>
      <c r="G669" s="454"/>
      <c r="H669" s="602"/>
    </row>
    <row r="670" spans="1:8" ht="20.100000000000001" customHeight="1" x14ac:dyDescent="0.45">
      <c r="A670" s="456"/>
      <c r="B670" s="454"/>
      <c r="C670" s="454"/>
      <c r="D670" s="454"/>
      <c r="E670" s="454"/>
      <c r="F670" s="454"/>
      <c r="G670" s="454"/>
      <c r="H670" s="602"/>
    </row>
    <row r="671" spans="1:8" ht="20.100000000000001" customHeight="1" x14ac:dyDescent="0.45">
      <c r="A671" s="456"/>
      <c r="B671" s="454"/>
      <c r="C671" s="454"/>
      <c r="D671" s="454"/>
      <c r="E671" s="454"/>
      <c r="F671" s="454"/>
      <c r="G671" s="454"/>
      <c r="H671" s="602"/>
    </row>
    <row r="672" spans="1:8" ht="20.100000000000001" customHeight="1" x14ac:dyDescent="0.45">
      <c r="A672" s="456"/>
      <c r="B672" s="454"/>
      <c r="C672" s="454"/>
      <c r="D672" s="454"/>
      <c r="E672" s="454"/>
      <c r="F672" s="454"/>
      <c r="G672" s="454"/>
      <c r="H672" s="602"/>
    </row>
    <row r="673" spans="1:8" ht="20.100000000000001" customHeight="1" x14ac:dyDescent="0.45">
      <c r="A673" s="456"/>
      <c r="B673" s="454"/>
      <c r="C673" s="454"/>
      <c r="D673" s="454"/>
      <c r="E673" s="454"/>
      <c r="F673" s="454"/>
      <c r="G673" s="454"/>
      <c r="H673" s="602"/>
    </row>
    <row r="674" spans="1:8" ht="20.100000000000001" customHeight="1" x14ac:dyDescent="0.45">
      <c r="A674" s="456"/>
      <c r="B674" s="454"/>
      <c r="C674" s="454"/>
      <c r="D674" s="454"/>
      <c r="E674" s="454"/>
      <c r="F674" s="454"/>
      <c r="G674" s="454"/>
      <c r="H674" s="602"/>
    </row>
    <row r="675" spans="1:8" ht="20.100000000000001" customHeight="1" x14ac:dyDescent="0.45">
      <c r="A675" s="456"/>
      <c r="B675" s="454"/>
      <c r="C675" s="454"/>
      <c r="D675" s="454"/>
      <c r="E675" s="454"/>
      <c r="F675" s="454"/>
      <c r="G675" s="454"/>
      <c r="H675" s="602"/>
    </row>
    <row r="676" spans="1:8" ht="20.100000000000001" customHeight="1" x14ac:dyDescent="0.45">
      <c r="A676" s="456"/>
      <c r="B676" s="454"/>
      <c r="C676" s="454"/>
      <c r="D676" s="454"/>
      <c r="E676" s="454"/>
      <c r="F676" s="454"/>
      <c r="G676" s="454"/>
      <c r="H676" s="602"/>
    </row>
    <row r="677" spans="1:8" ht="20.100000000000001" customHeight="1" x14ac:dyDescent="0.45">
      <c r="A677" s="456"/>
      <c r="B677" s="454"/>
      <c r="C677" s="454"/>
      <c r="D677" s="454"/>
      <c r="E677" s="454"/>
      <c r="F677" s="454"/>
      <c r="G677" s="454"/>
      <c r="H677" s="602"/>
    </row>
    <row r="678" spans="1:8" ht="20.100000000000001" customHeight="1" x14ac:dyDescent="0.45">
      <c r="A678" s="456"/>
      <c r="B678" s="454"/>
      <c r="C678" s="454"/>
      <c r="D678" s="454"/>
      <c r="E678" s="454"/>
      <c r="F678" s="454"/>
      <c r="G678" s="454"/>
      <c r="H678" s="602"/>
    </row>
    <row r="679" spans="1:8" ht="20.100000000000001" customHeight="1" x14ac:dyDescent="0.45">
      <c r="A679" s="456"/>
      <c r="B679" s="454"/>
      <c r="C679" s="454"/>
      <c r="D679" s="454"/>
      <c r="E679" s="454"/>
      <c r="F679" s="454"/>
      <c r="G679" s="454"/>
      <c r="H679" s="602"/>
    </row>
    <row r="680" spans="1:8" ht="20.100000000000001" customHeight="1" x14ac:dyDescent="0.45">
      <c r="A680" s="456"/>
      <c r="B680" s="454"/>
      <c r="C680" s="454"/>
      <c r="D680" s="454"/>
      <c r="E680" s="454"/>
      <c r="F680" s="454"/>
      <c r="G680" s="454"/>
      <c r="H680" s="602"/>
    </row>
    <row r="681" spans="1:8" ht="20.100000000000001" customHeight="1" x14ac:dyDescent="0.45">
      <c r="A681" s="456"/>
      <c r="B681" s="454"/>
      <c r="C681" s="454"/>
      <c r="D681" s="454"/>
      <c r="E681" s="454"/>
      <c r="F681" s="454"/>
      <c r="G681" s="454"/>
      <c r="H681" s="602"/>
    </row>
    <row r="682" spans="1:8" ht="20.100000000000001" customHeight="1" x14ac:dyDescent="0.45">
      <c r="A682" s="456"/>
      <c r="B682" s="454"/>
      <c r="C682" s="454"/>
      <c r="D682" s="454"/>
      <c r="E682" s="454"/>
      <c r="F682" s="454"/>
      <c r="G682" s="454"/>
      <c r="H682" s="602"/>
    </row>
    <row r="683" spans="1:8" ht="20.100000000000001" customHeight="1" x14ac:dyDescent="0.45">
      <c r="A683" s="456"/>
      <c r="B683" s="454"/>
      <c r="C683" s="454"/>
      <c r="D683" s="454"/>
      <c r="E683" s="454"/>
      <c r="F683" s="454"/>
      <c r="G683" s="454"/>
      <c r="H683" s="602"/>
    </row>
    <row r="684" spans="1:8" ht="20.100000000000001" customHeight="1" x14ac:dyDescent="0.45">
      <c r="A684" s="456"/>
      <c r="B684" s="454"/>
      <c r="C684" s="454"/>
      <c r="D684" s="454"/>
      <c r="E684" s="454"/>
      <c r="F684" s="454"/>
      <c r="G684" s="454"/>
      <c r="H684" s="602"/>
    </row>
    <row r="685" spans="1:8" ht="20.100000000000001" customHeight="1" x14ac:dyDescent="0.45">
      <c r="A685" s="456"/>
      <c r="B685" s="454"/>
      <c r="C685" s="454"/>
      <c r="D685" s="454"/>
      <c r="E685" s="454"/>
      <c r="F685" s="454"/>
      <c r="G685" s="454"/>
      <c r="H685" s="602"/>
    </row>
    <row r="686" spans="1:8" ht="20.100000000000001" customHeight="1" x14ac:dyDescent="0.45">
      <c r="A686" s="456"/>
      <c r="B686" s="454"/>
      <c r="C686" s="454"/>
      <c r="D686" s="454"/>
      <c r="E686" s="454"/>
      <c r="F686" s="454"/>
      <c r="G686" s="454"/>
      <c r="H686" s="602"/>
    </row>
    <row r="687" spans="1:8" ht="20.100000000000001" customHeight="1" x14ac:dyDescent="0.45">
      <c r="A687" s="456"/>
      <c r="B687" s="454"/>
      <c r="C687" s="454"/>
      <c r="D687" s="454"/>
      <c r="E687" s="454"/>
      <c r="F687" s="454"/>
      <c r="G687" s="454"/>
      <c r="H687" s="602"/>
    </row>
    <row r="688" spans="1:8" ht="20.100000000000001" customHeight="1" x14ac:dyDescent="0.45">
      <c r="A688" s="456"/>
      <c r="B688" s="454"/>
      <c r="C688" s="454"/>
      <c r="D688" s="454"/>
      <c r="E688" s="454"/>
      <c r="F688" s="454"/>
      <c r="G688" s="454"/>
      <c r="H688" s="602"/>
    </row>
    <row r="689" spans="1:8" ht="20.100000000000001" customHeight="1" x14ac:dyDescent="0.45">
      <c r="A689" s="456"/>
      <c r="B689" s="454"/>
      <c r="C689" s="454"/>
      <c r="D689" s="454"/>
      <c r="E689" s="454"/>
      <c r="F689" s="454"/>
      <c r="G689" s="454"/>
      <c r="H689" s="602"/>
    </row>
    <row r="690" spans="1:8" ht="20.100000000000001" customHeight="1" x14ac:dyDescent="0.45">
      <c r="A690" s="456"/>
      <c r="B690" s="454"/>
      <c r="C690" s="454"/>
      <c r="D690" s="454"/>
      <c r="E690" s="454"/>
      <c r="F690" s="454"/>
      <c r="G690" s="454"/>
      <c r="H690" s="602"/>
    </row>
    <row r="691" spans="1:8" ht="20.100000000000001" customHeight="1" x14ac:dyDescent="0.45">
      <c r="A691" s="456"/>
      <c r="B691" s="454"/>
      <c r="C691" s="454"/>
      <c r="D691" s="454"/>
      <c r="E691" s="454"/>
      <c r="F691" s="454"/>
      <c r="G691" s="454"/>
      <c r="H691" s="602"/>
    </row>
    <row r="692" spans="1:8" ht="20.100000000000001" customHeight="1" x14ac:dyDescent="0.45">
      <c r="A692" s="456"/>
      <c r="B692" s="454"/>
      <c r="C692" s="454"/>
      <c r="D692" s="454"/>
      <c r="E692" s="454"/>
      <c r="F692" s="454"/>
      <c r="G692" s="454"/>
      <c r="H692" s="602"/>
    </row>
    <row r="693" spans="1:8" ht="20.100000000000001" customHeight="1" x14ac:dyDescent="0.45">
      <c r="A693" s="456"/>
      <c r="B693" s="454"/>
      <c r="C693" s="454"/>
      <c r="D693" s="454"/>
      <c r="E693" s="454"/>
      <c r="F693" s="454"/>
      <c r="G693" s="454"/>
      <c r="H693" s="602"/>
    </row>
    <row r="694" spans="1:8" ht="20.100000000000001" customHeight="1" x14ac:dyDescent="0.45">
      <c r="A694" s="456"/>
      <c r="B694" s="454"/>
      <c r="C694" s="454"/>
      <c r="D694" s="454"/>
      <c r="E694" s="454"/>
      <c r="F694" s="454"/>
      <c r="G694" s="454"/>
      <c r="H694" s="602"/>
    </row>
    <row r="695" spans="1:8" ht="20.100000000000001" customHeight="1" x14ac:dyDescent="0.45">
      <c r="A695" s="456"/>
      <c r="B695" s="454"/>
      <c r="C695" s="454"/>
      <c r="D695" s="454"/>
      <c r="E695" s="454"/>
      <c r="F695" s="454"/>
      <c r="G695" s="454"/>
      <c r="H695" s="602"/>
    </row>
    <row r="696" spans="1:8" ht="20.100000000000001" customHeight="1" x14ac:dyDescent="0.45">
      <c r="A696" s="456"/>
      <c r="B696" s="454"/>
      <c r="C696" s="454"/>
      <c r="D696" s="454"/>
      <c r="E696" s="454"/>
      <c r="F696" s="454"/>
      <c r="G696" s="454"/>
      <c r="H696" s="602"/>
    </row>
    <row r="697" spans="1:8" ht="20.100000000000001" customHeight="1" x14ac:dyDescent="0.45">
      <c r="A697" s="456"/>
      <c r="B697" s="454"/>
      <c r="C697" s="454"/>
      <c r="D697" s="454"/>
      <c r="E697" s="454"/>
      <c r="F697" s="454"/>
      <c r="G697" s="454"/>
      <c r="H697" s="602"/>
    </row>
    <row r="698" spans="1:8" ht="20.100000000000001" customHeight="1" x14ac:dyDescent="0.45">
      <c r="A698" s="456"/>
      <c r="B698" s="454"/>
      <c r="C698" s="454"/>
      <c r="D698" s="454"/>
      <c r="E698" s="454"/>
      <c r="F698" s="454"/>
      <c r="G698" s="454"/>
      <c r="H698" s="602"/>
    </row>
    <row r="699" spans="1:8" ht="20.100000000000001" customHeight="1" x14ac:dyDescent="0.45">
      <c r="A699" s="456"/>
      <c r="B699" s="454"/>
      <c r="C699" s="454"/>
      <c r="D699" s="454"/>
      <c r="E699" s="454"/>
      <c r="F699" s="454"/>
      <c r="G699" s="454"/>
      <c r="H699" s="602"/>
    </row>
    <row r="700" spans="1:8" ht="20.100000000000001" customHeight="1" x14ac:dyDescent="0.45">
      <c r="A700" s="456"/>
      <c r="B700" s="454"/>
      <c r="C700" s="454"/>
      <c r="D700" s="454"/>
      <c r="E700" s="454"/>
      <c r="F700" s="454"/>
      <c r="G700" s="454"/>
      <c r="H700" s="602"/>
    </row>
    <row r="701" spans="1:8" ht="20.100000000000001" customHeight="1" x14ac:dyDescent="0.45">
      <c r="A701" s="456"/>
      <c r="B701" s="454"/>
      <c r="C701" s="454"/>
      <c r="D701" s="454"/>
      <c r="E701" s="454"/>
      <c r="F701" s="454"/>
      <c r="G701" s="454"/>
      <c r="H701" s="602"/>
    </row>
    <row r="702" spans="1:8" ht="20.100000000000001" customHeight="1" x14ac:dyDescent="0.45">
      <c r="A702" s="456"/>
      <c r="B702" s="454"/>
      <c r="C702" s="454"/>
      <c r="D702" s="454"/>
      <c r="E702" s="454"/>
      <c r="F702" s="454"/>
      <c r="G702" s="454"/>
      <c r="H702" s="602"/>
    </row>
    <row r="703" spans="1:8" ht="20.100000000000001" customHeight="1" x14ac:dyDescent="0.45">
      <c r="A703" s="456"/>
      <c r="B703" s="454"/>
      <c r="C703" s="454"/>
      <c r="D703" s="454"/>
      <c r="E703" s="454"/>
      <c r="F703" s="454"/>
      <c r="G703" s="454"/>
      <c r="H703" s="602"/>
    </row>
    <row r="704" spans="1:8" ht="20.100000000000001" customHeight="1" x14ac:dyDescent="0.45">
      <c r="A704" s="456"/>
      <c r="B704" s="454"/>
      <c r="C704" s="454"/>
      <c r="D704" s="454"/>
      <c r="E704" s="454"/>
      <c r="F704" s="454"/>
      <c r="G704" s="454"/>
      <c r="H704" s="602"/>
    </row>
    <row r="705" spans="1:8" ht="20.100000000000001" customHeight="1" x14ac:dyDescent="0.45">
      <c r="A705" s="456"/>
      <c r="B705" s="454"/>
      <c r="C705" s="454"/>
      <c r="D705" s="454"/>
      <c r="E705" s="454"/>
      <c r="F705" s="454"/>
      <c r="G705" s="454"/>
      <c r="H705" s="602"/>
    </row>
    <row r="706" spans="1:8" ht="20.100000000000001" customHeight="1" x14ac:dyDescent="0.45">
      <c r="A706" s="456"/>
      <c r="B706" s="454"/>
      <c r="C706" s="454"/>
      <c r="D706" s="454"/>
      <c r="E706" s="454"/>
      <c r="F706" s="454"/>
      <c r="G706" s="454"/>
      <c r="H706" s="602"/>
    </row>
    <row r="707" spans="1:8" ht="20.100000000000001" customHeight="1" x14ac:dyDescent="0.45">
      <c r="A707" s="456"/>
      <c r="B707" s="454"/>
      <c r="C707" s="454"/>
      <c r="D707" s="454"/>
      <c r="E707" s="454"/>
      <c r="F707" s="454"/>
      <c r="G707" s="454"/>
      <c r="H707" s="602"/>
    </row>
    <row r="708" spans="1:8" ht="20.100000000000001" customHeight="1" x14ac:dyDescent="0.45">
      <c r="A708" s="456"/>
      <c r="B708" s="454"/>
      <c r="C708" s="454"/>
      <c r="D708" s="454"/>
      <c r="E708" s="454"/>
      <c r="F708" s="454"/>
      <c r="G708" s="454"/>
      <c r="H708" s="602"/>
    </row>
    <row r="709" spans="1:8" ht="20.100000000000001" customHeight="1" x14ac:dyDescent="0.45">
      <c r="A709" s="456"/>
      <c r="B709" s="454"/>
      <c r="C709" s="454"/>
      <c r="D709" s="454"/>
      <c r="E709" s="454"/>
      <c r="F709" s="454"/>
      <c r="G709" s="454"/>
      <c r="H709" s="602"/>
    </row>
    <row r="710" spans="1:8" ht="20.100000000000001" customHeight="1" x14ac:dyDescent="0.45">
      <c r="A710" s="456"/>
      <c r="B710" s="454"/>
      <c r="C710" s="454"/>
      <c r="D710" s="454"/>
      <c r="E710" s="454"/>
      <c r="F710" s="454"/>
      <c r="G710" s="454"/>
      <c r="H710" s="602"/>
    </row>
    <row r="711" spans="1:8" ht="20.100000000000001" customHeight="1" x14ac:dyDescent="0.45">
      <c r="A711" s="456"/>
      <c r="B711" s="454"/>
      <c r="C711" s="454"/>
      <c r="D711" s="454"/>
      <c r="E711" s="454"/>
      <c r="F711" s="454"/>
      <c r="G711" s="454"/>
      <c r="H711" s="602"/>
    </row>
    <row r="712" spans="1:8" ht="20.100000000000001" customHeight="1" x14ac:dyDescent="0.45">
      <c r="A712" s="456"/>
      <c r="B712" s="454"/>
      <c r="C712" s="454"/>
      <c r="D712" s="454"/>
      <c r="E712" s="454"/>
      <c r="F712" s="454"/>
      <c r="G712" s="454"/>
      <c r="H712" s="602"/>
    </row>
    <row r="713" spans="1:8" ht="20.100000000000001" customHeight="1" x14ac:dyDescent="0.45">
      <c r="A713" s="456"/>
      <c r="B713" s="454"/>
      <c r="C713" s="454"/>
      <c r="D713" s="454"/>
      <c r="E713" s="454"/>
      <c r="F713" s="454"/>
      <c r="G713" s="454"/>
      <c r="H713" s="602"/>
    </row>
    <row r="714" spans="1:8" ht="20.100000000000001" customHeight="1" x14ac:dyDescent="0.45">
      <c r="A714" s="456"/>
      <c r="B714" s="454"/>
      <c r="C714" s="454"/>
      <c r="D714" s="454"/>
      <c r="E714" s="454"/>
      <c r="F714" s="454"/>
      <c r="G714" s="454"/>
      <c r="H714" s="602"/>
    </row>
    <row r="715" spans="1:8" ht="20.100000000000001" customHeight="1" x14ac:dyDescent="0.45">
      <c r="A715" s="456"/>
      <c r="B715" s="454"/>
      <c r="C715" s="454"/>
      <c r="D715" s="454"/>
      <c r="E715" s="454"/>
      <c r="F715" s="454"/>
      <c r="G715" s="454"/>
      <c r="H715" s="602"/>
    </row>
    <row r="716" spans="1:8" ht="20.100000000000001" customHeight="1" x14ac:dyDescent="0.45">
      <c r="A716" s="456"/>
      <c r="B716" s="454"/>
      <c r="C716" s="454"/>
      <c r="D716" s="454"/>
      <c r="E716" s="454"/>
      <c r="F716" s="454"/>
      <c r="G716" s="454"/>
      <c r="H716" s="602"/>
    </row>
    <row r="717" spans="1:8" ht="20.100000000000001" customHeight="1" x14ac:dyDescent="0.45">
      <c r="A717" s="456"/>
      <c r="B717" s="454"/>
      <c r="C717" s="454"/>
      <c r="D717" s="454"/>
      <c r="E717" s="454"/>
      <c r="F717" s="454"/>
      <c r="G717" s="454"/>
      <c r="H717" s="602"/>
    </row>
    <row r="718" spans="1:8" ht="20.100000000000001" customHeight="1" x14ac:dyDescent="0.45">
      <c r="A718" s="456"/>
      <c r="B718" s="454"/>
      <c r="C718" s="454"/>
      <c r="D718" s="454"/>
      <c r="E718" s="454"/>
      <c r="F718" s="454"/>
      <c r="G718" s="454"/>
      <c r="H718" s="602"/>
    </row>
    <row r="719" spans="1:8" ht="20.100000000000001" customHeight="1" x14ac:dyDescent="0.45">
      <c r="A719" s="456"/>
      <c r="B719" s="454"/>
      <c r="C719" s="454"/>
      <c r="D719" s="454"/>
      <c r="E719" s="454"/>
      <c r="F719" s="454"/>
      <c r="G719" s="454"/>
      <c r="H719" s="602"/>
    </row>
    <row r="720" spans="1:8" ht="20.100000000000001" customHeight="1" x14ac:dyDescent="0.45">
      <c r="A720" s="456"/>
      <c r="B720" s="454"/>
      <c r="C720" s="454"/>
      <c r="D720" s="454"/>
      <c r="E720" s="454"/>
      <c r="F720" s="454"/>
      <c r="G720" s="454"/>
      <c r="H720" s="602"/>
    </row>
    <row r="721" spans="1:8" ht="20.100000000000001" customHeight="1" x14ac:dyDescent="0.45">
      <c r="A721" s="456"/>
      <c r="B721" s="454"/>
      <c r="C721" s="454"/>
      <c r="D721" s="454"/>
      <c r="E721" s="454"/>
      <c r="F721" s="454"/>
      <c r="G721" s="454"/>
      <c r="H721" s="602"/>
    </row>
    <row r="722" spans="1:8" ht="20.100000000000001" customHeight="1" x14ac:dyDescent="0.45">
      <c r="A722" s="456"/>
      <c r="B722" s="454"/>
      <c r="C722" s="454"/>
      <c r="D722" s="454"/>
      <c r="E722" s="454"/>
      <c r="F722" s="454"/>
      <c r="G722" s="454"/>
      <c r="H722" s="602"/>
    </row>
    <row r="723" spans="1:8" ht="20.100000000000001" customHeight="1" x14ac:dyDescent="0.45">
      <c r="A723" s="456"/>
      <c r="B723" s="454"/>
      <c r="C723" s="454"/>
      <c r="D723" s="454"/>
      <c r="E723" s="454"/>
      <c r="F723" s="454"/>
      <c r="G723" s="454"/>
      <c r="H723" s="602"/>
    </row>
    <row r="724" spans="1:8" ht="20.100000000000001" customHeight="1" x14ac:dyDescent="0.45">
      <c r="A724" s="456"/>
      <c r="B724" s="454"/>
      <c r="C724" s="454"/>
      <c r="D724" s="454"/>
      <c r="E724" s="454"/>
      <c r="F724" s="454"/>
      <c r="G724" s="454"/>
      <c r="H724" s="602"/>
    </row>
    <row r="725" spans="1:8" ht="20.100000000000001" customHeight="1" x14ac:dyDescent="0.45">
      <c r="A725" s="456"/>
      <c r="B725" s="454"/>
      <c r="C725" s="454"/>
      <c r="D725" s="454"/>
      <c r="E725" s="454"/>
      <c r="F725" s="454"/>
      <c r="G725" s="454"/>
      <c r="H725" s="602"/>
    </row>
    <row r="726" spans="1:8" ht="20.100000000000001" customHeight="1" x14ac:dyDescent="0.45">
      <c r="A726" s="456"/>
      <c r="B726" s="454"/>
      <c r="C726" s="454"/>
      <c r="D726" s="454"/>
      <c r="E726" s="454"/>
      <c r="F726" s="454"/>
      <c r="G726" s="454"/>
      <c r="H726" s="602"/>
    </row>
    <row r="727" spans="1:8" ht="20.100000000000001" customHeight="1" x14ac:dyDescent="0.45">
      <c r="A727" s="456"/>
      <c r="B727" s="454"/>
      <c r="C727" s="454"/>
      <c r="D727" s="454"/>
      <c r="E727" s="454"/>
      <c r="F727" s="454"/>
      <c r="G727" s="454"/>
      <c r="H727" s="602"/>
    </row>
    <row r="728" spans="1:8" ht="20.100000000000001" customHeight="1" x14ac:dyDescent="0.45">
      <c r="A728" s="456"/>
      <c r="B728" s="454"/>
      <c r="C728" s="454"/>
      <c r="D728" s="454"/>
      <c r="E728" s="454"/>
      <c r="F728" s="454"/>
      <c r="G728" s="454"/>
      <c r="H728" s="602"/>
    </row>
    <row r="729" spans="1:8" ht="20.100000000000001" customHeight="1" x14ac:dyDescent="0.45">
      <c r="A729" s="456"/>
      <c r="B729" s="454"/>
      <c r="C729" s="454"/>
      <c r="D729" s="454"/>
      <c r="E729" s="454"/>
      <c r="F729" s="454"/>
      <c r="G729" s="454"/>
      <c r="H729" s="602"/>
    </row>
    <row r="730" spans="1:8" ht="20.100000000000001" customHeight="1" x14ac:dyDescent="0.45">
      <c r="A730" s="456"/>
      <c r="B730" s="454"/>
      <c r="C730" s="454"/>
      <c r="D730" s="454"/>
      <c r="E730" s="454"/>
      <c r="F730" s="454"/>
      <c r="G730" s="454"/>
      <c r="H730" s="602"/>
    </row>
    <row r="731" spans="1:8" ht="20.100000000000001" customHeight="1" x14ac:dyDescent="0.45">
      <c r="A731" s="456"/>
      <c r="B731" s="454"/>
      <c r="C731" s="454"/>
      <c r="D731" s="454"/>
      <c r="E731" s="454"/>
      <c r="F731" s="454"/>
      <c r="G731" s="454"/>
      <c r="H731" s="602"/>
    </row>
    <row r="732" spans="1:8" ht="20.100000000000001" customHeight="1" x14ac:dyDescent="0.45">
      <c r="A732" s="456"/>
      <c r="B732" s="454"/>
      <c r="C732" s="454"/>
      <c r="D732" s="454"/>
      <c r="E732" s="454"/>
      <c r="F732" s="454"/>
      <c r="G732" s="454"/>
      <c r="H732" s="602"/>
    </row>
    <row r="733" spans="1:8" ht="20.100000000000001" customHeight="1" x14ac:dyDescent="0.45">
      <c r="A733" s="456"/>
      <c r="B733" s="454"/>
      <c r="C733" s="454"/>
      <c r="D733" s="454"/>
      <c r="E733" s="454"/>
      <c r="F733" s="454"/>
      <c r="G733" s="454"/>
      <c r="H733" s="602"/>
    </row>
    <row r="734" spans="1:8" ht="20.100000000000001" customHeight="1" x14ac:dyDescent="0.45">
      <c r="A734" s="456"/>
      <c r="B734" s="454"/>
      <c r="C734" s="454"/>
      <c r="D734" s="454"/>
      <c r="E734" s="454"/>
      <c r="F734" s="454"/>
      <c r="G734" s="454"/>
      <c r="H734" s="602"/>
    </row>
    <row r="735" spans="1:8" ht="20.100000000000001" customHeight="1" x14ac:dyDescent="0.45">
      <c r="A735" s="456"/>
      <c r="B735" s="454"/>
      <c r="C735" s="454"/>
      <c r="D735" s="454"/>
      <c r="E735" s="454"/>
      <c r="F735" s="454"/>
      <c r="G735" s="454"/>
      <c r="H735" s="602"/>
    </row>
    <row r="736" spans="1:8" ht="20.100000000000001" customHeight="1" x14ac:dyDescent="0.45">
      <c r="A736" s="456"/>
      <c r="B736" s="454"/>
      <c r="C736" s="454"/>
      <c r="D736" s="454"/>
      <c r="E736" s="454"/>
      <c r="F736" s="454"/>
      <c r="G736" s="454"/>
      <c r="H736" s="602"/>
    </row>
    <row r="737" spans="1:8" ht="20.100000000000001" customHeight="1" x14ac:dyDescent="0.45">
      <c r="A737" s="456"/>
      <c r="B737" s="454"/>
      <c r="C737" s="454"/>
      <c r="D737" s="454"/>
      <c r="E737" s="454"/>
      <c r="F737" s="454"/>
      <c r="G737" s="454"/>
      <c r="H737" s="602"/>
    </row>
    <row r="738" spans="1:8" ht="20.100000000000001" customHeight="1" x14ac:dyDescent="0.45">
      <c r="A738" s="456"/>
      <c r="B738" s="454"/>
      <c r="C738" s="454"/>
      <c r="D738" s="454"/>
      <c r="E738" s="454"/>
      <c r="F738" s="454"/>
      <c r="G738" s="454"/>
      <c r="H738" s="602"/>
    </row>
    <row r="739" spans="1:8" ht="20.100000000000001" customHeight="1" x14ac:dyDescent="0.45">
      <c r="A739" s="456"/>
      <c r="B739" s="454"/>
      <c r="C739" s="454"/>
      <c r="D739" s="454"/>
      <c r="E739" s="454"/>
      <c r="F739" s="454"/>
      <c r="G739" s="454"/>
      <c r="H739" s="602"/>
    </row>
    <row r="740" spans="1:8" ht="20.100000000000001" customHeight="1" x14ac:dyDescent="0.45">
      <c r="A740" s="456"/>
      <c r="B740" s="454"/>
      <c r="C740" s="454"/>
      <c r="D740" s="454"/>
      <c r="E740" s="454"/>
      <c r="F740" s="454"/>
      <c r="G740" s="454"/>
      <c r="H740" s="602"/>
    </row>
    <row r="741" spans="1:8" ht="20.100000000000001" customHeight="1" x14ac:dyDescent="0.45">
      <c r="A741" s="456"/>
      <c r="B741" s="454"/>
      <c r="C741" s="454"/>
      <c r="D741" s="454"/>
      <c r="E741" s="454"/>
      <c r="F741" s="454"/>
      <c r="G741" s="454"/>
      <c r="H741" s="602"/>
    </row>
    <row r="742" spans="1:8" ht="20.100000000000001" customHeight="1" x14ac:dyDescent="0.45">
      <c r="A742" s="456"/>
      <c r="B742" s="454"/>
      <c r="C742" s="454"/>
      <c r="D742" s="454"/>
      <c r="E742" s="454"/>
      <c r="F742" s="454"/>
      <c r="G742" s="454"/>
      <c r="H742" s="602"/>
    </row>
    <row r="743" spans="1:8" ht="20.100000000000001" customHeight="1" x14ac:dyDescent="0.45">
      <c r="A743" s="456"/>
      <c r="B743" s="454"/>
      <c r="C743" s="454"/>
      <c r="D743" s="454"/>
      <c r="E743" s="454"/>
      <c r="F743" s="454"/>
      <c r="G743" s="454"/>
      <c r="H743" s="602"/>
    </row>
    <row r="744" spans="1:8" ht="20.100000000000001" customHeight="1" x14ac:dyDescent="0.45">
      <c r="A744" s="456"/>
      <c r="B744" s="454"/>
      <c r="C744" s="454"/>
      <c r="D744" s="454"/>
      <c r="E744" s="454"/>
      <c r="F744" s="454"/>
      <c r="G744" s="454"/>
      <c r="H744" s="602"/>
    </row>
    <row r="745" spans="1:8" ht="20.100000000000001" customHeight="1" x14ac:dyDescent="0.45">
      <c r="A745" s="456"/>
      <c r="B745" s="454"/>
      <c r="C745" s="454"/>
      <c r="D745" s="454"/>
      <c r="E745" s="454"/>
      <c r="F745" s="454"/>
      <c r="G745" s="454"/>
      <c r="H745" s="602"/>
    </row>
    <row r="746" spans="1:8" ht="20.100000000000001" customHeight="1" x14ac:dyDescent="0.45">
      <c r="A746" s="456"/>
      <c r="B746" s="454"/>
      <c r="C746" s="454"/>
      <c r="D746" s="454"/>
      <c r="E746" s="454"/>
      <c r="F746" s="454"/>
      <c r="G746" s="454"/>
      <c r="H746" s="602"/>
    </row>
    <row r="747" spans="1:8" ht="20.100000000000001" customHeight="1" x14ac:dyDescent="0.45">
      <c r="A747" s="456"/>
      <c r="B747" s="454"/>
      <c r="C747" s="454"/>
      <c r="D747" s="454"/>
      <c r="E747" s="454"/>
      <c r="F747" s="454"/>
      <c r="G747" s="454"/>
      <c r="H747" s="602"/>
    </row>
    <row r="748" spans="1:8" ht="20.100000000000001" customHeight="1" x14ac:dyDescent="0.45">
      <c r="A748" s="456"/>
      <c r="B748" s="454"/>
      <c r="C748" s="454"/>
      <c r="D748" s="454"/>
      <c r="E748" s="454"/>
      <c r="F748" s="454"/>
      <c r="G748" s="454"/>
      <c r="H748" s="602"/>
    </row>
    <row r="749" spans="1:8" ht="20.100000000000001" customHeight="1" x14ac:dyDescent="0.45">
      <c r="A749" s="456"/>
      <c r="B749" s="454"/>
      <c r="C749" s="454"/>
      <c r="D749" s="454"/>
      <c r="E749" s="454"/>
      <c r="F749" s="454"/>
      <c r="G749" s="454"/>
      <c r="H749" s="602"/>
    </row>
    <row r="750" spans="1:8" ht="20.100000000000001" customHeight="1" x14ac:dyDescent="0.45">
      <c r="A750" s="456"/>
      <c r="B750" s="454"/>
      <c r="C750" s="454"/>
      <c r="D750" s="454"/>
      <c r="E750" s="454"/>
      <c r="F750" s="454"/>
      <c r="G750" s="454"/>
      <c r="H750" s="602"/>
    </row>
    <row r="751" spans="1:8" ht="20.100000000000001" customHeight="1" x14ac:dyDescent="0.45">
      <c r="A751" s="456"/>
      <c r="B751" s="454"/>
      <c r="C751" s="454"/>
      <c r="D751" s="454"/>
      <c r="E751" s="454"/>
      <c r="F751" s="454"/>
      <c r="G751" s="454"/>
      <c r="H751" s="602"/>
    </row>
    <row r="752" spans="1:8" ht="20.100000000000001" customHeight="1" x14ac:dyDescent="0.45">
      <c r="A752" s="456"/>
      <c r="B752" s="454"/>
      <c r="C752" s="454"/>
      <c r="D752" s="454"/>
      <c r="E752" s="454"/>
      <c r="F752" s="454"/>
      <c r="G752" s="454"/>
      <c r="H752" s="602"/>
    </row>
    <row r="753" spans="1:8" ht="20.100000000000001" customHeight="1" x14ac:dyDescent="0.45">
      <c r="A753" s="456"/>
      <c r="B753" s="454"/>
      <c r="C753" s="454"/>
      <c r="D753" s="454"/>
      <c r="E753" s="454"/>
      <c r="F753" s="454"/>
      <c r="G753" s="454"/>
      <c r="H753" s="602"/>
    </row>
    <row r="754" spans="1:8" ht="20.100000000000001" customHeight="1" x14ac:dyDescent="0.45">
      <c r="A754" s="456"/>
      <c r="B754" s="454"/>
      <c r="C754" s="454"/>
      <c r="D754" s="454"/>
      <c r="E754" s="454"/>
      <c r="F754" s="454"/>
      <c r="G754" s="454"/>
      <c r="H754" s="602"/>
    </row>
    <row r="755" spans="1:8" ht="20.100000000000001" customHeight="1" x14ac:dyDescent="0.45">
      <c r="A755" s="456"/>
      <c r="B755" s="454"/>
      <c r="C755" s="454"/>
      <c r="D755" s="454"/>
      <c r="E755" s="454"/>
      <c r="F755" s="454"/>
      <c r="G755" s="454"/>
      <c r="H755" s="602"/>
    </row>
    <row r="756" spans="1:8" ht="20.100000000000001" customHeight="1" x14ac:dyDescent="0.45">
      <c r="A756" s="456"/>
      <c r="B756" s="454"/>
      <c r="C756" s="454"/>
      <c r="D756" s="454"/>
      <c r="E756" s="454"/>
      <c r="F756" s="454"/>
      <c r="G756" s="454"/>
      <c r="H756" s="602"/>
    </row>
    <row r="757" spans="1:8" ht="20.100000000000001" customHeight="1" x14ac:dyDescent="0.45">
      <c r="A757" s="456"/>
      <c r="B757" s="454"/>
      <c r="C757" s="454"/>
      <c r="D757" s="454"/>
      <c r="E757" s="454"/>
      <c r="F757" s="454"/>
      <c r="G757" s="454"/>
      <c r="H757" s="602"/>
    </row>
    <row r="758" spans="1:8" ht="20.100000000000001" customHeight="1" x14ac:dyDescent="0.45">
      <c r="A758" s="456"/>
      <c r="B758" s="454"/>
      <c r="C758" s="454"/>
      <c r="D758" s="454"/>
      <c r="E758" s="454"/>
      <c r="F758" s="454"/>
      <c r="G758" s="454"/>
      <c r="H758" s="602"/>
    </row>
    <row r="759" spans="1:8" ht="20.100000000000001" customHeight="1" x14ac:dyDescent="0.45">
      <c r="A759" s="456"/>
      <c r="B759" s="454"/>
      <c r="C759" s="454"/>
      <c r="D759" s="454"/>
      <c r="E759" s="454"/>
      <c r="F759" s="454"/>
      <c r="G759" s="454"/>
      <c r="H759" s="602"/>
    </row>
    <row r="760" spans="1:8" ht="20.100000000000001" customHeight="1" x14ac:dyDescent="0.45">
      <c r="A760" s="456"/>
      <c r="B760" s="454"/>
      <c r="C760" s="454"/>
      <c r="D760" s="454"/>
      <c r="E760" s="454"/>
      <c r="F760" s="454"/>
      <c r="G760" s="454"/>
      <c r="H760" s="602"/>
    </row>
    <row r="761" spans="1:8" ht="20.100000000000001" customHeight="1" x14ac:dyDescent="0.45">
      <c r="A761" s="456"/>
      <c r="B761" s="454"/>
      <c r="C761" s="454"/>
      <c r="D761" s="454"/>
      <c r="E761" s="454"/>
      <c r="F761" s="454"/>
      <c r="G761" s="454"/>
      <c r="H761" s="602"/>
    </row>
    <row r="762" spans="1:8" ht="20.100000000000001" customHeight="1" x14ac:dyDescent="0.45">
      <c r="A762" s="456"/>
      <c r="B762" s="454"/>
      <c r="C762" s="454"/>
      <c r="D762" s="454"/>
      <c r="E762" s="454"/>
      <c r="F762" s="454"/>
      <c r="G762" s="454"/>
      <c r="H762" s="602"/>
    </row>
    <row r="763" spans="1:8" ht="20.100000000000001" customHeight="1" x14ac:dyDescent="0.45">
      <c r="A763" s="456"/>
      <c r="B763" s="454"/>
      <c r="C763" s="454"/>
      <c r="D763" s="454"/>
      <c r="E763" s="454"/>
      <c r="F763" s="454"/>
      <c r="G763" s="454"/>
      <c r="H763" s="602"/>
    </row>
    <row r="764" spans="1:8" ht="20.100000000000001" customHeight="1" x14ac:dyDescent="0.45">
      <c r="A764" s="456"/>
      <c r="B764" s="454"/>
      <c r="C764" s="454"/>
      <c r="D764" s="454"/>
      <c r="E764" s="454"/>
      <c r="F764" s="454"/>
      <c r="G764" s="454"/>
      <c r="H764" s="602"/>
    </row>
    <row r="765" spans="1:8" ht="20.100000000000001" customHeight="1" x14ac:dyDescent="0.45">
      <c r="A765" s="456"/>
      <c r="B765" s="454"/>
      <c r="C765" s="454"/>
      <c r="D765" s="454"/>
      <c r="E765" s="454"/>
      <c r="F765" s="454"/>
      <c r="G765" s="454"/>
      <c r="H765" s="602"/>
    </row>
    <row r="766" spans="1:8" ht="20.100000000000001" customHeight="1" x14ac:dyDescent="0.45">
      <c r="A766" s="456"/>
      <c r="B766" s="454"/>
      <c r="C766" s="454"/>
      <c r="D766" s="454"/>
      <c r="E766" s="454"/>
      <c r="F766" s="454"/>
      <c r="G766" s="454"/>
      <c r="H766" s="602"/>
    </row>
    <row r="767" spans="1:8" ht="20.100000000000001" customHeight="1" x14ac:dyDescent="0.45">
      <c r="A767" s="456"/>
      <c r="B767" s="454"/>
      <c r="C767" s="454"/>
      <c r="D767" s="454"/>
      <c r="E767" s="454"/>
      <c r="F767" s="454"/>
      <c r="G767" s="454"/>
      <c r="H767" s="602"/>
    </row>
    <row r="768" spans="1:8" ht="20.100000000000001" customHeight="1" x14ac:dyDescent="0.45">
      <c r="A768" s="456"/>
      <c r="B768" s="454"/>
      <c r="C768" s="454"/>
      <c r="D768" s="454"/>
      <c r="E768" s="454"/>
      <c r="F768" s="454"/>
      <c r="G768" s="454"/>
      <c r="H768" s="602"/>
    </row>
    <row r="769" spans="1:8" ht="20.100000000000001" customHeight="1" x14ac:dyDescent="0.45">
      <c r="A769" s="456"/>
      <c r="B769" s="454"/>
      <c r="C769" s="454"/>
      <c r="D769" s="454"/>
      <c r="E769" s="454"/>
      <c r="F769" s="454"/>
      <c r="G769" s="454"/>
      <c r="H769" s="602"/>
    </row>
    <row r="770" spans="1:8" ht="20.100000000000001" customHeight="1" x14ac:dyDescent="0.45">
      <c r="A770" s="456"/>
      <c r="B770" s="454"/>
      <c r="C770" s="454"/>
      <c r="D770" s="454"/>
      <c r="E770" s="454"/>
      <c r="F770" s="454"/>
      <c r="G770" s="454"/>
      <c r="H770" s="602"/>
    </row>
    <row r="771" spans="1:8" ht="20.100000000000001" customHeight="1" x14ac:dyDescent="0.45">
      <c r="A771" s="456"/>
      <c r="B771" s="454"/>
      <c r="C771" s="454"/>
      <c r="D771" s="454"/>
      <c r="E771" s="454"/>
      <c r="F771" s="454"/>
      <c r="G771" s="454"/>
      <c r="H771" s="602"/>
    </row>
    <row r="772" spans="1:8" ht="20.100000000000001" customHeight="1" x14ac:dyDescent="0.45">
      <c r="A772" s="456"/>
      <c r="B772" s="454"/>
      <c r="C772" s="454"/>
      <c r="D772" s="454"/>
      <c r="E772" s="454"/>
      <c r="F772" s="454"/>
      <c r="G772" s="454"/>
      <c r="H772" s="602"/>
    </row>
    <row r="773" spans="1:8" ht="20.100000000000001" customHeight="1" x14ac:dyDescent="0.45">
      <c r="A773" s="456"/>
      <c r="B773" s="454"/>
      <c r="C773" s="454"/>
      <c r="D773" s="454"/>
      <c r="E773" s="454"/>
      <c r="F773" s="454"/>
      <c r="G773" s="454"/>
      <c r="H773" s="602"/>
    </row>
    <row r="774" spans="1:8" ht="20.100000000000001" customHeight="1" x14ac:dyDescent="0.45">
      <c r="A774" s="456"/>
      <c r="B774" s="454"/>
      <c r="C774" s="454"/>
      <c r="D774" s="454"/>
      <c r="E774" s="454"/>
      <c r="F774" s="454"/>
      <c r="G774" s="454"/>
      <c r="H774" s="602"/>
    </row>
    <row r="775" spans="1:8" ht="20.100000000000001" customHeight="1" x14ac:dyDescent="0.45">
      <c r="A775" s="456"/>
      <c r="B775" s="454"/>
      <c r="C775" s="454"/>
      <c r="D775" s="454"/>
      <c r="E775" s="454"/>
      <c r="F775" s="454"/>
      <c r="G775" s="454"/>
      <c r="H775" s="602"/>
    </row>
    <row r="776" spans="1:8" ht="20.100000000000001" customHeight="1" x14ac:dyDescent="0.45">
      <c r="A776" s="456"/>
      <c r="B776" s="454"/>
      <c r="C776" s="454"/>
      <c r="D776" s="454"/>
      <c r="E776" s="454"/>
      <c r="F776" s="454"/>
      <c r="G776" s="454"/>
      <c r="H776" s="602"/>
    </row>
    <row r="777" spans="1:8" ht="20.100000000000001" customHeight="1" x14ac:dyDescent="0.45">
      <c r="A777" s="456"/>
      <c r="B777" s="454"/>
      <c r="C777" s="454"/>
      <c r="D777" s="454"/>
      <c r="E777" s="454"/>
      <c r="F777" s="454"/>
      <c r="G777" s="454"/>
      <c r="H777" s="602"/>
    </row>
    <row r="778" spans="1:8" ht="20.100000000000001" customHeight="1" x14ac:dyDescent="0.45">
      <c r="A778" s="456"/>
      <c r="B778" s="454"/>
      <c r="C778" s="454"/>
      <c r="D778" s="454"/>
      <c r="E778" s="454"/>
      <c r="F778" s="454"/>
      <c r="G778" s="454"/>
      <c r="H778" s="602"/>
    </row>
    <row r="779" spans="1:8" ht="20.100000000000001" customHeight="1" x14ac:dyDescent="0.45">
      <c r="A779" s="456"/>
      <c r="B779" s="454"/>
      <c r="C779" s="454"/>
      <c r="D779" s="454"/>
      <c r="E779" s="454"/>
      <c r="F779" s="454"/>
      <c r="G779" s="454"/>
      <c r="H779" s="602"/>
    </row>
    <row r="780" spans="1:8" ht="20.100000000000001" customHeight="1" x14ac:dyDescent="0.45">
      <c r="A780" s="456"/>
      <c r="B780" s="454"/>
      <c r="C780" s="454"/>
      <c r="D780" s="454"/>
      <c r="E780" s="454"/>
      <c r="F780" s="454"/>
      <c r="G780" s="454"/>
      <c r="H780" s="602"/>
    </row>
    <row r="781" spans="1:8" ht="20.100000000000001" customHeight="1" x14ac:dyDescent="0.45">
      <c r="A781" s="456"/>
      <c r="B781" s="454"/>
      <c r="C781" s="454"/>
      <c r="D781" s="454"/>
      <c r="E781" s="454"/>
      <c r="F781" s="454"/>
      <c r="G781" s="454"/>
      <c r="H781" s="602"/>
    </row>
    <row r="782" spans="1:8" ht="20.100000000000001" customHeight="1" x14ac:dyDescent="0.45">
      <c r="A782" s="456"/>
      <c r="B782" s="454"/>
      <c r="C782" s="454"/>
      <c r="D782" s="454"/>
      <c r="E782" s="454"/>
      <c r="F782" s="454"/>
      <c r="G782" s="454"/>
      <c r="H782" s="602"/>
    </row>
    <row r="783" spans="1:8" ht="20.100000000000001" customHeight="1" x14ac:dyDescent="0.45">
      <c r="A783" s="456"/>
      <c r="B783" s="454"/>
      <c r="C783" s="454"/>
      <c r="D783" s="454"/>
      <c r="E783" s="454"/>
      <c r="F783" s="454"/>
      <c r="G783" s="454"/>
      <c r="H783" s="602"/>
    </row>
    <row r="784" spans="1:8" ht="20.100000000000001" customHeight="1" x14ac:dyDescent="0.45">
      <c r="A784" s="456"/>
      <c r="B784" s="454"/>
      <c r="C784" s="454"/>
      <c r="D784" s="454"/>
      <c r="E784" s="454"/>
      <c r="F784" s="454"/>
      <c r="G784" s="454"/>
      <c r="H784" s="602"/>
    </row>
    <row r="785" spans="1:8" ht="20.100000000000001" customHeight="1" x14ac:dyDescent="0.45">
      <c r="A785" s="456"/>
      <c r="B785" s="454"/>
      <c r="C785" s="454"/>
      <c r="D785" s="454"/>
      <c r="E785" s="454"/>
      <c r="F785" s="454"/>
      <c r="G785" s="454"/>
      <c r="H785" s="602"/>
    </row>
    <row r="786" spans="1:8" ht="20.100000000000001" customHeight="1" x14ac:dyDescent="0.45">
      <c r="A786" s="456"/>
      <c r="B786" s="454"/>
      <c r="C786" s="454"/>
      <c r="D786" s="454"/>
      <c r="E786" s="454"/>
      <c r="F786" s="454"/>
      <c r="G786" s="454"/>
      <c r="H786" s="602"/>
    </row>
    <row r="787" spans="1:8" ht="20.100000000000001" customHeight="1" x14ac:dyDescent="0.45">
      <c r="A787" s="456"/>
      <c r="B787" s="454"/>
      <c r="C787" s="454"/>
      <c r="D787" s="454"/>
      <c r="E787" s="454"/>
      <c r="F787" s="454"/>
      <c r="G787" s="454"/>
      <c r="H787" s="602"/>
    </row>
    <row r="788" spans="1:8" ht="20.100000000000001" customHeight="1" x14ac:dyDescent="0.45">
      <c r="A788" s="456"/>
      <c r="B788" s="454"/>
      <c r="C788" s="454"/>
      <c r="D788" s="454"/>
      <c r="E788" s="454"/>
      <c r="F788" s="454"/>
      <c r="G788" s="454"/>
      <c r="H788" s="602"/>
    </row>
    <row r="789" spans="1:8" ht="20.100000000000001" customHeight="1" x14ac:dyDescent="0.45">
      <c r="A789" s="456"/>
      <c r="B789" s="454"/>
      <c r="C789" s="454"/>
      <c r="D789" s="454"/>
      <c r="E789" s="454"/>
      <c r="F789" s="454"/>
      <c r="G789" s="454"/>
      <c r="H789" s="602"/>
    </row>
    <row r="790" spans="1:8" ht="20.100000000000001" customHeight="1" x14ac:dyDescent="0.45">
      <c r="A790" s="456"/>
      <c r="B790" s="454"/>
      <c r="C790" s="454"/>
      <c r="D790" s="454"/>
      <c r="E790" s="454"/>
      <c r="F790" s="454"/>
      <c r="G790" s="454"/>
      <c r="H790" s="602"/>
    </row>
    <row r="791" spans="1:8" ht="20.100000000000001" customHeight="1" x14ac:dyDescent="0.45">
      <c r="A791" s="456"/>
      <c r="B791" s="454"/>
      <c r="C791" s="454"/>
      <c r="D791" s="454"/>
      <c r="E791" s="454"/>
      <c r="F791" s="454"/>
      <c r="G791" s="454"/>
      <c r="H791" s="602"/>
    </row>
    <row r="792" spans="1:8" ht="20.100000000000001" customHeight="1" x14ac:dyDescent="0.45">
      <c r="A792" s="456"/>
      <c r="B792" s="454"/>
      <c r="C792" s="454"/>
      <c r="D792" s="454"/>
      <c r="E792" s="454"/>
      <c r="F792" s="454"/>
      <c r="G792" s="454"/>
      <c r="H792" s="602"/>
    </row>
    <row r="793" spans="1:8" ht="20.100000000000001" customHeight="1" x14ac:dyDescent="0.45">
      <c r="A793" s="456"/>
      <c r="B793" s="454"/>
      <c r="C793" s="454"/>
      <c r="D793" s="454"/>
      <c r="E793" s="454"/>
      <c r="F793" s="454"/>
      <c r="G793" s="454"/>
      <c r="H793" s="602"/>
    </row>
    <row r="794" spans="1:8" ht="20.100000000000001" customHeight="1" x14ac:dyDescent="0.45">
      <c r="A794" s="456"/>
      <c r="B794" s="454"/>
      <c r="C794" s="454"/>
      <c r="D794" s="454"/>
      <c r="E794" s="454"/>
      <c r="F794" s="454"/>
      <c r="G794" s="454"/>
      <c r="H794" s="602"/>
    </row>
    <row r="795" spans="1:8" ht="20.100000000000001" customHeight="1" x14ac:dyDescent="0.45">
      <c r="A795" s="456"/>
      <c r="B795" s="454"/>
      <c r="C795" s="454"/>
      <c r="D795" s="454"/>
      <c r="E795" s="454"/>
      <c r="F795" s="454"/>
      <c r="G795" s="454"/>
      <c r="H795" s="602"/>
    </row>
    <row r="796" spans="1:8" ht="20.100000000000001" customHeight="1" x14ac:dyDescent="0.45">
      <c r="A796" s="456"/>
      <c r="B796" s="454"/>
      <c r="C796" s="454"/>
      <c r="D796" s="454"/>
      <c r="E796" s="454"/>
      <c r="F796" s="454"/>
      <c r="G796" s="454"/>
      <c r="H796" s="602"/>
    </row>
    <row r="797" spans="1:8" ht="20.100000000000001" customHeight="1" x14ac:dyDescent="0.45">
      <c r="A797" s="456"/>
      <c r="B797" s="454"/>
      <c r="C797" s="454"/>
      <c r="D797" s="454"/>
      <c r="E797" s="454"/>
      <c r="F797" s="454"/>
      <c r="G797" s="454"/>
      <c r="H797" s="602"/>
    </row>
    <row r="798" spans="1:8" ht="20.100000000000001" customHeight="1" x14ac:dyDescent="0.45">
      <c r="A798" s="456"/>
      <c r="B798" s="454"/>
      <c r="C798" s="454"/>
      <c r="D798" s="454"/>
      <c r="E798" s="454"/>
      <c r="F798" s="454"/>
      <c r="G798" s="454"/>
      <c r="H798" s="602"/>
    </row>
    <row r="799" spans="1:8" ht="20.100000000000001" customHeight="1" x14ac:dyDescent="0.45">
      <c r="A799" s="456"/>
      <c r="B799" s="454"/>
      <c r="C799" s="454"/>
      <c r="D799" s="454"/>
      <c r="E799" s="454"/>
      <c r="F799" s="454"/>
      <c r="G799" s="454"/>
      <c r="H799" s="602"/>
    </row>
    <row r="800" spans="1:8" ht="20.100000000000001" customHeight="1" x14ac:dyDescent="0.45">
      <c r="A800" s="456"/>
      <c r="B800" s="454"/>
      <c r="C800" s="454"/>
      <c r="D800" s="454"/>
      <c r="E800" s="454"/>
      <c r="F800" s="454"/>
      <c r="G800" s="454"/>
      <c r="H800" s="602"/>
    </row>
    <row r="801" spans="1:8" ht="20.100000000000001" customHeight="1" x14ac:dyDescent="0.45">
      <c r="A801" s="456"/>
      <c r="B801" s="454"/>
      <c r="C801" s="454"/>
      <c r="D801" s="454"/>
      <c r="E801" s="454"/>
      <c r="F801" s="454"/>
      <c r="G801" s="454"/>
      <c r="H801" s="602"/>
    </row>
    <row r="802" spans="1:8" ht="20.100000000000001" customHeight="1" x14ac:dyDescent="0.45">
      <c r="A802" s="456"/>
      <c r="B802" s="454"/>
      <c r="C802" s="454"/>
      <c r="D802" s="454"/>
      <c r="E802" s="454"/>
      <c r="F802" s="454"/>
      <c r="G802" s="454"/>
      <c r="H802" s="602"/>
    </row>
    <row r="803" spans="1:8" ht="20.100000000000001" customHeight="1" x14ac:dyDescent="0.45">
      <c r="A803" s="456"/>
      <c r="B803" s="454"/>
      <c r="C803" s="454"/>
      <c r="D803" s="454"/>
      <c r="E803" s="454"/>
      <c r="F803" s="454"/>
      <c r="G803" s="454"/>
      <c r="H803" s="602"/>
    </row>
    <row r="804" spans="1:8" ht="20.100000000000001" customHeight="1" x14ac:dyDescent="0.45">
      <c r="A804" s="456"/>
      <c r="B804" s="454"/>
      <c r="C804" s="454"/>
      <c r="D804" s="454"/>
      <c r="E804" s="454"/>
      <c r="F804" s="454"/>
      <c r="G804" s="454"/>
      <c r="H804" s="602"/>
    </row>
    <row r="805" spans="1:8" ht="20.100000000000001" customHeight="1" x14ac:dyDescent="0.45">
      <c r="A805" s="456"/>
      <c r="B805" s="454"/>
      <c r="C805" s="454"/>
      <c r="D805" s="454"/>
      <c r="E805" s="454"/>
      <c r="F805" s="454"/>
      <c r="G805" s="454"/>
      <c r="H805" s="602"/>
    </row>
    <row r="806" spans="1:8" ht="20.100000000000001" customHeight="1" x14ac:dyDescent="0.45">
      <c r="A806" s="456"/>
      <c r="B806" s="454"/>
      <c r="C806" s="454"/>
      <c r="D806" s="454"/>
      <c r="E806" s="454"/>
      <c r="F806" s="454"/>
      <c r="G806" s="454"/>
      <c r="H806" s="602"/>
    </row>
    <row r="807" spans="1:8" ht="20.100000000000001" customHeight="1" x14ac:dyDescent="0.45">
      <c r="A807" s="456"/>
      <c r="B807" s="454"/>
      <c r="C807" s="454"/>
      <c r="D807" s="454"/>
      <c r="E807" s="454"/>
      <c r="F807" s="454"/>
      <c r="G807" s="454"/>
      <c r="H807" s="602"/>
    </row>
    <row r="808" spans="1:8" ht="20.100000000000001" customHeight="1" x14ac:dyDescent="0.45">
      <c r="A808" s="456"/>
      <c r="B808" s="454"/>
      <c r="C808" s="454"/>
      <c r="D808" s="454"/>
      <c r="E808" s="454"/>
      <c r="F808" s="454"/>
      <c r="G808" s="454"/>
      <c r="H808" s="602"/>
    </row>
    <row r="809" spans="1:8" ht="20.100000000000001" customHeight="1" x14ac:dyDescent="0.45">
      <c r="A809" s="456"/>
      <c r="B809" s="454"/>
      <c r="C809" s="454"/>
      <c r="D809" s="454"/>
      <c r="E809" s="454"/>
      <c r="F809" s="454"/>
      <c r="G809" s="454"/>
      <c r="H809" s="602"/>
    </row>
    <row r="810" spans="1:8" ht="20.100000000000001" customHeight="1" x14ac:dyDescent="0.45">
      <c r="A810" s="456"/>
      <c r="B810" s="454"/>
      <c r="C810" s="454"/>
      <c r="D810" s="454"/>
      <c r="E810" s="454"/>
      <c r="F810" s="454"/>
      <c r="G810" s="454"/>
      <c r="H810" s="602"/>
    </row>
    <row r="811" spans="1:8" ht="20.100000000000001" customHeight="1" x14ac:dyDescent="0.45">
      <c r="A811" s="456"/>
      <c r="B811" s="454"/>
      <c r="C811" s="454"/>
      <c r="D811" s="454"/>
      <c r="E811" s="454"/>
      <c r="F811" s="454"/>
      <c r="G811" s="454"/>
      <c r="H811" s="602"/>
    </row>
    <row r="812" spans="1:8" ht="20.100000000000001" customHeight="1" x14ac:dyDescent="0.45">
      <c r="A812" s="456"/>
      <c r="B812" s="454"/>
      <c r="C812" s="454"/>
      <c r="D812" s="454"/>
      <c r="E812" s="454"/>
      <c r="F812" s="454"/>
      <c r="G812" s="454"/>
      <c r="H812" s="602"/>
    </row>
    <row r="813" spans="1:8" ht="20.100000000000001" customHeight="1" x14ac:dyDescent="0.45">
      <c r="A813" s="456"/>
      <c r="B813" s="454"/>
      <c r="C813" s="454"/>
      <c r="D813" s="454"/>
      <c r="E813" s="454"/>
      <c r="F813" s="454"/>
      <c r="G813" s="454"/>
      <c r="H813" s="602"/>
    </row>
    <row r="814" spans="1:8" ht="20.100000000000001" customHeight="1" x14ac:dyDescent="0.45">
      <c r="A814" s="456"/>
      <c r="B814" s="454"/>
      <c r="C814" s="454"/>
      <c r="D814" s="454"/>
      <c r="E814" s="454"/>
      <c r="F814" s="454"/>
      <c r="G814" s="454"/>
      <c r="H814" s="602"/>
    </row>
    <row r="815" spans="1:8" ht="20.100000000000001" customHeight="1" x14ac:dyDescent="0.45">
      <c r="A815" s="456"/>
      <c r="B815" s="454"/>
      <c r="C815" s="454"/>
      <c r="D815" s="454"/>
      <c r="E815" s="454"/>
      <c r="F815" s="454"/>
      <c r="G815" s="454"/>
      <c r="H815" s="602"/>
    </row>
    <row r="816" spans="1:8" ht="20.100000000000001" customHeight="1" x14ac:dyDescent="0.45">
      <c r="A816" s="456"/>
      <c r="B816" s="454"/>
      <c r="C816" s="454"/>
      <c r="D816" s="454"/>
      <c r="E816" s="454"/>
      <c r="F816" s="454"/>
      <c r="G816" s="454"/>
      <c r="H816" s="602"/>
    </row>
    <row r="817" spans="1:8" ht="20.100000000000001" customHeight="1" x14ac:dyDescent="0.45">
      <c r="A817" s="456"/>
      <c r="B817" s="454"/>
      <c r="C817" s="454"/>
      <c r="D817" s="454"/>
      <c r="E817" s="454"/>
      <c r="F817" s="454"/>
      <c r="G817" s="454"/>
      <c r="H817" s="602"/>
    </row>
    <row r="818" spans="1:8" ht="20.100000000000001" customHeight="1" x14ac:dyDescent="0.45">
      <c r="A818" s="456"/>
      <c r="B818" s="454"/>
      <c r="C818" s="454"/>
      <c r="D818" s="454"/>
      <c r="E818" s="454"/>
      <c r="F818" s="454"/>
      <c r="G818" s="454"/>
      <c r="H818" s="602"/>
    </row>
    <row r="819" spans="1:8" ht="20.100000000000001" customHeight="1" x14ac:dyDescent="0.45">
      <c r="A819" s="456"/>
      <c r="B819" s="454"/>
      <c r="C819" s="454"/>
      <c r="D819" s="454"/>
      <c r="E819" s="454"/>
      <c r="F819" s="454"/>
      <c r="G819" s="454"/>
      <c r="H819" s="602"/>
    </row>
    <row r="820" spans="1:8" ht="20.100000000000001" customHeight="1" x14ac:dyDescent="0.45">
      <c r="A820" s="456"/>
      <c r="B820" s="454"/>
      <c r="C820" s="454"/>
      <c r="D820" s="454"/>
      <c r="E820" s="454"/>
      <c r="F820" s="454"/>
      <c r="G820" s="454"/>
      <c r="H820" s="602"/>
    </row>
    <row r="821" spans="1:8" ht="20.100000000000001" customHeight="1" x14ac:dyDescent="0.45">
      <c r="A821" s="456"/>
      <c r="B821" s="454"/>
      <c r="C821" s="454"/>
      <c r="D821" s="454"/>
      <c r="E821" s="454"/>
      <c r="F821" s="454"/>
      <c r="G821" s="454"/>
      <c r="H821" s="602"/>
    </row>
    <row r="822" spans="1:8" ht="20.100000000000001" customHeight="1" x14ac:dyDescent="0.45">
      <c r="A822" s="456"/>
      <c r="B822" s="454"/>
      <c r="C822" s="454"/>
      <c r="D822" s="454"/>
      <c r="E822" s="454"/>
      <c r="F822" s="454"/>
      <c r="G822" s="454"/>
      <c r="H822" s="602"/>
    </row>
    <row r="823" spans="1:8" ht="20.100000000000001" customHeight="1" x14ac:dyDescent="0.45">
      <c r="A823" s="456"/>
      <c r="B823" s="454"/>
      <c r="C823" s="454"/>
      <c r="D823" s="454"/>
      <c r="E823" s="454"/>
      <c r="F823" s="454"/>
      <c r="G823" s="454"/>
      <c r="H823" s="602"/>
    </row>
    <row r="824" spans="1:8" ht="20.100000000000001" customHeight="1" x14ac:dyDescent="0.45">
      <c r="A824" s="456"/>
      <c r="B824" s="454"/>
      <c r="C824" s="454"/>
      <c r="D824" s="454"/>
      <c r="E824" s="454"/>
      <c r="F824" s="454"/>
      <c r="G824" s="454"/>
      <c r="H824" s="602"/>
    </row>
    <row r="825" spans="1:8" ht="20.100000000000001" customHeight="1" x14ac:dyDescent="0.45">
      <c r="A825" s="456"/>
      <c r="B825" s="454"/>
      <c r="C825" s="454"/>
      <c r="D825" s="454"/>
      <c r="E825" s="454"/>
      <c r="F825" s="454"/>
      <c r="G825" s="454"/>
      <c r="H825" s="602"/>
    </row>
    <row r="826" spans="1:8" ht="20.100000000000001" customHeight="1" x14ac:dyDescent="0.45">
      <c r="A826" s="456"/>
      <c r="B826" s="454"/>
      <c r="C826" s="454"/>
      <c r="D826" s="454"/>
      <c r="E826" s="454"/>
      <c r="F826" s="454"/>
      <c r="G826" s="454"/>
      <c r="H826" s="602"/>
    </row>
    <row r="827" spans="1:8" ht="20.100000000000001" customHeight="1" x14ac:dyDescent="0.45">
      <c r="A827" s="456"/>
      <c r="B827" s="454"/>
      <c r="C827" s="454"/>
      <c r="D827" s="454"/>
      <c r="E827" s="454"/>
      <c r="F827" s="454"/>
      <c r="G827" s="454"/>
      <c r="H827" s="602"/>
    </row>
    <row r="828" spans="1:8" ht="20.100000000000001" customHeight="1" x14ac:dyDescent="0.45">
      <c r="A828" s="456"/>
      <c r="B828" s="454"/>
      <c r="C828" s="454"/>
      <c r="D828" s="454"/>
      <c r="E828" s="454"/>
      <c r="F828" s="454"/>
      <c r="G828" s="454"/>
      <c r="H828" s="602"/>
    </row>
    <row r="829" spans="1:8" ht="20.100000000000001" customHeight="1" x14ac:dyDescent="0.45">
      <c r="A829" s="456"/>
      <c r="B829" s="454"/>
      <c r="C829" s="454"/>
      <c r="D829" s="454"/>
      <c r="E829" s="454"/>
      <c r="F829" s="454"/>
      <c r="G829" s="454"/>
      <c r="H829" s="602"/>
    </row>
    <row r="830" spans="1:8" ht="20.100000000000001" customHeight="1" x14ac:dyDescent="0.45">
      <c r="A830" s="456"/>
      <c r="B830" s="454"/>
      <c r="C830" s="454"/>
      <c r="D830" s="454"/>
      <c r="E830" s="454"/>
      <c r="F830" s="454"/>
      <c r="G830" s="454"/>
      <c r="H830" s="602"/>
    </row>
    <row r="831" spans="1:8" ht="20.100000000000001" customHeight="1" x14ac:dyDescent="0.45">
      <c r="A831" s="456"/>
      <c r="B831" s="454"/>
      <c r="C831" s="454"/>
      <c r="D831" s="454"/>
      <c r="E831" s="454"/>
      <c r="F831" s="454"/>
      <c r="G831" s="454"/>
      <c r="H831" s="602"/>
    </row>
    <row r="832" spans="1:8" ht="20.100000000000001" customHeight="1" x14ac:dyDescent="0.45">
      <c r="A832" s="456"/>
      <c r="B832" s="454"/>
      <c r="C832" s="454"/>
      <c r="D832" s="454"/>
      <c r="E832" s="454"/>
      <c r="F832" s="454"/>
      <c r="G832" s="454"/>
      <c r="H832" s="602"/>
    </row>
    <row r="833" spans="1:8" ht="20.100000000000001" customHeight="1" x14ac:dyDescent="0.45">
      <c r="A833" s="456"/>
      <c r="B833" s="454"/>
      <c r="C833" s="454"/>
      <c r="D833" s="454"/>
      <c r="E833" s="454"/>
      <c r="F833" s="454"/>
      <c r="G833" s="454"/>
      <c r="H833" s="602"/>
    </row>
    <row r="834" spans="1:8" ht="20.100000000000001" customHeight="1" x14ac:dyDescent="0.45">
      <c r="A834" s="456"/>
      <c r="B834" s="454"/>
      <c r="C834" s="454"/>
      <c r="D834" s="454"/>
      <c r="E834" s="454"/>
      <c r="F834" s="454"/>
      <c r="G834" s="454"/>
      <c r="H834" s="602"/>
    </row>
    <row r="835" spans="1:8" ht="20.100000000000001" customHeight="1" x14ac:dyDescent="0.45">
      <c r="A835" s="456"/>
      <c r="B835" s="454"/>
      <c r="C835" s="454"/>
      <c r="D835" s="454"/>
      <c r="E835" s="454"/>
      <c r="F835" s="454"/>
      <c r="G835" s="454"/>
      <c r="H835" s="602"/>
    </row>
    <row r="836" spans="1:8" ht="20.100000000000001" customHeight="1" x14ac:dyDescent="0.45">
      <c r="A836" s="456"/>
      <c r="B836" s="454"/>
      <c r="C836" s="454"/>
      <c r="D836" s="454"/>
      <c r="E836" s="454"/>
      <c r="F836" s="454"/>
      <c r="G836" s="454"/>
      <c r="H836" s="602"/>
    </row>
    <row r="837" spans="1:8" ht="20.100000000000001" customHeight="1" x14ac:dyDescent="0.45">
      <c r="A837" s="456"/>
      <c r="B837" s="454"/>
      <c r="C837" s="454"/>
      <c r="D837" s="454"/>
      <c r="E837" s="454"/>
      <c r="F837" s="454"/>
      <c r="G837" s="454"/>
      <c r="H837" s="602"/>
    </row>
    <row r="838" spans="1:8" ht="20.100000000000001" customHeight="1" x14ac:dyDescent="0.45">
      <c r="A838" s="456"/>
      <c r="B838" s="454"/>
      <c r="C838" s="454"/>
      <c r="D838" s="454"/>
      <c r="E838" s="454"/>
      <c r="F838" s="454"/>
      <c r="G838" s="454"/>
      <c r="H838" s="602"/>
    </row>
    <row r="839" spans="1:8" ht="20.100000000000001" customHeight="1" x14ac:dyDescent="0.45">
      <c r="A839" s="456"/>
      <c r="B839" s="454"/>
      <c r="C839" s="454"/>
      <c r="D839" s="454"/>
      <c r="E839" s="454"/>
      <c r="F839" s="454"/>
      <c r="G839" s="454"/>
      <c r="H839" s="602"/>
    </row>
    <row r="840" spans="1:8" ht="20.100000000000001" customHeight="1" x14ac:dyDescent="0.45">
      <c r="A840" s="456"/>
      <c r="B840" s="454"/>
      <c r="C840" s="454"/>
      <c r="D840" s="454"/>
      <c r="E840" s="454"/>
      <c r="F840" s="454"/>
      <c r="G840" s="454"/>
      <c r="H840" s="602"/>
    </row>
    <row r="841" spans="1:8" ht="20.100000000000001" customHeight="1" x14ac:dyDescent="0.45">
      <c r="A841" s="456"/>
      <c r="B841" s="454"/>
      <c r="C841" s="454"/>
      <c r="D841" s="454"/>
      <c r="E841" s="454"/>
      <c r="F841" s="454"/>
      <c r="G841" s="454"/>
      <c r="H841" s="602"/>
    </row>
    <row r="842" spans="1:8" ht="20.100000000000001" customHeight="1" x14ac:dyDescent="0.45">
      <c r="A842" s="456"/>
      <c r="B842" s="454"/>
      <c r="C842" s="454"/>
      <c r="D842" s="454"/>
      <c r="E842" s="454"/>
      <c r="F842" s="454"/>
      <c r="G842" s="454"/>
      <c r="H842" s="602"/>
    </row>
    <row r="843" spans="1:8" ht="20.100000000000001" customHeight="1" x14ac:dyDescent="0.45">
      <c r="A843" s="456"/>
      <c r="B843" s="454"/>
      <c r="C843" s="454"/>
      <c r="D843" s="454"/>
      <c r="E843" s="454"/>
      <c r="F843" s="454"/>
      <c r="G843" s="454"/>
      <c r="H843" s="602"/>
    </row>
    <row r="844" spans="1:8" ht="20.100000000000001" customHeight="1" x14ac:dyDescent="0.45">
      <c r="A844" s="456"/>
      <c r="B844" s="454"/>
      <c r="C844" s="454"/>
      <c r="D844" s="454"/>
      <c r="E844" s="454"/>
      <c r="F844" s="454"/>
      <c r="G844" s="454"/>
      <c r="H844" s="602"/>
    </row>
    <row r="845" spans="1:8" ht="20.100000000000001" customHeight="1" x14ac:dyDescent="0.45">
      <c r="A845" s="456"/>
      <c r="B845" s="454"/>
      <c r="C845" s="454"/>
      <c r="D845" s="454"/>
      <c r="E845" s="454"/>
      <c r="F845" s="454"/>
      <c r="G845" s="454"/>
      <c r="H845" s="602"/>
    </row>
    <row r="846" spans="1:8" ht="20.100000000000001" customHeight="1" x14ac:dyDescent="0.45">
      <c r="A846" s="456"/>
      <c r="B846" s="454"/>
      <c r="C846" s="454"/>
      <c r="D846" s="454"/>
      <c r="E846" s="454"/>
      <c r="F846" s="454"/>
      <c r="G846" s="454"/>
      <c r="H846" s="602"/>
    </row>
    <row r="847" spans="1:8" ht="20.100000000000001" customHeight="1" x14ac:dyDescent="0.45">
      <c r="A847" s="456"/>
      <c r="B847" s="454"/>
      <c r="C847" s="454"/>
      <c r="D847" s="454"/>
      <c r="E847" s="454"/>
      <c r="F847" s="454"/>
      <c r="G847" s="454"/>
      <c r="H847" s="602"/>
    </row>
    <row r="848" spans="1:8" ht="20.100000000000001" customHeight="1" x14ac:dyDescent="0.45">
      <c r="A848" s="456"/>
      <c r="B848" s="454"/>
      <c r="C848" s="454"/>
      <c r="D848" s="454"/>
      <c r="E848" s="454"/>
      <c r="F848" s="454"/>
      <c r="G848" s="454"/>
      <c r="H848" s="602"/>
    </row>
    <row r="849" spans="1:8" ht="20.100000000000001" customHeight="1" x14ac:dyDescent="0.45">
      <c r="A849" s="456"/>
      <c r="B849" s="454"/>
      <c r="C849" s="454"/>
      <c r="D849" s="454"/>
      <c r="E849" s="454"/>
      <c r="F849" s="454"/>
      <c r="G849" s="454"/>
      <c r="H849" s="602"/>
    </row>
    <row r="850" spans="1:8" ht="20.100000000000001" customHeight="1" x14ac:dyDescent="0.45">
      <c r="A850" s="456"/>
      <c r="B850" s="454"/>
      <c r="C850" s="454"/>
      <c r="D850" s="454"/>
      <c r="E850" s="454"/>
      <c r="F850" s="454"/>
      <c r="G850" s="454"/>
      <c r="H850" s="602"/>
    </row>
    <row r="851" spans="1:8" ht="20.100000000000001" customHeight="1" x14ac:dyDescent="0.45">
      <c r="A851" s="456"/>
      <c r="B851" s="454"/>
      <c r="C851" s="454"/>
      <c r="D851" s="454"/>
      <c r="E851" s="454"/>
      <c r="F851" s="454"/>
      <c r="G851" s="454"/>
      <c r="H851" s="602"/>
    </row>
    <row r="852" spans="1:8" ht="20.100000000000001" customHeight="1" x14ac:dyDescent="0.45">
      <c r="A852" s="456"/>
      <c r="B852" s="454"/>
      <c r="C852" s="454"/>
      <c r="D852" s="454"/>
      <c r="E852" s="454"/>
      <c r="F852" s="454"/>
      <c r="G852" s="454"/>
      <c r="H852" s="602"/>
    </row>
    <row r="853" spans="1:8" ht="20.100000000000001" customHeight="1" x14ac:dyDescent="0.45">
      <c r="A853" s="456"/>
      <c r="B853" s="454"/>
      <c r="C853" s="454"/>
      <c r="D853" s="454"/>
      <c r="E853" s="454"/>
      <c r="F853" s="454"/>
      <c r="G853" s="454"/>
      <c r="H853" s="602"/>
    </row>
    <row r="854" spans="1:8" ht="20.100000000000001" customHeight="1" x14ac:dyDescent="0.45">
      <c r="A854" s="456"/>
      <c r="B854" s="454"/>
      <c r="C854" s="454"/>
      <c r="D854" s="454"/>
      <c r="E854" s="454"/>
      <c r="F854" s="454"/>
      <c r="G854" s="454"/>
      <c r="H854" s="602"/>
    </row>
    <row r="855" spans="1:8" ht="20.100000000000001" customHeight="1" x14ac:dyDescent="0.45">
      <c r="A855" s="456"/>
      <c r="B855" s="454"/>
      <c r="C855" s="454"/>
      <c r="D855" s="454"/>
      <c r="E855" s="454"/>
      <c r="F855" s="454"/>
      <c r="G855" s="454"/>
      <c r="H855" s="602"/>
    </row>
    <row r="856" spans="1:8" ht="20.100000000000001" customHeight="1" x14ac:dyDescent="0.45">
      <c r="A856" s="456"/>
      <c r="B856" s="454"/>
      <c r="C856" s="454"/>
      <c r="D856" s="454"/>
      <c r="E856" s="454"/>
      <c r="F856" s="454"/>
      <c r="G856" s="454"/>
      <c r="H856" s="602"/>
    </row>
    <row r="857" spans="1:8" ht="20.100000000000001" customHeight="1" x14ac:dyDescent="0.45">
      <c r="A857" s="456"/>
      <c r="B857" s="454"/>
      <c r="C857" s="454"/>
      <c r="D857" s="454"/>
      <c r="E857" s="454"/>
      <c r="F857" s="454"/>
      <c r="G857" s="454"/>
      <c r="H857" s="602"/>
    </row>
    <row r="858" spans="1:8" ht="20.100000000000001" customHeight="1" x14ac:dyDescent="0.45">
      <c r="A858" s="456"/>
      <c r="B858" s="454"/>
      <c r="C858" s="454"/>
      <c r="D858" s="454"/>
      <c r="E858" s="454"/>
      <c r="F858" s="454"/>
      <c r="G858" s="454"/>
      <c r="H858" s="602"/>
    </row>
    <row r="859" spans="1:8" ht="20.100000000000001" customHeight="1" x14ac:dyDescent="0.45">
      <c r="A859" s="456"/>
      <c r="B859" s="454"/>
      <c r="C859" s="454"/>
      <c r="D859" s="454"/>
      <c r="E859" s="454"/>
      <c r="F859" s="454"/>
      <c r="G859" s="454"/>
      <c r="H859" s="602"/>
    </row>
    <row r="860" spans="1:8" ht="20.100000000000001" customHeight="1" x14ac:dyDescent="0.45">
      <c r="A860" s="456"/>
      <c r="B860" s="454"/>
      <c r="C860" s="454"/>
      <c r="D860" s="454"/>
      <c r="E860" s="454"/>
      <c r="F860" s="454"/>
      <c r="G860" s="454"/>
      <c r="H860" s="602"/>
    </row>
    <row r="861" spans="1:8" ht="20.100000000000001" customHeight="1" x14ac:dyDescent="0.45">
      <c r="A861" s="456"/>
      <c r="B861" s="454"/>
      <c r="C861" s="454"/>
      <c r="D861" s="454"/>
      <c r="E861" s="454"/>
      <c r="F861" s="454"/>
      <c r="G861" s="454"/>
      <c r="H861" s="602"/>
    </row>
    <row r="862" spans="1:8" ht="20.100000000000001" customHeight="1" x14ac:dyDescent="0.45">
      <c r="A862" s="456"/>
      <c r="B862" s="454"/>
      <c r="C862" s="454"/>
      <c r="D862" s="454"/>
      <c r="E862" s="454"/>
      <c r="F862" s="454"/>
      <c r="G862" s="454"/>
      <c r="H862" s="602"/>
    </row>
    <row r="863" spans="1:8" ht="20.100000000000001" customHeight="1" x14ac:dyDescent="0.45">
      <c r="A863" s="456"/>
      <c r="B863" s="454"/>
      <c r="C863" s="454"/>
      <c r="D863" s="454"/>
      <c r="E863" s="454"/>
      <c r="F863" s="454"/>
      <c r="G863" s="454"/>
      <c r="H863" s="602"/>
    </row>
    <row r="864" spans="1:8" ht="20.100000000000001" customHeight="1" x14ac:dyDescent="0.45">
      <c r="A864" s="456"/>
      <c r="B864" s="454"/>
      <c r="C864" s="454"/>
      <c r="D864" s="454"/>
      <c r="E864" s="454"/>
      <c r="F864" s="454"/>
      <c r="G864" s="454"/>
      <c r="H864" s="602"/>
    </row>
    <row r="865" spans="1:8" ht="20.100000000000001" customHeight="1" x14ac:dyDescent="0.45">
      <c r="A865" s="456"/>
      <c r="B865" s="454"/>
      <c r="C865" s="454"/>
      <c r="D865" s="454"/>
      <c r="E865" s="454"/>
      <c r="F865" s="454"/>
      <c r="G865" s="454"/>
      <c r="H865" s="602"/>
    </row>
    <row r="866" spans="1:8" ht="20.100000000000001" customHeight="1" x14ac:dyDescent="0.45">
      <c r="A866" s="456"/>
      <c r="B866" s="454"/>
      <c r="C866" s="454"/>
      <c r="D866" s="454"/>
      <c r="E866" s="454"/>
      <c r="F866" s="454"/>
      <c r="G866" s="454"/>
      <c r="H866" s="602"/>
    </row>
    <row r="867" spans="1:8" ht="20.100000000000001" customHeight="1" x14ac:dyDescent="0.45">
      <c r="A867" s="456"/>
      <c r="B867" s="454"/>
      <c r="C867" s="454"/>
      <c r="D867" s="454"/>
      <c r="E867" s="454"/>
      <c r="F867" s="454"/>
      <c r="G867" s="454"/>
      <c r="H867" s="602"/>
    </row>
    <row r="868" spans="1:8" ht="20.100000000000001" customHeight="1" x14ac:dyDescent="0.45">
      <c r="A868" s="456"/>
      <c r="B868" s="454"/>
      <c r="C868" s="454"/>
      <c r="D868" s="454"/>
      <c r="E868" s="454"/>
      <c r="F868" s="454"/>
      <c r="G868" s="454"/>
      <c r="H868" s="602"/>
    </row>
    <row r="869" spans="1:8" ht="20.100000000000001" customHeight="1" x14ac:dyDescent="0.45">
      <c r="A869" s="456"/>
      <c r="B869" s="454"/>
      <c r="C869" s="454"/>
      <c r="D869" s="454"/>
      <c r="E869" s="454"/>
      <c r="F869" s="454"/>
      <c r="G869" s="454"/>
      <c r="H869" s="602"/>
    </row>
    <row r="870" spans="1:8" ht="20.100000000000001" customHeight="1" x14ac:dyDescent="0.45">
      <c r="A870" s="456"/>
      <c r="B870" s="454"/>
      <c r="C870" s="454"/>
      <c r="D870" s="454"/>
      <c r="E870" s="454"/>
      <c r="F870" s="454"/>
      <c r="G870" s="454"/>
      <c r="H870" s="602"/>
    </row>
    <row r="871" spans="1:8" ht="20.100000000000001" customHeight="1" x14ac:dyDescent="0.45">
      <c r="A871" s="456"/>
      <c r="B871" s="454"/>
      <c r="C871" s="454"/>
      <c r="D871" s="454"/>
      <c r="E871" s="454"/>
      <c r="F871" s="454"/>
      <c r="G871" s="454"/>
      <c r="H871" s="602"/>
    </row>
    <row r="872" spans="1:8" ht="20.100000000000001" customHeight="1" x14ac:dyDescent="0.45">
      <c r="A872" s="456"/>
      <c r="B872" s="454"/>
      <c r="C872" s="454"/>
      <c r="D872" s="454"/>
      <c r="E872" s="454"/>
      <c r="F872" s="454"/>
      <c r="G872" s="454"/>
      <c r="H872" s="602"/>
    </row>
    <row r="873" spans="1:8" ht="20.100000000000001" customHeight="1" x14ac:dyDescent="0.45">
      <c r="A873" s="456"/>
      <c r="B873" s="454"/>
      <c r="C873" s="454"/>
      <c r="D873" s="454"/>
      <c r="E873" s="454"/>
      <c r="F873" s="454"/>
      <c r="G873" s="454"/>
      <c r="H873" s="602"/>
    </row>
    <row r="874" spans="1:8" ht="20.100000000000001" customHeight="1" x14ac:dyDescent="0.45">
      <c r="A874" s="456"/>
      <c r="B874" s="454"/>
      <c r="C874" s="454"/>
      <c r="D874" s="454"/>
      <c r="E874" s="454"/>
      <c r="F874" s="454"/>
      <c r="G874" s="454"/>
      <c r="H874" s="602"/>
    </row>
    <row r="875" spans="1:8" ht="20.100000000000001" customHeight="1" x14ac:dyDescent="0.45">
      <c r="A875" s="456"/>
      <c r="B875" s="454"/>
      <c r="C875" s="454"/>
      <c r="D875" s="454"/>
      <c r="E875" s="454"/>
      <c r="F875" s="454"/>
      <c r="G875" s="454"/>
      <c r="H875" s="602"/>
    </row>
    <row r="876" spans="1:8" ht="20.100000000000001" customHeight="1" x14ac:dyDescent="0.45">
      <c r="A876" s="456"/>
      <c r="B876" s="454"/>
      <c r="C876" s="454"/>
      <c r="D876" s="454"/>
      <c r="E876" s="454"/>
      <c r="F876" s="454"/>
      <c r="G876" s="454"/>
      <c r="H876" s="602"/>
    </row>
    <row r="877" spans="1:8" ht="20.100000000000001" customHeight="1" x14ac:dyDescent="0.45">
      <c r="A877" s="456"/>
      <c r="B877" s="454"/>
      <c r="C877" s="454"/>
      <c r="D877" s="454"/>
      <c r="E877" s="454"/>
      <c r="F877" s="454"/>
      <c r="G877" s="454"/>
      <c r="H877" s="602"/>
    </row>
    <row r="878" spans="1:8" ht="20.100000000000001" customHeight="1" x14ac:dyDescent="0.45">
      <c r="A878" s="456"/>
      <c r="B878" s="454"/>
      <c r="C878" s="454"/>
      <c r="D878" s="454"/>
      <c r="E878" s="454"/>
      <c r="F878" s="454"/>
      <c r="G878" s="454"/>
      <c r="H878" s="602"/>
    </row>
    <row r="879" spans="1:8" ht="20.100000000000001" customHeight="1" x14ac:dyDescent="0.45">
      <c r="A879" s="456"/>
      <c r="B879" s="454"/>
      <c r="C879" s="454"/>
      <c r="D879" s="454"/>
      <c r="E879" s="454"/>
      <c r="F879" s="454"/>
      <c r="G879" s="454"/>
      <c r="H879" s="602"/>
    </row>
    <row r="880" spans="1:8" ht="20.100000000000001" customHeight="1" x14ac:dyDescent="0.45">
      <c r="A880" s="456"/>
      <c r="B880" s="454"/>
      <c r="C880" s="454"/>
      <c r="D880" s="454"/>
      <c r="E880" s="454"/>
      <c r="F880" s="454"/>
      <c r="G880" s="454"/>
      <c r="H880" s="602"/>
    </row>
    <row r="881" spans="1:8" ht="20.100000000000001" customHeight="1" x14ac:dyDescent="0.45">
      <c r="A881" s="456"/>
      <c r="B881" s="454"/>
      <c r="C881" s="454"/>
      <c r="D881" s="454"/>
      <c r="E881" s="454"/>
      <c r="F881" s="454"/>
      <c r="G881" s="454"/>
      <c r="H881" s="602"/>
    </row>
    <row r="882" spans="1:8" ht="20.100000000000001" customHeight="1" x14ac:dyDescent="0.45">
      <c r="A882" s="456"/>
      <c r="B882" s="454"/>
      <c r="C882" s="454"/>
      <c r="D882" s="454"/>
      <c r="E882" s="454"/>
      <c r="F882" s="454"/>
      <c r="G882" s="454"/>
      <c r="H882" s="602"/>
    </row>
    <row r="883" spans="1:8" ht="20.100000000000001" customHeight="1" x14ac:dyDescent="0.45">
      <c r="A883" s="456"/>
      <c r="B883" s="454"/>
      <c r="C883" s="454"/>
      <c r="D883" s="454"/>
      <c r="E883" s="454"/>
      <c r="F883" s="454"/>
      <c r="G883" s="454"/>
      <c r="H883" s="602"/>
    </row>
    <row r="884" spans="1:8" ht="20.100000000000001" customHeight="1" x14ac:dyDescent="0.45">
      <c r="A884" s="456"/>
      <c r="B884" s="454"/>
      <c r="C884" s="454"/>
      <c r="D884" s="454"/>
      <c r="E884" s="454"/>
      <c r="F884" s="454"/>
      <c r="G884" s="454"/>
      <c r="H884" s="602"/>
    </row>
    <row r="885" spans="1:8" ht="20.100000000000001" customHeight="1" x14ac:dyDescent="0.45">
      <c r="A885" s="456"/>
      <c r="B885" s="454"/>
      <c r="C885" s="454"/>
      <c r="D885" s="454"/>
      <c r="E885" s="454"/>
      <c r="F885" s="454"/>
      <c r="G885" s="454"/>
      <c r="H885" s="602"/>
    </row>
    <row r="886" spans="1:8" ht="20.100000000000001" customHeight="1" x14ac:dyDescent="0.45">
      <c r="A886" s="456"/>
      <c r="B886" s="454"/>
      <c r="C886" s="454"/>
      <c r="D886" s="454"/>
      <c r="E886" s="454"/>
      <c r="F886" s="454"/>
      <c r="G886" s="454"/>
      <c r="H886" s="602"/>
    </row>
    <row r="887" spans="1:8" ht="20.100000000000001" customHeight="1" x14ac:dyDescent="0.45">
      <c r="A887" s="456"/>
      <c r="B887" s="454"/>
      <c r="C887" s="454"/>
      <c r="D887" s="454"/>
      <c r="E887" s="454"/>
      <c r="F887" s="454"/>
      <c r="G887" s="454"/>
      <c r="H887" s="602"/>
    </row>
    <row r="888" spans="1:8" ht="20.100000000000001" customHeight="1" x14ac:dyDescent="0.45">
      <c r="A888" s="456"/>
      <c r="B888" s="454"/>
      <c r="C888" s="454"/>
      <c r="D888" s="454"/>
      <c r="E888" s="454"/>
      <c r="F888" s="454"/>
      <c r="G888" s="454"/>
      <c r="H888" s="602"/>
    </row>
    <row r="889" spans="1:8" ht="20.100000000000001" customHeight="1" x14ac:dyDescent="0.45">
      <c r="A889" s="456"/>
      <c r="B889" s="454"/>
      <c r="C889" s="454"/>
      <c r="D889" s="454"/>
      <c r="E889" s="454"/>
      <c r="F889" s="454"/>
      <c r="G889" s="454"/>
      <c r="H889" s="602"/>
    </row>
    <row r="890" spans="1:8" ht="20.100000000000001" customHeight="1" x14ac:dyDescent="0.45">
      <c r="A890" s="456"/>
      <c r="B890" s="454"/>
      <c r="C890" s="454"/>
      <c r="D890" s="454"/>
      <c r="E890" s="454"/>
      <c r="F890" s="454"/>
      <c r="G890" s="454"/>
      <c r="H890" s="602"/>
    </row>
    <row r="891" spans="1:8" ht="20.100000000000001" customHeight="1" x14ac:dyDescent="0.45">
      <c r="A891" s="456"/>
      <c r="B891" s="454"/>
      <c r="C891" s="454"/>
      <c r="D891" s="454"/>
      <c r="E891" s="454"/>
      <c r="F891" s="454"/>
      <c r="G891" s="454"/>
      <c r="H891" s="602"/>
    </row>
    <row r="892" spans="1:8" ht="20.100000000000001" customHeight="1" x14ac:dyDescent="0.45">
      <c r="A892" s="456"/>
      <c r="B892" s="454"/>
      <c r="C892" s="454"/>
      <c r="D892" s="454"/>
      <c r="E892" s="454"/>
      <c r="F892" s="454"/>
      <c r="G892" s="454"/>
      <c r="H892" s="602"/>
    </row>
    <row r="893" spans="1:8" ht="20.100000000000001" customHeight="1" x14ac:dyDescent="0.45">
      <c r="A893" s="456"/>
      <c r="B893" s="454"/>
      <c r="C893" s="454"/>
      <c r="D893" s="454"/>
      <c r="E893" s="454"/>
      <c r="F893" s="454"/>
      <c r="G893" s="454"/>
      <c r="H893" s="602"/>
    </row>
    <row r="894" spans="1:8" ht="20.100000000000001" customHeight="1" x14ac:dyDescent="0.45">
      <c r="A894" s="456"/>
      <c r="B894" s="454"/>
      <c r="C894" s="454"/>
      <c r="D894" s="454"/>
      <c r="E894" s="454"/>
      <c r="F894" s="454"/>
      <c r="G894" s="454"/>
      <c r="H894" s="602"/>
    </row>
    <row r="895" spans="1:8" ht="20.100000000000001" customHeight="1" x14ac:dyDescent="0.45">
      <c r="A895" s="456"/>
      <c r="B895" s="454"/>
      <c r="C895" s="454"/>
      <c r="D895" s="454"/>
      <c r="E895" s="454"/>
      <c r="F895" s="454"/>
      <c r="G895" s="454"/>
      <c r="H895" s="602"/>
    </row>
    <row r="896" spans="1:8" ht="20.100000000000001" customHeight="1" x14ac:dyDescent="0.45">
      <c r="A896" s="456"/>
      <c r="B896" s="454"/>
      <c r="C896" s="454"/>
      <c r="D896" s="454"/>
      <c r="E896" s="454"/>
      <c r="F896" s="454"/>
      <c r="G896" s="454"/>
      <c r="H896" s="602"/>
    </row>
    <row r="897" spans="1:8" ht="20.100000000000001" customHeight="1" x14ac:dyDescent="0.45">
      <c r="A897" s="456"/>
      <c r="B897" s="454"/>
      <c r="C897" s="454"/>
      <c r="D897" s="454"/>
      <c r="E897" s="454"/>
      <c r="F897" s="454"/>
      <c r="G897" s="454"/>
      <c r="H897" s="602"/>
    </row>
    <row r="898" spans="1:8" ht="20.100000000000001" customHeight="1" x14ac:dyDescent="0.45">
      <c r="A898" s="456"/>
      <c r="B898" s="454"/>
      <c r="C898" s="454"/>
      <c r="D898" s="454"/>
      <c r="E898" s="454"/>
      <c r="F898" s="454"/>
      <c r="G898" s="454"/>
      <c r="H898" s="602"/>
    </row>
    <row r="899" spans="1:8" ht="20.100000000000001" customHeight="1" x14ac:dyDescent="0.45">
      <c r="A899" s="456"/>
      <c r="B899" s="454"/>
      <c r="C899" s="454"/>
      <c r="D899" s="454"/>
      <c r="E899" s="454"/>
      <c r="F899" s="454"/>
      <c r="G899" s="454"/>
      <c r="H899" s="602"/>
    </row>
    <row r="900" spans="1:8" ht="20.100000000000001" customHeight="1" x14ac:dyDescent="0.45">
      <c r="A900" s="456"/>
      <c r="B900" s="454"/>
      <c r="C900" s="454"/>
      <c r="D900" s="454"/>
      <c r="E900" s="454"/>
      <c r="F900" s="454"/>
      <c r="G900" s="454"/>
      <c r="H900" s="602"/>
    </row>
    <row r="901" spans="1:8" ht="20.100000000000001" customHeight="1" x14ac:dyDescent="0.45">
      <c r="A901" s="456"/>
      <c r="B901" s="454"/>
      <c r="C901" s="454"/>
      <c r="D901" s="454"/>
      <c r="E901" s="454"/>
      <c r="F901" s="454"/>
      <c r="G901" s="454"/>
      <c r="H901" s="602"/>
    </row>
    <row r="902" spans="1:8" ht="20.100000000000001" customHeight="1" x14ac:dyDescent="0.45">
      <c r="A902" s="456"/>
      <c r="B902" s="454"/>
      <c r="C902" s="454"/>
      <c r="D902" s="454"/>
      <c r="E902" s="454"/>
      <c r="F902" s="454"/>
      <c r="G902" s="454"/>
      <c r="H902" s="602"/>
    </row>
    <row r="903" spans="1:8" ht="20.100000000000001" customHeight="1" x14ac:dyDescent="0.45">
      <c r="A903" s="456"/>
      <c r="B903" s="454"/>
      <c r="C903" s="454"/>
      <c r="D903" s="454"/>
      <c r="E903" s="454"/>
      <c r="F903" s="454"/>
      <c r="G903" s="454"/>
      <c r="H903" s="602"/>
    </row>
    <row r="904" spans="1:8" ht="20.100000000000001" customHeight="1" x14ac:dyDescent="0.45">
      <c r="A904" s="456"/>
      <c r="B904" s="454"/>
      <c r="C904" s="454"/>
      <c r="D904" s="454"/>
      <c r="E904" s="454"/>
      <c r="F904" s="454"/>
      <c r="G904" s="454"/>
      <c r="H904" s="602"/>
    </row>
    <row r="905" spans="1:8" ht="20.100000000000001" customHeight="1" x14ac:dyDescent="0.45">
      <c r="A905" s="456"/>
      <c r="B905" s="454"/>
      <c r="C905" s="454"/>
      <c r="D905" s="454"/>
      <c r="E905" s="454"/>
      <c r="F905" s="454"/>
      <c r="G905" s="454"/>
      <c r="H905" s="602"/>
    </row>
    <row r="906" spans="1:8" ht="20.100000000000001" customHeight="1" x14ac:dyDescent="0.45">
      <c r="A906" s="456"/>
      <c r="B906" s="454"/>
      <c r="C906" s="454"/>
      <c r="D906" s="454"/>
      <c r="E906" s="454"/>
      <c r="F906" s="454"/>
      <c r="G906" s="454"/>
      <c r="H906" s="602"/>
    </row>
    <row r="907" spans="1:8" ht="20.100000000000001" customHeight="1" x14ac:dyDescent="0.45">
      <c r="A907" s="456"/>
      <c r="B907" s="454"/>
      <c r="C907" s="454"/>
      <c r="D907" s="454"/>
      <c r="E907" s="454"/>
      <c r="F907" s="454"/>
      <c r="G907" s="454"/>
      <c r="H907" s="602"/>
    </row>
    <row r="908" spans="1:8" ht="20.100000000000001" customHeight="1" x14ac:dyDescent="0.45">
      <c r="A908" s="456"/>
      <c r="B908" s="454"/>
      <c r="C908" s="454"/>
      <c r="D908" s="454"/>
      <c r="E908" s="454"/>
      <c r="F908" s="454"/>
      <c r="G908" s="454"/>
      <c r="H908" s="602"/>
    </row>
    <row r="909" spans="1:8" ht="20.100000000000001" customHeight="1" x14ac:dyDescent="0.45">
      <c r="A909" s="456"/>
      <c r="B909" s="454"/>
      <c r="C909" s="454"/>
      <c r="D909" s="454"/>
      <c r="E909" s="454"/>
      <c r="F909" s="454"/>
      <c r="G909" s="454"/>
      <c r="H909" s="602"/>
    </row>
    <row r="910" spans="1:8" ht="20.100000000000001" customHeight="1" x14ac:dyDescent="0.45">
      <c r="A910" s="456"/>
      <c r="B910" s="454"/>
      <c r="C910" s="454"/>
      <c r="D910" s="454"/>
      <c r="E910" s="454"/>
      <c r="F910" s="454"/>
      <c r="G910" s="454"/>
      <c r="H910" s="602"/>
    </row>
    <row r="911" spans="1:8" ht="20.100000000000001" customHeight="1" x14ac:dyDescent="0.45">
      <c r="A911" s="456"/>
      <c r="B911" s="454"/>
      <c r="C911" s="454"/>
      <c r="D911" s="454"/>
      <c r="E911" s="454"/>
      <c r="F911" s="454"/>
      <c r="G911" s="454"/>
      <c r="H911" s="602"/>
    </row>
    <row r="912" spans="1:8" ht="20.100000000000001" customHeight="1" x14ac:dyDescent="0.45">
      <c r="A912" s="456"/>
      <c r="B912" s="454"/>
      <c r="C912" s="454"/>
      <c r="D912" s="454"/>
      <c r="E912" s="454"/>
      <c r="F912" s="454"/>
      <c r="G912" s="454"/>
      <c r="H912" s="602"/>
    </row>
    <row r="913" spans="1:8" ht="20.100000000000001" customHeight="1" x14ac:dyDescent="0.45">
      <c r="A913" s="456"/>
      <c r="B913" s="454"/>
      <c r="C913" s="454"/>
      <c r="D913" s="454"/>
      <c r="E913" s="454"/>
      <c r="F913" s="454"/>
      <c r="G913" s="454"/>
      <c r="H913" s="602"/>
    </row>
    <row r="914" spans="1:8" ht="20.100000000000001" customHeight="1" x14ac:dyDescent="0.45">
      <c r="A914" s="456"/>
      <c r="B914" s="454"/>
      <c r="C914" s="454"/>
      <c r="D914" s="454"/>
      <c r="E914" s="454"/>
      <c r="F914" s="454"/>
      <c r="G914" s="454"/>
      <c r="H914" s="602"/>
    </row>
    <row r="915" spans="1:8" ht="20.100000000000001" customHeight="1" x14ac:dyDescent="0.45">
      <c r="A915" s="456"/>
      <c r="B915" s="454"/>
      <c r="C915" s="454"/>
      <c r="D915" s="454"/>
      <c r="E915" s="454"/>
      <c r="F915" s="454"/>
      <c r="G915" s="454"/>
      <c r="H915" s="602"/>
    </row>
    <row r="916" spans="1:8" ht="20.100000000000001" customHeight="1" x14ac:dyDescent="0.45">
      <c r="A916" s="456"/>
      <c r="B916" s="454"/>
      <c r="C916" s="454"/>
      <c r="D916" s="454"/>
      <c r="E916" s="454"/>
      <c r="F916" s="454"/>
      <c r="G916" s="454"/>
      <c r="H916" s="602"/>
    </row>
    <row r="917" spans="1:8" ht="20.100000000000001" customHeight="1" x14ac:dyDescent="0.45">
      <c r="A917" s="456"/>
      <c r="B917" s="454"/>
      <c r="C917" s="454"/>
      <c r="D917" s="454"/>
      <c r="E917" s="454"/>
      <c r="F917" s="454"/>
      <c r="G917" s="454"/>
      <c r="H917" s="602"/>
    </row>
    <row r="918" spans="1:8" ht="20.100000000000001" customHeight="1" x14ac:dyDescent="0.45">
      <c r="A918" s="456"/>
      <c r="B918" s="454"/>
      <c r="C918" s="454"/>
      <c r="D918" s="454"/>
      <c r="E918" s="454"/>
      <c r="F918" s="454"/>
      <c r="G918" s="454"/>
      <c r="H918" s="602"/>
    </row>
    <row r="919" spans="1:8" ht="20.100000000000001" customHeight="1" x14ac:dyDescent="0.45">
      <c r="A919" s="456"/>
      <c r="B919" s="454"/>
      <c r="C919" s="454"/>
      <c r="D919" s="454"/>
      <c r="E919" s="454"/>
      <c r="F919" s="454"/>
      <c r="G919" s="454"/>
      <c r="H919" s="602"/>
    </row>
    <row r="920" spans="1:8" ht="20.100000000000001" customHeight="1" x14ac:dyDescent="0.45">
      <c r="A920" s="456"/>
      <c r="B920" s="454"/>
      <c r="C920" s="454"/>
      <c r="D920" s="454"/>
      <c r="E920" s="454"/>
      <c r="F920" s="454"/>
      <c r="G920" s="454"/>
      <c r="H920" s="602"/>
    </row>
    <row r="921" spans="1:8" ht="20.100000000000001" customHeight="1" x14ac:dyDescent="0.45">
      <c r="A921" s="456"/>
      <c r="B921" s="454"/>
      <c r="C921" s="454"/>
      <c r="D921" s="454"/>
      <c r="E921" s="454"/>
      <c r="F921" s="454"/>
      <c r="G921" s="454"/>
      <c r="H921" s="602"/>
    </row>
    <row r="922" spans="1:8" ht="20.100000000000001" customHeight="1" x14ac:dyDescent="0.45">
      <c r="A922" s="456"/>
      <c r="B922" s="454"/>
      <c r="C922" s="454"/>
      <c r="D922" s="454"/>
      <c r="E922" s="454"/>
      <c r="F922" s="454"/>
      <c r="G922" s="454"/>
      <c r="H922" s="602"/>
    </row>
    <row r="923" spans="1:8" ht="20.100000000000001" customHeight="1" x14ac:dyDescent="0.45">
      <c r="A923" s="456"/>
      <c r="B923" s="454"/>
      <c r="C923" s="454"/>
      <c r="D923" s="454"/>
      <c r="E923" s="454"/>
      <c r="F923" s="454"/>
      <c r="G923" s="454"/>
      <c r="H923" s="602"/>
    </row>
    <row r="924" spans="1:8" ht="20.100000000000001" customHeight="1" x14ac:dyDescent="0.45">
      <c r="A924" s="456"/>
      <c r="B924" s="454"/>
      <c r="C924" s="454"/>
      <c r="D924" s="454"/>
      <c r="E924" s="454"/>
      <c r="F924" s="454"/>
      <c r="G924" s="454"/>
      <c r="H924" s="602"/>
    </row>
    <row r="925" spans="1:8" ht="20.100000000000001" customHeight="1" x14ac:dyDescent="0.45">
      <c r="A925" s="456"/>
      <c r="B925" s="454"/>
      <c r="C925" s="454"/>
      <c r="D925" s="454"/>
      <c r="E925" s="454"/>
      <c r="F925" s="454"/>
      <c r="G925" s="454"/>
      <c r="H925" s="602"/>
    </row>
    <row r="926" spans="1:8" ht="20.100000000000001" customHeight="1" x14ac:dyDescent="0.45">
      <c r="A926" s="456"/>
      <c r="B926" s="454"/>
      <c r="C926" s="454"/>
      <c r="D926" s="454"/>
      <c r="E926" s="454"/>
      <c r="F926" s="454"/>
      <c r="G926" s="454"/>
      <c r="H926" s="602"/>
    </row>
    <row r="927" spans="1:8" ht="20.100000000000001" customHeight="1" x14ac:dyDescent="0.45">
      <c r="A927" s="456"/>
      <c r="B927" s="454"/>
      <c r="C927" s="454"/>
      <c r="D927" s="454"/>
      <c r="E927" s="454"/>
      <c r="F927" s="454"/>
      <c r="G927" s="454"/>
      <c r="H927" s="602"/>
    </row>
    <row r="928" spans="1:8" ht="20.100000000000001" customHeight="1" x14ac:dyDescent="0.45">
      <c r="A928" s="456"/>
      <c r="B928" s="454"/>
      <c r="C928" s="454"/>
      <c r="D928" s="454"/>
      <c r="E928" s="454"/>
      <c r="F928" s="454"/>
      <c r="G928" s="454"/>
      <c r="H928" s="602"/>
    </row>
    <row r="929" spans="1:8" ht="20.100000000000001" customHeight="1" x14ac:dyDescent="0.45">
      <c r="A929" s="456"/>
      <c r="B929" s="454"/>
      <c r="C929" s="454"/>
      <c r="D929" s="454"/>
      <c r="E929" s="454"/>
      <c r="F929" s="454"/>
      <c r="G929" s="454"/>
      <c r="H929" s="602"/>
    </row>
    <row r="930" spans="1:8" ht="20.100000000000001" customHeight="1" x14ac:dyDescent="0.45">
      <c r="A930" s="456"/>
      <c r="B930" s="454"/>
      <c r="C930" s="454"/>
      <c r="D930" s="454"/>
      <c r="E930" s="454"/>
      <c r="F930" s="454"/>
      <c r="G930" s="454"/>
      <c r="H930" s="602"/>
    </row>
    <row r="931" spans="1:8" ht="20.100000000000001" customHeight="1" x14ac:dyDescent="0.45">
      <c r="A931" s="456"/>
      <c r="B931" s="454"/>
      <c r="C931" s="454"/>
      <c r="D931" s="454"/>
      <c r="E931" s="454"/>
      <c r="F931" s="454"/>
      <c r="G931" s="454"/>
      <c r="H931" s="602"/>
    </row>
    <row r="932" spans="1:8" ht="20.100000000000001" customHeight="1" x14ac:dyDescent="0.45">
      <c r="A932" s="456"/>
      <c r="B932" s="454"/>
      <c r="C932" s="454"/>
      <c r="D932" s="454"/>
      <c r="E932" s="454"/>
      <c r="F932" s="454"/>
      <c r="G932" s="454"/>
      <c r="H932" s="602"/>
    </row>
    <row r="933" spans="1:8" ht="20.100000000000001" customHeight="1" x14ac:dyDescent="0.45">
      <c r="A933" s="456"/>
      <c r="B933" s="454"/>
      <c r="C933" s="454"/>
      <c r="D933" s="454"/>
      <c r="E933" s="454"/>
      <c r="F933" s="454"/>
      <c r="G933" s="454"/>
      <c r="H933" s="602"/>
    </row>
    <row r="934" spans="1:8" ht="20.100000000000001" customHeight="1" x14ac:dyDescent="0.45">
      <c r="A934" s="456"/>
      <c r="B934" s="454"/>
      <c r="C934" s="454"/>
      <c r="D934" s="454"/>
      <c r="E934" s="454"/>
      <c r="F934" s="454"/>
      <c r="G934" s="454"/>
      <c r="H934" s="602"/>
    </row>
    <row r="935" spans="1:8" ht="20.100000000000001" customHeight="1" x14ac:dyDescent="0.45">
      <c r="A935" s="456"/>
      <c r="B935" s="454"/>
      <c r="C935" s="454"/>
      <c r="D935" s="454"/>
      <c r="E935" s="454"/>
      <c r="F935" s="454"/>
      <c r="G935" s="454"/>
      <c r="H935" s="602"/>
    </row>
    <row r="936" spans="1:8" ht="20.100000000000001" customHeight="1" x14ac:dyDescent="0.45">
      <c r="A936" s="456"/>
      <c r="B936" s="454"/>
      <c r="C936" s="454"/>
      <c r="D936" s="454"/>
      <c r="E936" s="454"/>
      <c r="F936" s="454"/>
      <c r="G936" s="454"/>
      <c r="H936" s="602"/>
    </row>
    <row r="937" spans="1:8" ht="20.100000000000001" customHeight="1" x14ac:dyDescent="0.45">
      <c r="A937" s="456"/>
      <c r="B937" s="454"/>
      <c r="C937" s="454"/>
      <c r="D937" s="454"/>
      <c r="E937" s="454"/>
      <c r="F937" s="454"/>
      <c r="G937" s="454"/>
      <c r="H937" s="602"/>
    </row>
    <row r="938" spans="1:8" ht="20.100000000000001" customHeight="1" x14ac:dyDescent="0.45">
      <c r="A938" s="456"/>
      <c r="B938" s="454"/>
      <c r="C938" s="454"/>
      <c r="D938" s="454"/>
      <c r="E938" s="454"/>
      <c r="F938" s="454"/>
      <c r="G938" s="454"/>
      <c r="H938" s="602"/>
    </row>
    <row r="939" spans="1:8" ht="20.100000000000001" customHeight="1" x14ac:dyDescent="0.45">
      <c r="A939" s="456"/>
      <c r="B939" s="454"/>
      <c r="C939" s="454"/>
      <c r="D939" s="454"/>
      <c r="E939" s="454"/>
      <c r="F939" s="454"/>
      <c r="G939" s="454"/>
      <c r="H939" s="602"/>
    </row>
    <row r="940" spans="1:8" ht="20.100000000000001" customHeight="1" x14ac:dyDescent="0.45">
      <c r="A940" s="456"/>
      <c r="B940" s="454"/>
      <c r="C940" s="454"/>
      <c r="D940" s="454"/>
      <c r="E940" s="454"/>
      <c r="F940" s="454"/>
      <c r="G940" s="454"/>
      <c r="H940" s="602"/>
    </row>
    <row r="941" spans="1:8" ht="20.100000000000001" customHeight="1" x14ac:dyDescent="0.45">
      <c r="A941" s="456"/>
      <c r="B941" s="454"/>
      <c r="C941" s="454"/>
      <c r="D941" s="454"/>
      <c r="E941" s="454"/>
      <c r="F941" s="454"/>
      <c r="G941" s="454"/>
      <c r="H941" s="602"/>
    </row>
    <row r="942" spans="1:8" ht="20.100000000000001" customHeight="1" x14ac:dyDescent="0.45">
      <c r="A942" s="456"/>
      <c r="B942" s="454"/>
      <c r="C942" s="454"/>
      <c r="D942" s="454"/>
      <c r="E942" s="454"/>
      <c r="F942" s="454"/>
      <c r="G942" s="454"/>
      <c r="H942" s="602"/>
    </row>
    <row r="943" spans="1:8" ht="20.100000000000001" customHeight="1" x14ac:dyDescent="0.45">
      <c r="A943" s="456"/>
      <c r="B943" s="454"/>
      <c r="C943" s="454"/>
      <c r="D943" s="454"/>
      <c r="E943" s="454"/>
      <c r="F943" s="454"/>
      <c r="G943" s="454"/>
      <c r="H943" s="602"/>
    </row>
    <row r="944" spans="1:8" ht="20.100000000000001" customHeight="1" x14ac:dyDescent="0.45">
      <c r="A944" s="456"/>
      <c r="B944" s="454"/>
      <c r="C944" s="454"/>
      <c r="D944" s="454"/>
      <c r="E944" s="454"/>
      <c r="F944" s="454"/>
      <c r="G944" s="454"/>
      <c r="H944" s="602"/>
    </row>
    <row r="945" spans="1:8" ht="20.100000000000001" customHeight="1" x14ac:dyDescent="0.45">
      <c r="A945" s="456"/>
      <c r="B945" s="454"/>
      <c r="C945" s="454"/>
      <c r="D945" s="454"/>
      <c r="E945" s="454"/>
      <c r="F945" s="454"/>
      <c r="G945" s="454"/>
      <c r="H945" s="602"/>
    </row>
    <row r="946" spans="1:8" ht="20.100000000000001" customHeight="1" x14ac:dyDescent="0.45">
      <c r="A946" s="456"/>
      <c r="B946" s="454"/>
      <c r="C946" s="454"/>
      <c r="D946" s="454"/>
      <c r="E946" s="454"/>
      <c r="F946" s="454"/>
      <c r="G946" s="454"/>
      <c r="H946" s="602"/>
    </row>
    <row r="947" spans="1:8" ht="20.100000000000001" customHeight="1" x14ac:dyDescent="0.45">
      <c r="A947" s="456"/>
      <c r="B947" s="454"/>
      <c r="C947" s="454"/>
      <c r="D947" s="454"/>
      <c r="E947" s="454"/>
      <c r="F947" s="454"/>
      <c r="G947" s="454"/>
      <c r="H947" s="602"/>
    </row>
    <row r="948" spans="1:8" ht="20.100000000000001" customHeight="1" x14ac:dyDescent="0.45">
      <c r="A948" s="456"/>
      <c r="B948" s="454"/>
      <c r="C948" s="454"/>
      <c r="D948" s="454"/>
      <c r="E948" s="454"/>
      <c r="F948" s="454"/>
      <c r="G948" s="454"/>
      <c r="H948" s="602"/>
    </row>
    <row r="949" spans="1:8" ht="20.100000000000001" customHeight="1" x14ac:dyDescent="0.45">
      <c r="A949" s="456"/>
      <c r="B949" s="454"/>
      <c r="C949" s="454"/>
      <c r="D949" s="454"/>
      <c r="E949" s="454"/>
      <c r="F949" s="454"/>
      <c r="G949" s="454"/>
      <c r="H949" s="602"/>
    </row>
    <row r="950" spans="1:8" ht="20.100000000000001" customHeight="1" x14ac:dyDescent="0.45">
      <c r="A950" s="456"/>
      <c r="B950" s="454"/>
      <c r="C950" s="454"/>
      <c r="D950" s="454"/>
      <c r="E950" s="454"/>
      <c r="F950" s="454"/>
      <c r="G950" s="454"/>
      <c r="H950" s="602"/>
    </row>
    <row r="951" spans="1:8" ht="20.100000000000001" customHeight="1" x14ac:dyDescent="0.45">
      <c r="A951" s="456"/>
      <c r="B951" s="454"/>
      <c r="C951" s="454"/>
      <c r="D951" s="454"/>
      <c r="E951" s="454"/>
      <c r="F951" s="454"/>
      <c r="G951" s="454"/>
      <c r="H951" s="602"/>
    </row>
    <row r="952" spans="1:8" ht="20.100000000000001" customHeight="1" x14ac:dyDescent="0.45">
      <c r="A952" s="456"/>
      <c r="B952" s="454"/>
      <c r="C952" s="454"/>
      <c r="D952" s="454"/>
      <c r="E952" s="454"/>
      <c r="F952" s="454"/>
      <c r="G952" s="454"/>
      <c r="H952" s="602"/>
    </row>
    <row r="953" spans="1:8" ht="20.100000000000001" customHeight="1" x14ac:dyDescent="0.45">
      <c r="A953" s="456"/>
      <c r="B953" s="454"/>
      <c r="C953" s="454"/>
      <c r="D953" s="454"/>
      <c r="E953" s="454"/>
      <c r="F953" s="454"/>
      <c r="G953" s="454"/>
      <c r="H953" s="602"/>
    </row>
    <row r="954" spans="1:8" ht="20.100000000000001" customHeight="1" x14ac:dyDescent="0.45">
      <c r="A954" s="456"/>
      <c r="B954" s="454"/>
      <c r="C954" s="454"/>
      <c r="D954" s="454"/>
      <c r="E954" s="454"/>
      <c r="F954" s="454"/>
      <c r="G954" s="454"/>
      <c r="H954" s="602"/>
    </row>
    <row r="955" spans="1:8" ht="20.100000000000001" customHeight="1" x14ac:dyDescent="0.45">
      <c r="A955" s="456"/>
      <c r="B955" s="454"/>
      <c r="C955" s="454"/>
      <c r="D955" s="454"/>
      <c r="E955" s="454"/>
      <c r="F955" s="454"/>
      <c r="G955" s="454"/>
      <c r="H955" s="602"/>
    </row>
    <row r="956" spans="1:8" ht="20.100000000000001" customHeight="1" x14ac:dyDescent="0.45">
      <c r="A956" s="456"/>
      <c r="B956" s="454"/>
      <c r="C956" s="454"/>
      <c r="D956" s="454"/>
      <c r="E956" s="454"/>
      <c r="F956" s="454"/>
      <c r="G956" s="454"/>
      <c r="H956" s="602"/>
    </row>
    <row r="957" spans="1:8" ht="20.100000000000001" customHeight="1" x14ac:dyDescent="0.45">
      <c r="A957" s="456"/>
      <c r="B957" s="454"/>
      <c r="C957" s="454"/>
      <c r="D957" s="454"/>
      <c r="E957" s="454"/>
      <c r="F957" s="454"/>
      <c r="G957" s="454"/>
      <c r="H957" s="602"/>
    </row>
    <row r="958" spans="1:8" ht="20.100000000000001" customHeight="1" x14ac:dyDescent="0.45">
      <c r="A958" s="456"/>
      <c r="B958" s="454"/>
      <c r="C958" s="454"/>
      <c r="D958" s="454"/>
      <c r="E958" s="454"/>
      <c r="F958" s="454"/>
      <c r="G958" s="454"/>
      <c r="H958" s="602"/>
    </row>
    <row r="959" spans="1:8" ht="20.100000000000001" customHeight="1" x14ac:dyDescent="0.45">
      <c r="A959" s="456"/>
      <c r="B959" s="454"/>
      <c r="C959" s="454"/>
      <c r="D959" s="454"/>
      <c r="E959" s="454"/>
      <c r="F959" s="454"/>
      <c r="G959" s="454"/>
      <c r="H959" s="602"/>
    </row>
    <row r="960" spans="1:8" ht="20.100000000000001" customHeight="1" x14ac:dyDescent="0.45">
      <c r="A960" s="456"/>
      <c r="B960" s="454"/>
      <c r="C960" s="454"/>
      <c r="D960" s="454"/>
      <c r="E960" s="454"/>
      <c r="F960" s="454"/>
      <c r="G960" s="454"/>
      <c r="H960" s="602"/>
    </row>
    <row r="961" spans="1:8" ht="20.100000000000001" customHeight="1" x14ac:dyDescent="0.45">
      <c r="A961" s="456"/>
      <c r="B961" s="454"/>
      <c r="C961" s="454"/>
      <c r="D961" s="454"/>
      <c r="E961" s="454"/>
      <c r="F961" s="454"/>
      <c r="G961" s="454"/>
      <c r="H961" s="602"/>
    </row>
    <row r="962" spans="1:8" ht="20.100000000000001" customHeight="1" x14ac:dyDescent="0.45">
      <c r="A962" s="456"/>
      <c r="B962" s="454"/>
      <c r="C962" s="454"/>
      <c r="D962" s="454"/>
      <c r="E962" s="454"/>
      <c r="F962" s="454"/>
      <c r="G962" s="454"/>
      <c r="H962" s="602"/>
    </row>
    <row r="963" spans="1:8" ht="20.100000000000001" customHeight="1" x14ac:dyDescent="0.45">
      <c r="A963" s="456"/>
      <c r="B963" s="454"/>
      <c r="C963" s="454"/>
      <c r="D963" s="454"/>
      <c r="E963" s="454"/>
      <c r="F963" s="454"/>
      <c r="G963" s="454"/>
      <c r="H963" s="602"/>
    </row>
    <row r="964" spans="1:8" ht="20.100000000000001" customHeight="1" x14ac:dyDescent="0.45">
      <c r="A964" s="456"/>
      <c r="B964" s="454"/>
      <c r="C964" s="454"/>
      <c r="D964" s="454"/>
      <c r="E964" s="454"/>
      <c r="F964" s="454"/>
      <c r="G964" s="454"/>
      <c r="H964" s="602"/>
    </row>
    <row r="965" spans="1:8" ht="20.100000000000001" customHeight="1" x14ac:dyDescent="0.45">
      <c r="A965" s="456"/>
      <c r="B965" s="454"/>
      <c r="C965" s="454"/>
      <c r="D965" s="454"/>
      <c r="E965" s="454"/>
      <c r="F965" s="454"/>
      <c r="G965" s="454"/>
      <c r="H965" s="602"/>
    </row>
    <row r="966" spans="1:8" ht="20.100000000000001" customHeight="1" x14ac:dyDescent="0.45">
      <c r="A966" s="456"/>
      <c r="B966" s="454"/>
      <c r="C966" s="454"/>
      <c r="D966" s="454"/>
      <c r="E966" s="454"/>
      <c r="F966" s="454"/>
      <c r="G966" s="454"/>
      <c r="H966" s="602"/>
    </row>
    <row r="967" spans="1:8" ht="20.100000000000001" customHeight="1" x14ac:dyDescent="0.45">
      <c r="A967" s="456"/>
      <c r="B967" s="454"/>
      <c r="C967" s="454"/>
      <c r="D967" s="454"/>
      <c r="E967" s="454"/>
      <c r="F967" s="454"/>
      <c r="G967" s="454"/>
      <c r="H967" s="602"/>
    </row>
    <row r="968" spans="1:8" ht="20.100000000000001" customHeight="1" x14ac:dyDescent="0.45">
      <c r="A968" s="456"/>
      <c r="B968" s="454"/>
      <c r="C968" s="454"/>
      <c r="D968" s="454"/>
      <c r="E968" s="454"/>
      <c r="F968" s="454"/>
      <c r="G968" s="454"/>
      <c r="H968" s="602"/>
    </row>
    <row r="969" spans="1:8" ht="20.100000000000001" customHeight="1" x14ac:dyDescent="0.45">
      <c r="A969" s="456"/>
      <c r="B969" s="454"/>
      <c r="C969" s="454"/>
      <c r="D969" s="454"/>
      <c r="E969" s="454"/>
      <c r="F969" s="454"/>
      <c r="G969" s="454"/>
      <c r="H969" s="602"/>
    </row>
    <row r="970" spans="1:8" ht="20.100000000000001" customHeight="1" x14ac:dyDescent="0.45">
      <c r="A970" s="456"/>
      <c r="B970" s="454"/>
      <c r="C970" s="454"/>
      <c r="D970" s="454"/>
      <c r="E970" s="454"/>
      <c r="F970" s="454"/>
      <c r="G970" s="454"/>
      <c r="H970" s="602"/>
    </row>
    <row r="971" spans="1:8" ht="20.100000000000001" customHeight="1" x14ac:dyDescent="0.45">
      <c r="A971" s="456"/>
      <c r="B971" s="454"/>
      <c r="C971" s="454"/>
      <c r="D971" s="454"/>
      <c r="E971" s="454"/>
      <c r="F971" s="454"/>
      <c r="G971" s="454"/>
      <c r="H971" s="602"/>
    </row>
    <row r="972" spans="1:8" ht="20.100000000000001" customHeight="1" x14ac:dyDescent="0.45">
      <c r="A972" s="456"/>
      <c r="B972" s="454"/>
      <c r="C972" s="454"/>
      <c r="D972" s="454"/>
      <c r="E972" s="454"/>
      <c r="F972" s="454"/>
      <c r="G972" s="454"/>
      <c r="H972" s="602"/>
    </row>
    <row r="973" spans="1:8" ht="20.100000000000001" customHeight="1" x14ac:dyDescent="0.45">
      <c r="A973" s="456"/>
      <c r="B973" s="454"/>
      <c r="C973" s="454"/>
      <c r="D973" s="454"/>
      <c r="E973" s="454"/>
      <c r="F973" s="454"/>
      <c r="G973" s="454"/>
      <c r="H973" s="602"/>
    </row>
    <row r="974" spans="1:8" ht="20.100000000000001" customHeight="1" x14ac:dyDescent="0.45">
      <c r="A974" s="456"/>
      <c r="B974" s="454"/>
      <c r="C974" s="454"/>
      <c r="D974" s="454"/>
      <c r="E974" s="454"/>
      <c r="F974" s="454"/>
      <c r="G974" s="454"/>
      <c r="H974" s="602"/>
    </row>
    <row r="975" spans="1:8" ht="20.100000000000001" customHeight="1" x14ac:dyDescent="0.45">
      <c r="A975" s="456"/>
      <c r="B975" s="454"/>
      <c r="C975" s="454"/>
      <c r="D975" s="454"/>
      <c r="E975" s="454"/>
      <c r="F975" s="454"/>
      <c r="G975" s="454"/>
      <c r="H975" s="602"/>
    </row>
    <row r="976" spans="1:8" ht="20.100000000000001" customHeight="1" x14ac:dyDescent="0.45">
      <c r="A976" s="456"/>
      <c r="B976" s="454"/>
      <c r="C976" s="454"/>
      <c r="D976" s="454"/>
      <c r="E976" s="454"/>
      <c r="F976" s="454"/>
      <c r="G976" s="454"/>
      <c r="H976" s="602"/>
    </row>
    <row r="977" spans="1:8" ht="20.100000000000001" customHeight="1" x14ac:dyDescent="0.45">
      <c r="A977" s="456"/>
      <c r="B977" s="454"/>
      <c r="C977" s="454"/>
      <c r="D977" s="454"/>
      <c r="E977" s="454"/>
      <c r="F977" s="454"/>
      <c r="G977" s="454"/>
      <c r="H977" s="602"/>
    </row>
    <row r="978" spans="1:8" ht="20.100000000000001" customHeight="1" x14ac:dyDescent="0.45">
      <c r="A978" s="456"/>
      <c r="B978" s="454"/>
      <c r="C978" s="454"/>
      <c r="D978" s="454"/>
      <c r="E978" s="454"/>
      <c r="F978" s="454"/>
      <c r="G978" s="454"/>
      <c r="H978" s="602"/>
    </row>
    <row r="979" spans="1:8" ht="20.100000000000001" customHeight="1" x14ac:dyDescent="0.45">
      <c r="A979" s="456"/>
      <c r="B979" s="454"/>
      <c r="C979" s="454"/>
      <c r="D979" s="454"/>
      <c r="E979" s="454"/>
      <c r="F979" s="454"/>
      <c r="G979" s="454"/>
      <c r="H979" s="602"/>
    </row>
    <row r="980" spans="1:8" ht="20.100000000000001" customHeight="1" x14ac:dyDescent="0.45">
      <c r="A980" s="456"/>
      <c r="B980" s="454"/>
      <c r="C980" s="454"/>
      <c r="D980" s="454"/>
      <c r="E980" s="454"/>
      <c r="F980" s="454"/>
      <c r="G980" s="454"/>
      <c r="H980" s="602"/>
    </row>
    <row r="981" spans="1:8" ht="20.100000000000001" customHeight="1" x14ac:dyDescent="0.45">
      <c r="A981" s="456"/>
      <c r="B981" s="454"/>
      <c r="C981" s="454"/>
      <c r="D981" s="454"/>
      <c r="E981" s="454"/>
      <c r="F981" s="454"/>
      <c r="G981" s="454"/>
      <c r="H981" s="602"/>
    </row>
    <row r="982" spans="1:8" ht="20.100000000000001" customHeight="1" x14ac:dyDescent="0.45">
      <c r="A982" s="456"/>
      <c r="B982" s="454"/>
      <c r="C982" s="454"/>
      <c r="D982" s="454"/>
      <c r="E982" s="454"/>
      <c r="F982" s="454"/>
      <c r="G982" s="454"/>
      <c r="H982" s="602"/>
    </row>
    <row r="983" spans="1:8" ht="20.100000000000001" customHeight="1" x14ac:dyDescent="0.45">
      <c r="A983" s="456"/>
      <c r="B983" s="454"/>
      <c r="C983" s="454"/>
      <c r="D983" s="454"/>
      <c r="E983" s="454"/>
      <c r="F983" s="454"/>
      <c r="G983" s="454"/>
      <c r="H983" s="602"/>
    </row>
    <row r="984" spans="1:8" ht="20.100000000000001" customHeight="1" x14ac:dyDescent="0.45">
      <c r="A984" s="456"/>
      <c r="B984" s="454"/>
      <c r="C984" s="454"/>
      <c r="D984" s="454"/>
      <c r="E984" s="454"/>
      <c r="F984" s="454"/>
      <c r="G984" s="454"/>
      <c r="H984" s="602"/>
    </row>
    <row r="985" spans="1:8" ht="20.100000000000001" customHeight="1" x14ac:dyDescent="0.45">
      <c r="A985" s="456"/>
      <c r="B985" s="454"/>
      <c r="C985" s="454"/>
      <c r="D985" s="454"/>
      <c r="E985" s="454"/>
      <c r="F985" s="454"/>
      <c r="G985" s="454"/>
      <c r="H985" s="602"/>
    </row>
    <row r="986" spans="1:8" ht="20.100000000000001" customHeight="1" x14ac:dyDescent="0.45">
      <c r="A986" s="456"/>
      <c r="B986" s="454"/>
      <c r="C986" s="454"/>
      <c r="D986" s="454"/>
      <c r="E986" s="454"/>
      <c r="F986" s="454"/>
      <c r="G986" s="454"/>
      <c r="H986" s="602"/>
    </row>
    <row r="987" spans="1:8" ht="20.100000000000001" customHeight="1" x14ac:dyDescent="0.45">
      <c r="A987" s="456"/>
      <c r="B987" s="454"/>
      <c r="C987" s="454"/>
      <c r="D987" s="454"/>
      <c r="E987" s="454"/>
      <c r="F987" s="454"/>
      <c r="G987" s="454"/>
      <c r="H987" s="602"/>
    </row>
    <row r="988" spans="1:8" ht="20.100000000000001" customHeight="1" x14ac:dyDescent="0.45">
      <c r="A988" s="456"/>
      <c r="B988" s="454"/>
      <c r="C988" s="454"/>
      <c r="D988" s="454"/>
      <c r="E988" s="454"/>
      <c r="F988" s="454"/>
      <c r="G988" s="454"/>
      <c r="H988" s="602"/>
    </row>
    <row r="989" spans="1:8" ht="20.100000000000001" customHeight="1" x14ac:dyDescent="0.45">
      <c r="A989" s="456"/>
      <c r="B989" s="454"/>
      <c r="C989" s="454"/>
      <c r="D989" s="454"/>
      <c r="E989" s="454"/>
      <c r="F989" s="454"/>
      <c r="G989" s="454"/>
      <c r="H989" s="602"/>
    </row>
    <row r="990" spans="1:8" ht="20.100000000000001" customHeight="1" x14ac:dyDescent="0.45">
      <c r="A990" s="456"/>
      <c r="B990" s="454"/>
      <c r="C990" s="454"/>
      <c r="D990" s="454"/>
      <c r="E990" s="454"/>
      <c r="F990" s="454"/>
      <c r="G990" s="454"/>
      <c r="H990" s="602"/>
    </row>
    <row r="991" spans="1:8" ht="20.100000000000001" customHeight="1" x14ac:dyDescent="0.45">
      <c r="A991" s="456"/>
      <c r="B991" s="454"/>
      <c r="C991" s="454"/>
      <c r="D991" s="454"/>
      <c r="E991" s="454"/>
      <c r="F991" s="454"/>
      <c r="G991" s="454"/>
      <c r="H991" s="602"/>
    </row>
    <row r="992" spans="1:8" ht="20.100000000000001" customHeight="1" x14ac:dyDescent="0.45">
      <c r="A992" s="456"/>
      <c r="B992" s="454"/>
      <c r="C992" s="454"/>
      <c r="D992" s="454"/>
      <c r="E992" s="454"/>
      <c r="F992" s="454"/>
      <c r="G992" s="454"/>
      <c r="H992" s="602"/>
    </row>
    <row r="993" spans="1:8" ht="20.100000000000001" customHeight="1" x14ac:dyDescent="0.45">
      <c r="A993" s="456"/>
      <c r="B993" s="454"/>
      <c r="C993" s="454"/>
      <c r="D993" s="454"/>
      <c r="E993" s="454"/>
      <c r="F993" s="454"/>
      <c r="G993" s="454"/>
      <c r="H993" s="602"/>
    </row>
    <row r="994" spans="1:8" ht="20.100000000000001" customHeight="1" x14ac:dyDescent="0.45">
      <c r="A994" s="456"/>
      <c r="B994" s="454"/>
      <c r="C994" s="454"/>
      <c r="D994" s="454"/>
      <c r="E994" s="454"/>
      <c r="F994" s="454"/>
      <c r="G994" s="454"/>
      <c r="H994" s="602"/>
    </row>
    <row r="995" spans="1:8" ht="20.100000000000001" customHeight="1" x14ac:dyDescent="0.45">
      <c r="A995" s="456"/>
      <c r="B995" s="454"/>
      <c r="C995" s="454"/>
      <c r="D995" s="454"/>
      <c r="E995" s="454"/>
      <c r="F995" s="454"/>
      <c r="G995" s="454"/>
      <c r="H995" s="602"/>
    </row>
    <row r="996" spans="1:8" ht="20.100000000000001" customHeight="1" x14ac:dyDescent="0.45">
      <c r="A996" s="456"/>
      <c r="B996" s="454"/>
      <c r="C996" s="454"/>
      <c r="D996" s="454"/>
      <c r="E996" s="454"/>
      <c r="F996" s="454"/>
      <c r="G996" s="454"/>
      <c r="H996" s="602"/>
    </row>
    <row r="997" spans="1:8" ht="20.100000000000001" customHeight="1" x14ac:dyDescent="0.45">
      <c r="A997" s="456"/>
      <c r="B997" s="454"/>
      <c r="C997" s="454"/>
      <c r="D997" s="454"/>
      <c r="E997" s="454"/>
      <c r="F997" s="454"/>
      <c r="G997" s="454"/>
      <c r="H997" s="602"/>
    </row>
    <row r="998" spans="1:8" ht="20.100000000000001" customHeight="1" x14ac:dyDescent="0.45">
      <c r="A998" s="456"/>
      <c r="B998" s="454"/>
      <c r="C998" s="454"/>
      <c r="D998" s="454"/>
      <c r="E998" s="454"/>
      <c r="F998" s="454"/>
      <c r="G998" s="454"/>
      <c r="H998" s="602"/>
    </row>
    <row r="999" spans="1:8" ht="20.100000000000001" customHeight="1" x14ac:dyDescent="0.45">
      <c r="A999" s="456"/>
      <c r="B999" s="454"/>
      <c r="C999" s="454"/>
      <c r="D999" s="454"/>
      <c r="E999" s="454"/>
      <c r="F999" s="454"/>
      <c r="G999" s="454"/>
      <c r="H999" s="602"/>
    </row>
    <row r="1000" spans="1:8" ht="20.100000000000001" customHeight="1" x14ac:dyDescent="0.45">
      <c r="A1000" s="456"/>
      <c r="B1000" s="454"/>
      <c r="C1000" s="454"/>
      <c r="D1000" s="454"/>
      <c r="E1000" s="454"/>
      <c r="F1000" s="454"/>
      <c r="G1000" s="454"/>
      <c r="H1000" s="602"/>
    </row>
    <row r="1001" spans="1:8" ht="20.100000000000001" customHeight="1" x14ac:dyDescent="0.45">
      <c r="A1001" s="456"/>
      <c r="B1001" s="454"/>
      <c r="C1001" s="454"/>
      <c r="D1001" s="454"/>
      <c r="E1001" s="454"/>
      <c r="F1001" s="454"/>
      <c r="G1001" s="454"/>
      <c r="H1001" s="602"/>
    </row>
    <row r="1002" spans="1:8" ht="20.100000000000001" customHeight="1" x14ac:dyDescent="0.45">
      <c r="A1002" s="456"/>
      <c r="B1002" s="454"/>
      <c r="C1002" s="454"/>
      <c r="D1002" s="454"/>
      <c r="E1002" s="454"/>
      <c r="F1002" s="454"/>
      <c r="G1002" s="454"/>
      <c r="H1002" s="602"/>
    </row>
    <row r="1003" spans="1:8" ht="20.100000000000001" customHeight="1" x14ac:dyDescent="0.45">
      <c r="A1003" s="456"/>
      <c r="B1003" s="454"/>
      <c r="C1003" s="454"/>
      <c r="D1003" s="454"/>
      <c r="E1003" s="454"/>
      <c r="F1003" s="454"/>
      <c r="G1003" s="454"/>
      <c r="H1003" s="602"/>
    </row>
  </sheetData>
  <autoFilter ref="A4:I313" xr:uid="{3783BDA5-BD7B-4CB2-AC9E-DC17EEE08674}"/>
  <phoneticPr fontId="77" type="noConversion"/>
  <conditionalFormatting sqref="A5:F62 G5:I141 A63:A64 F63:F64 A142 A143:I150 A151 A152:I156 A157 A158:I302 I303:I507 A303:H1003">
    <cfRule type="expression" dxfId="2" priority="11">
      <formula>$A5=""</formula>
    </cfRule>
  </conditionalFormatting>
  <conditionalFormatting sqref="A65:F141">
    <cfRule type="expression" dxfId="1" priority="2">
      <formula>$A65=""</formula>
    </cfRule>
  </conditionalFormatting>
  <conditionalFormatting sqref="B63:E63">
    <cfRule type="expression" dxfId="0" priority="26">
      <formula>$A64=""</formula>
    </cfRule>
  </conditionalFormatting>
  <dataValidations disablePrompts="1" count="1">
    <dataValidation type="list" allowBlank="1" showInputMessage="1" showErrorMessage="1" sqref="G5:G298" xr:uid="{108BC76C-896A-467A-953D-F546CA7D4E16}">
      <formula1>"Пришел, Ушел"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21F72-2A89-4570-9AE0-5157674914B9}">
  <sheetPr codeName="Worksheet____21">
    <tabColor theme="0"/>
  </sheetPr>
  <dimension ref="A1:G25"/>
  <sheetViews>
    <sheetView workbookViewId="0">
      <selection activeCell="A4" sqref="A4:F13"/>
    </sheetView>
  </sheetViews>
  <sheetFormatPr defaultRowHeight="14.25" x14ac:dyDescent="0.45"/>
  <cols>
    <col min="1" max="1" width="16" customWidth="1"/>
    <col min="2" max="2" width="32" customWidth="1"/>
    <col min="3" max="3" width="12.3984375" customWidth="1"/>
    <col min="4" max="4" width="14.1328125" customWidth="1"/>
    <col min="5" max="5" width="17.265625" bestFit="1" customWidth="1"/>
    <col min="6" max="6" width="19.6640625" customWidth="1"/>
    <col min="7" max="7" width="23.1328125" customWidth="1"/>
  </cols>
  <sheetData>
    <row r="1" spans="1:7" ht="32.1" customHeight="1" x14ac:dyDescent="0.45">
      <c r="A1" s="635" t="s">
        <v>843</v>
      </c>
      <c r="B1" s="635"/>
      <c r="C1" s="635"/>
      <c r="D1" s="635"/>
      <c r="E1" s="635"/>
      <c r="F1" s="635"/>
      <c r="G1" s="635"/>
    </row>
    <row r="2" spans="1:7" ht="32.1" customHeight="1" x14ac:dyDescent="0.45">
      <c r="A2" s="635"/>
      <c r="B2" s="635"/>
      <c r="C2" s="635"/>
      <c r="D2" s="635"/>
      <c r="E2" s="635"/>
      <c r="F2" s="635"/>
      <c r="G2" s="635"/>
    </row>
    <row r="3" spans="1:7" ht="36" customHeight="1" thickBot="1" x14ac:dyDescent="0.5">
      <c r="A3" s="555" t="s">
        <v>26</v>
      </c>
      <c r="B3" s="555" t="s">
        <v>54</v>
      </c>
      <c r="C3" s="555" t="s">
        <v>33</v>
      </c>
      <c r="D3" s="555" t="s">
        <v>34</v>
      </c>
      <c r="E3" s="555"/>
      <c r="F3" s="555" t="s">
        <v>844</v>
      </c>
      <c r="G3" s="555" t="s">
        <v>35</v>
      </c>
    </row>
    <row r="4" spans="1:7" ht="24" customHeight="1" thickTop="1" x14ac:dyDescent="0.45">
      <c r="A4" s="559">
        <v>46155</v>
      </c>
      <c r="B4" s="560" t="s">
        <v>497</v>
      </c>
      <c r="C4" s="560" t="s">
        <v>69</v>
      </c>
      <c r="D4" s="560">
        <v>70</v>
      </c>
      <c r="E4" s="560"/>
      <c r="F4" s="561">
        <v>50</v>
      </c>
      <c r="G4" s="562">
        <f t="shared" ref="G4:G22" si="0">F4*D4</f>
        <v>3500</v>
      </c>
    </row>
    <row r="5" spans="1:7" ht="24" customHeight="1" x14ac:dyDescent="0.45">
      <c r="A5" s="557">
        <v>46113</v>
      </c>
      <c r="B5" s="556" t="s">
        <v>456</v>
      </c>
      <c r="C5" s="556" t="s">
        <v>433</v>
      </c>
      <c r="D5" s="556">
        <v>8.34</v>
      </c>
      <c r="E5" s="556"/>
      <c r="F5" s="558">
        <v>310</v>
      </c>
      <c r="G5" s="563">
        <f t="shared" si="0"/>
        <v>2585.4</v>
      </c>
    </row>
    <row r="6" spans="1:7" ht="24" customHeight="1" x14ac:dyDescent="0.45">
      <c r="A6" s="559">
        <v>46095</v>
      </c>
      <c r="B6" s="560" t="s">
        <v>456</v>
      </c>
      <c r="C6" s="560" t="s">
        <v>433</v>
      </c>
      <c r="D6" s="560">
        <v>10.41</v>
      </c>
      <c r="E6" s="560"/>
      <c r="F6" s="561">
        <v>310</v>
      </c>
      <c r="G6" s="562">
        <f t="shared" si="0"/>
        <v>3227.1</v>
      </c>
    </row>
    <row r="7" spans="1:7" ht="24" customHeight="1" x14ac:dyDescent="0.45">
      <c r="A7" s="557">
        <v>45964</v>
      </c>
      <c r="B7" s="556" t="s">
        <v>456</v>
      </c>
      <c r="C7" s="556" t="s">
        <v>433</v>
      </c>
      <c r="D7" s="556">
        <v>8.0050000000000008</v>
      </c>
      <c r="E7" s="556"/>
      <c r="F7" s="558">
        <v>305</v>
      </c>
      <c r="G7" s="563">
        <f t="shared" si="0"/>
        <v>2441.5250000000001</v>
      </c>
    </row>
    <row r="8" spans="1:7" ht="24" customHeight="1" x14ac:dyDescent="0.45">
      <c r="A8" s="559">
        <v>46100</v>
      </c>
      <c r="B8" s="560"/>
      <c r="C8" s="560"/>
      <c r="D8" s="560"/>
      <c r="E8" s="560"/>
      <c r="F8" s="561"/>
      <c r="G8" s="562">
        <f t="shared" si="0"/>
        <v>0</v>
      </c>
    </row>
    <row r="9" spans="1:7" ht="24" customHeight="1" x14ac:dyDescent="0.45">
      <c r="A9" s="557">
        <v>46160</v>
      </c>
      <c r="B9" s="556" t="s">
        <v>648</v>
      </c>
      <c r="C9" s="556" t="s">
        <v>69</v>
      </c>
      <c r="D9" s="556">
        <v>1</v>
      </c>
      <c r="E9" s="556"/>
      <c r="F9" s="558">
        <v>10000</v>
      </c>
      <c r="G9" s="563">
        <f t="shared" si="0"/>
        <v>10000</v>
      </c>
    </row>
    <row r="10" spans="1:7" ht="24" customHeight="1" x14ac:dyDescent="0.45">
      <c r="A10" s="559">
        <v>46160</v>
      </c>
      <c r="B10" s="560" t="s">
        <v>649</v>
      </c>
      <c r="C10" s="560" t="s">
        <v>69</v>
      </c>
      <c r="D10" s="560">
        <v>1</v>
      </c>
      <c r="E10" s="560"/>
      <c r="F10" s="561">
        <v>2500</v>
      </c>
      <c r="G10" s="562">
        <f t="shared" si="0"/>
        <v>2500</v>
      </c>
    </row>
    <row r="11" spans="1:7" ht="24" customHeight="1" x14ac:dyDescent="0.45">
      <c r="A11" s="557">
        <v>46177</v>
      </c>
      <c r="B11" s="556" t="s">
        <v>894</v>
      </c>
      <c r="C11" s="556" t="s">
        <v>69</v>
      </c>
      <c r="D11" s="556">
        <v>1</v>
      </c>
      <c r="E11" s="618">
        <v>60000000</v>
      </c>
      <c r="F11" s="558"/>
      <c r="G11" s="563">
        <f t="shared" si="0"/>
        <v>0</v>
      </c>
    </row>
    <row r="12" spans="1:7" ht="24" customHeight="1" x14ac:dyDescent="0.45">
      <c r="A12" s="559">
        <v>46177</v>
      </c>
      <c r="B12" s="619" t="s">
        <v>895</v>
      </c>
      <c r="C12" s="619" t="s">
        <v>69</v>
      </c>
      <c r="D12" s="560">
        <v>1</v>
      </c>
      <c r="E12" s="620">
        <v>120000000</v>
      </c>
      <c r="F12" s="561"/>
      <c r="G12" s="562">
        <f t="shared" si="0"/>
        <v>0</v>
      </c>
    </row>
    <row r="13" spans="1:7" ht="24" customHeight="1" x14ac:dyDescent="0.45">
      <c r="A13" s="557">
        <v>46177</v>
      </c>
      <c r="B13" s="556" t="s">
        <v>894</v>
      </c>
      <c r="C13" s="556" t="s">
        <v>899</v>
      </c>
      <c r="D13" s="556">
        <v>1</v>
      </c>
      <c r="E13" s="618">
        <v>30000000</v>
      </c>
      <c r="F13" s="558"/>
      <c r="G13" s="563">
        <f t="shared" si="0"/>
        <v>0</v>
      </c>
    </row>
    <row r="14" spans="1:7" ht="24" customHeight="1" x14ac:dyDescent="0.45">
      <c r="A14" s="559"/>
      <c r="B14" s="560"/>
      <c r="C14" s="560"/>
      <c r="D14" s="560"/>
      <c r="E14" s="620"/>
      <c r="F14" s="561"/>
      <c r="G14" s="562">
        <f t="shared" si="0"/>
        <v>0</v>
      </c>
    </row>
    <row r="15" spans="1:7" ht="24" customHeight="1" x14ac:dyDescent="0.45">
      <c r="A15" s="557"/>
      <c r="B15" s="556"/>
      <c r="C15" s="556"/>
      <c r="D15" s="556"/>
      <c r="E15" s="618"/>
      <c r="F15" s="558"/>
      <c r="G15" s="563">
        <f t="shared" si="0"/>
        <v>0</v>
      </c>
    </row>
    <row r="16" spans="1:7" ht="24" customHeight="1" x14ac:dyDescent="0.45">
      <c r="A16" s="559"/>
      <c r="B16" s="560"/>
      <c r="C16" s="560"/>
      <c r="D16" s="560"/>
      <c r="E16" s="620"/>
      <c r="F16" s="561"/>
      <c r="G16" s="562">
        <f t="shared" si="0"/>
        <v>0</v>
      </c>
    </row>
    <row r="17" spans="1:7" ht="24" customHeight="1" x14ac:dyDescent="0.45">
      <c r="A17" s="557"/>
      <c r="B17" s="556"/>
      <c r="C17" s="556"/>
      <c r="D17" s="556"/>
      <c r="E17" s="618"/>
      <c r="F17" s="558"/>
      <c r="G17" s="563">
        <f t="shared" si="0"/>
        <v>0</v>
      </c>
    </row>
    <row r="18" spans="1:7" ht="24" customHeight="1" x14ac:dyDescent="0.45">
      <c r="A18" s="559"/>
      <c r="B18" s="560"/>
      <c r="C18" s="560"/>
      <c r="D18" s="560"/>
      <c r="E18" s="620"/>
      <c r="F18" s="561"/>
      <c r="G18" s="562">
        <f t="shared" si="0"/>
        <v>0</v>
      </c>
    </row>
    <row r="19" spans="1:7" ht="24" customHeight="1" x14ac:dyDescent="0.45">
      <c r="A19" s="557"/>
      <c r="B19" s="556"/>
      <c r="C19" s="556"/>
      <c r="D19" s="556"/>
      <c r="E19" s="618"/>
      <c r="F19" s="558"/>
      <c r="G19" s="563">
        <f t="shared" si="0"/>
        <v>0</v>
      </c>
    </row>
    <row r="20" spans="1:7" ht="24" customHeight="1" x14ac:dyDescent="0.45">
      <c r="A20" s="559"/>
      <c r="B20" s="560"/>
      <c r="C20" s="560"/>
      <c r="D20" s="560"/>
      <c r="E20" s="560"/>
      <c r="F20" s="561"/>
      <c r="G20" s="562">
        <f t="shared" si="0"/>
        <v>0</v>
      </c>
    </row>
    <row r="21" spans="1:7" ht="24" customHeight="1" x14ac:dyDescent="0.45">
      <c r="A21" s="557"/>
      <c r="B21" s="556"/>
      <c r="C21" s="556"/>
      <c r="D21" s="556"/>
      <c r="E21" s="556"/>
      <c r="F21" s="558"/>
      <c r="G21" s="563">
        <f t="shared" si="0"/>
        <v>0</v>
      </c>
    </row>
    <row r="22" spans="1:7" ht="24" customHeight="1" thickBot="1" x14ac:dyDescent="0.5">
      <c r="A22" s="559"/>
      <c r="B22" s="560"/>
      <c r="C22" s="560"/>
      <c r="D22" s="560"/>
      <c r="E22" s="560"/>
      <c r="F22" s="561"/>
      <c r="G22" s="562">
        <f t="shared" si="0"/>
        <v>0</v>
      </c>
    </row>
    <row r="23" spans="1:7" ht="34.15" customHeight="1" x14ac:dyDescent="0.45">
      <c r="A23" s="636" t="s">
        <v>845</v>
      </c>
      <c r="B23" s="636"/>
      <c r="C23" s="636"/>
      <c r="D23" s="636"/>
      <c r="E23" s="636"/>
      <c r="F23" s="636"/>
      <c r="G23" s="564">
        <f>SUM(G4:G22)</f>
        <v>24254.025000000001</v>
      </c>
    </row>
    <row r="24" spans="1:7" x14ac:dyDescent="0.45">
      <c r="A24" s="554"/>
      <c r="B24" s="554"/>
      <c r="C24" s="554"/>
      <c r="D24" s="554"/>
      <c r="E24" s="554"/>
      <c r="F24" s="554"/>
      <c r="G24" s="554"/>
    </row>
    <row r="25" spans="1:7" x14ac:dyDescent="0.45">
      <c r="A25" s="554"/>
      <c r="B25" s="554"/>
      <c r="C25" s="554"/>
      <c r="D25" s="554"/>
      <c r="E25" s="554"/>
      <c r="F25" s="554"/>
      <c r="G25" s="554"/>
    </row>
  </sheetData>
  <mergeCells count="2">
    <mergeCell ref="A1:G2"/>
    <mergeCell ref="A23:F23"/>
  </mergeCells>
  <pageMargins left="0.7" right="0.7" top="0.75" bottom="0.75" header="0.3" footer="0.3"/>
  <pageSetup paperSize="9" orientation="portrait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A4589-4DA9-4CC5-8DC9-A47DB43478E0}">
  <sheetPr codeName="Worksheet____14"/>
  <dimension ref="A1:S192"/>
  <sheetViews>
    <sheetView topLeftCell="B1" workbookViewId="0">
      <selection activeCell="N1" sqref="N1:N1048576"/>
    </sheetView>
  </sheetViews>
  <sheetFormatPr defaultRowHeight="14.25" x14ac:dyDescent="0.45"/>
  <cols>
    <col min="2" max="2" width="9.6640625" bestFit="1" customWidth="1"/>
    <col min="3" max="3" width="11.1328125" bestFit="1" customWidth="1"/>
    <col min="17" max="17" width="15.86328125" bestFit="1" customWidth="1"/>
  </cols>
  <sheetData>
    <row r="1" spans="1:19" x14ac:dyDescent="0.45">
      <c r="A1" s="1" t="s">
        <v>31</v>
      </c>
      <c r="B1" s="1" t="s">
        <v>26</v>
      </c>
      <c r="C1" s="1" t="s">
        <v>129</v>
      </c>
      <c r="D1" s="1" t="s">
        <v>130</v>
      </c>
      <c r="E1" s="1" t="s">
        <v>131</v>
      </c>
      <c r="F1" s="1" t="s">
        <v>132</v>
      </c>
      <c r="G1" s="1" t="s">
        <v>133</v>
      </c>
      <c r="H1" s="1" t="s">
        <v>134</v>
      </c>
      <c r="I1" s="1" t="s">
        <v>135</v>
      </c>
      <c r="J1" s="1" t="s">
        <v>136</v>
      </c>
      <c r="K1" s="1" t="s">
        <v>137</v>
      </c>
      <c r="L1" s="1" t="s">
        <v>138</v>
      </c>
      <c r="M1" s="1" t="s">
        <v>139</v>
      </c>
      <c r="N1" s="1" t="s">
        <v>140</v>
      </c>
      <c r="O1" s="1" t="s">
        <v>141</v>
      </c>
      <c r="P1" s="1" t="s">
        <v>142</v>
      </c>
      <c r="Q1" s="91" t="s">
        <v>24</v>
      </c>
      <c r="R1" s="91" t="s">
        <v>144</v>
      </c>
      <c r="S1" s="91" t="s">
        <v>36</v>
      </c>
    </row>
    <row r="2" spans="1:19" x14ac:dyDescent="0.45">
      <c r="A2" s="92">
        <v>1</v>
      </c>
      <c r="B2" s="93">
        <v>45972</v>
      </c>
      <c r="C2" s="94"/>
      <c r="D2" s="94"/>
      <c r="E2" s="94"/>
      <c r="F2" s="94"/>
      <c r="G2" s="95">
        <v>3148</v>
      </c>
      <c r="H2" s="95">
        <v>3063</v>
      </c>
      <c r="I2" s="94"/>
      <c r="J2" s="95">
        <v>2873</v>
      </c>
      <c r="K2" s="95">
        <v>3033</v>
      </c>
      <c r="L2" s="95">
        <v>3018</v>
      </c>
      <c r="M2" s="96">
        <v>3053</v>
      </c>
      <c r="N2" s="97"/>
      <c r="O2" s="97"/>
      <c r="P2" s="97"/>
    </row>
    <row r="3" spans="1:19" x14ac:dyDescent="0.45">
      <c r="A3" s="92" t="s">
        <v>145</v>
      </c>
      <c r="B3" s="93">
        <v>45972</v>
      </c>
      <c r="C3" s="94"/>
      <c r="D3" s="94"/>
      <c r="E3" s="94"/>
      <c r="F3" s="94"/>
      <c r="G3" s="95">
        <v>3163</v>
      </c>
      <c r="H3" s="95">
        <v>3058</v>
      </c>
      <c r="I3" s="94"/>
      <c r="J3" s="94"/>
      <c r="K3" s="95">
        <v>3033</v>
      </c>
      <c r="L3" s="95">
        <v>3013</v>
      </c>
      <c r="M3" s="95">
        <v>3048</v>
      </c>
      <c r="N3" s="98"/>
      <c r="O3" s="94"/>
      <c r="P3" s="94"/>
    </row>
    <row r="4" spans="1:19" x14ac:dyDescent="0.45">
      <c r="A4" s="92"/>
      <c r="B4" s="93">
        <v>45972</v>
      </c>
      <c r="C4" s="94"/>
      <c r="D4" s="94"/>
      <c r="E4" s="94"/>
      <c r="F4" s="94"/>
      <c r="G4" s="95">
        <v>3153</v>
      </c>
      <c r="H4" s="95">
        <v>3048</v>
      </c>
      <c r="I4" s="94"/>
      <c r="J4" s="94"/>
      <c r="K4" s="95">
        <v>3033</v>
      </c>
      <c r="L4" s="95"/>
      <c r="M4" s="95"/>
      <c r="N4" s="98"/>
      <c r="O4" s="94"/>
      <c r="P4" s="94"/>
    </row>
    <row r="5" spans="1:19" x14ac:dyDescent="0.45">
      <c r="A5" s="92"/>
      <c r="B5" s="93">
        <v>45972</v>
      </c>
      <c r="C5" s="94"/>
      <c r="D5" s="94"/>
      <c r="E5" s="94"/>
      <c r="F5" s="94"/>
      <c r="G5" s="95">
        <v>3168</v>
      </c>
      <c r="H5" s="95">
        <v>3048</v>
      </c>
      <c r="I5" s="94"/>
      <c r="J5" s="94"/>
      <c r="K5" s="95">
        <v>3053</v>
      </c>
      <c r="L5" s="94"/>
      <c r="M5" s="94"/>
      <c r="N5" s="92"/>
      <c r="O5" s="92"/>
      <c r="P5" s="92"/>
    </row>
    <row r="6" spans="1:19" x14ac:dyDescent="0.45">
      <c r="A6" s="92"/>
      <c r="B6" s="93">
        <v>45972</v>
      </c>
      <c r="C6" s="94"/>
      <c r="D6" s="94"/>
      <c r="E6" s="94"/>
      <c r="F6" s="94"/>
      <c r="G6" s="95">
        <v>3163</v>
      </c>
      <c r="H6" s="95">
        <v>3063</v>
      </c>
      <c r="I6" s="94"/>
      <c r="J6" s="94"/>
      <c r="K6" s="94"/>
      <c r="L6" s="94"/>
      <c r="M6" s="94"/>
      <c r="N6" s="99"/>
      <c r="O6" s="99"/>
      <c r="P6" s="99"/>
    </row>
    <row r="7" spans="1:19" x14ac:dyDescent="0.45">
      <c r="A7" s="92"/>
      <c r="B7" s="93">
        <v>45972</v>
      </c>
      <c r="C7" s="94"/>
      <c r="D7" s="94"/>
      <c r="E7" s="94"/>
      <c r="F7" s="94"/>
      <c r="G7" s="95">
        <v>3143</v>
      </c>
      <c r="H7" s="95">
        <v>3058</v>
      </c>
      <c r="I7" s="94"/>
      <c r="J7" s="94"/>
      <c r="K7" s="94"/>
      <c r="L7" s="94"/>
      <c r="M7" s="94"/>
      <c r="N7" s="92"/>
      <c r="O7" s="92"/>
      <c r="P7" s="92"/>
    </row>
    <row r="8" spans="1:19" x14ac:dyDescent="0.45">
      <c r="A8" s="92"/>
      <c r="B8" s="93">
        <v>45972</v>
      </c>
      <c r="C8" s="94"/>
      <c r="D8" s="94"/>
      <c r="E8" s="94"/>
      <c r="F8" s="94"/>
      <c r="G8" s="95">
        <v>3133</v>
      </c>
      <c r="H8" s="95">
        <v>3053</v>
      </c>
      <c r="I8" s="94"/>
      <c r="J8" s="94"/>
      <c r="K8" s="94"/>
      <c r="L8" s="94"/>
      <c r="M8" s="94"/>
      <c r="N8" s="99"/>
      <c r="O8" s="99"/>
      <c r="P8" s="99"/>
    </row>
    <row r="9" spans="1:19" x14ac:dyDescent="0.45">
      <c r="A9" s="92"/>
      <c r="B9" s="93">
        <v>45972</v>
      </c>
      <c r="C9" s="94"/>
      <c r="D9" s="94"/>
      <c r="E9" s="94"/>
      <c r="F9" s="94"/>
      <c r="G9" s="95">
        <v>3148</v>
      </c>
      <c r="H9" s="95">
        <v>3053</v>
      </c>
      <c r="I9" s="94"/>
      <c r="J9" s="94"/>
      <c r="K9" s="94"/>
      <c r="L9" s="94"/>
      <c r="M9" s="94"/>
      <c r="N9" s="92"/>
      <c r="O9" s="92"/>
      <c r="P9" s="92"/>
    </row>
    <row r="10" spans="1:19" x14ac:dyDescent="0.45">
      <c r="A10" s="92"/>
      <c r="B10" s="93">
        <v>45972</v>
      </c>
      <c r="C10" s="94"/>
      <c r="D10" s="94"/>
      <c r="E10" s="94"/>
      <c r="F10" s="94"/>
      <c r="G10" s="95">
        <v>3138</v>
      </c>
      <c r="H10" s="95">
        <v>3053</v>
      </c>
      <c r="I10" s="94"/>
      <c r="J10" s="94"/>
      <c r="K10" s="94"/>
      <c r="L10" s="94"/>
      <c r="M10" s="94"/>
      <c r="N10" s="99"/>
      <c r="O10" s="99"/>
      <c r="P10" s="99"/>
    </row>
    <row r="11" spans="1:19" x14ac:dyDescent="0.45">
      <c r="A11" s="92"/>
      <c r="B11" s="93">
        <v>45972</v>
      </c>
      <c r="C11" s="94"/>
      <c r="D11" s="94"/>
      <c r="E11" s="94"/>
      <c r="F11" s="94"/>
      <c r="G11" s="95">
        <v>3138</v>
      </c>
      <c r="H11" s="95">
        <v>3053</v>
      </c>
      <c r="I11" s="94"/>
      <c r="J11" s="94"/>
      <c r="K11" s="94"/>
      <c r="L11" s="94"/>
      <c r="M11" s="94"/>
      <c r="N11" s="92"/>
      <c r="O11" s="92"/>
      <c r="P11" s="92"/>
    </row>
    <row r="12" spans="1:19" x14ac:dyDescent="0.45">
      <c r="A12" s="92"/>
      <c r="B12" s="93">
        <v>45972</v>
      </c>
      <c r="C12" s="94"/>
      <c r="D12" s="94"/>
      <c r="E12" s="94"/>
      <c r="F12" s="94"/>
      <c r="G12" s="94"/>
      <c r="H12" s="95">
        <v>3058</v>
      </c>
      <c r="I12" s="94"/>
      <c r="J12" s="94"/>
      <c r="K12" s="94"/>
      <c r="L12" s="94"/>
      <c r="M12" s="94"/>
      <c r="N12" s="99"/>
      <c r="O12" s="99"/>
      <c r="P12" s="99"/>
    </row>
    <row r="13" spans="1:19" x14ac:dyDescent="0.45">
      <c r="A13" s="92"/>
      <c r="B13" s="93">
        <v>45972</v>
      </c>
      <c r="C13" s="94"/>
      <c r="D13" s="94"/>
      <c r="E13" s="94"/>
      <c r="F13" s="94"/>
      <c r="G13" s="94"/>
      <c r="H13" s="95">
        <v>3063</v>
      </c>
      <c r="I13" s="94"/>
      <c r="J13" s="94"/>
      <c r="K13" s="94"/>
      <c r="L13" s="94"/>
      <c r="M13" s="94"/>
      <c r="N13" s="92"/>
      <c r="O13" s="92"/>
      <c r="P13" s="92"/>
    </row>
    <row r="14" spans="1:19" x14ac:dyDescent="0.45">
      <c r="A14" s="92"/>
      <c r="B14" s="93">
        <v>45972</v>
      </c>
      <c r="C14" s="94"/>
      <c r="D14" s="94"/>
      <c r="E14" s="94"/>
      <c r="F14" s="94"/>
      <c r="G14" s="94"/>
      <c r="H14" s="95">
        <v>3048</v>
      </c>
      <c r="I14" s="94"/>
      <c r="J14" s="94"/>
      <c r="K14" s="94"/>
      <c r="L14" s="94"/>
      <c r="M14" s="94"/>
      <c r="N14" s="99"/>
      <c r="O14" s="99"/>
      <c r="P14" s="99"/>
    </row>
    <row r="15" spans="1:19" ht="14.65" thickBot="1" x14ac:dyDescent="0.5">
      <c r="A15" s="100"/>
      <c r="B15" s="93">
        <v>45972</v>
      </c>
      <c r="C15" s="101"/>
      <c r="D15" s="101"/>
      <c r="E15" s="101"/>
      <c r="F15" s="101"/>
      <c r="G15" s="101"/>
      <c r="H15" s="102">
        <v>3053</v>
      </c>
      <c r="I15" s="101"/>
      <c r="J15" s="101"/>
      <c r="K15" s="101"/>
      <c r="L15" s="101"/>
      <c r="M15" s="103">
        <f>SUM(G2:G11,H2:H15,J2,K2:K5,L2:L4,M2:M3)</f>
        <v>101424</v>
      </c>
      <c r="N15" s="100"/>
      <c r="O15" s="100"/>
      <c r="P15" s="100"/>
      <c r="Q15" s="104">
        <f>(M15/1000)*640*R15</f>
        <v>774717081.60000002</v>
      </c>
      <c r="R15">
        <v>11935</v>
      </c>
      <c r="S15">
        <f>(M15/1000)*640</f>
        <v>64911.360000000001</v>
      </c>
    </row>
    <row r="16" spans="1:19" ht="14.65" thickBot="1" x14ac:dyDescent="0.5">
      <c r="A16" s="105">
        <v>2</v>
      </c>
      <c r="B16" s="106">
        <v>45985</v>
      </c>
      <c r="C16" s="105"/>
      <c r="D16" s="105"/>
      <c r="E16" s="105"/>
      <c r="F16" s="105"/>
      <c r="G16" s="105"/>
      <c r="H16" s="105"/>
      <c r="I16" s="105"/>
      <c r="J16" s="105"/>
      <c r="K16" s="105"/>
      <c r="L16" s="105"/>
      <c r="M16" s="105"/>
      <c r="N16" s="107">
        <f>17*11.7</f>
        <v>198.89999999999998</v>
      </c>
      <c r="O16" s="107">
        <f>11.7*2</f>
        <v>23.4</v>
      </c>
      <c r="P16" s="107">
        <f>11.7*2</f>
        <v>23.4</v>
      </c>
    </row>
    <row r="17" spans="1:16" x14ac:dyDescent="0.45">
      <c r="A17" s="99">
        <v>3</v>
      </c>
      <c r="B17" s="108">
        <v>45990</v>
      </c>
      <c r="C17" s="99"/>
      <c r="D17" s="99"/>
      <c r="E17" s="99"/>
      <c r="F17" s="109">
        <v>3135</v>
      </c>
      <c r="G17" s="99"/>
      <c r="H17" s="99"/>
      <c r="I17" s="109">
        <v>2600</v>
      </c>
      <c r="J17" s="109">
        <v>2410</v>
      </c>
      <c r="K17" s="99"/>
      <c r="L17" s="109">
        <v>1555</v>
      </c>
      <c r="M17" s="109">
        <v>2600</v>
      </c>
      <c r="N17" s="99"/>
      <c r="O17" s="99"/>
      <c r="P17" s="99"/>
    </row>
    <row r="18" spans="1:16" x14ac:dyDescent="0.45">
      <c r="A18" s="92" t="s">
        <v>145</v>
      </c>
      <c r="B18" s="108">
        <v>45990</v>
      </c>
      <c r="C18" s="92"/>
      <c r="D18" s="92"/>
      <c r="E18" s="92"/>
      <c r="F18" s="110">
        <v>3135</v>
      </c>
      <c r="G18" s="92"/>
      <c r="H18" s="92"/>
      <c r="I18" s="110">
        <v>5215</v>
      </c>
      <c r="J18" s="110">
        <v>2450</v>
      </c>
      <c r="K18" s="92"/>
      <c r="L18" s="110">
        <v>2485</v>
      </c>
      <c r="M18" s="110">
        <v>2580</v>
      </c>
      <c r="N18" s="92"/>
      <c r="O18" s="92"/>
      <c r="P18" s="92"/>
    </row>
    <row r="19" spans="1:16" x14ac:dyDescent="0.45">
      <c r="A19" s="92" t="s">
        <v>146</v>
      </c>
      <c r="B19" s="108">
        <v>45990</v>
      </c>
      <c r="C19" s="92"/>
      <c r="D19" s="92"/>
      <c r="E19" s="92"/>
      <c r="F19" s="110">
        <v>3110</v>
      </c>
      <c r="G19" s="92"/>
      <c r="H19" s="92"/>
      <c r="I19" s="110">
        <v>5200</v>
      </c>
      <c r="J19" s="110">
        <v>2515</v>
      </c>
      <c r="K19" s="92"/>
      <c r="L19" s="110">
        <v>2490</v>
      </c>
      <c r="M19" s="110">
        <v>2500</v>
      </c>
      <c r="N19" s="92"/>
      <c r="O19" s="92"/>
      <c r="P19" s="92"/>
    </row>
    <row r="20" spans="1:16" x14ac:dyDescent="0.45">
      <c r="A20" s="92"/>
      <c r="B20" s="108">
        <v>45990</v>
      </c>
      <c r="C20" s="92"/>
      <c r="D20" s="92"/>
      <c r="E20" s="92"/>
      <c r="F20" s="110">
        <v>3130</v>
      </c>
      <c r="G20" s="92"/>
      <c r="H20" s="92"/>
      <c r="I20" s="110">
        <v>5135</v>
      </c>
      <c r="J20" s="110">
        <v>2500</v>
      </c>
      <c r="K20" s="92"/>
      <c r="L20" s="110">
        <v>2550</v>
      </c>
      <c r="M20" s="110">
        <v>2580</v>
      </c>
      <c r="N20" s="92"/>
      <c r="O20" s="92"/>
      <c r="P20" s="92"/>
    </row>
    <row r="21" spans="1:16" x14ac:dyDescent="0.45">
      <c r="A21" s="92"/>
      <c r="B21" s="108">
        <v>45990</v>
      </c>
      <c r="C21" s="92"/>
      <c r="D21" s="92"/>
      <c r="E21" s="92"/>
      <c r="F21" s="110">
        <v>3125</v>
      </c>
      <c r="G21" s="92"/>
      <c r="H21" s="92"/>
      <c r="I21" s="110">
        <v>2555</v>
      </c>
      <c r="J21" s="110">
        <v>2540</v>
      </c>
      <c r="K21" s="92"/>
      <c r="L21" s="110">
        <v>2580</v>
      </c>
      <c r="M21" s="110">
        <v>2590</v>
      </c>
      <c r="N21" s="92"/>
      <c r="O21" s="92"/>
      <c r="P21" s="92"/>
    </row>
    <row r="22" spans="1:16" x14ac:dyDescent="0.45">
      <c r="A22" s="92"/>
      <c r="B22" s="108">
        <v>45990</v>
      </c>
      <c r="C22" s="92"/>
      <c r="D22" s="92"/>
      <c r="E22" s="92"/>
      <c r="F22" s="92"/>
      <c r="G22" s="92"/>
      <c r="H22" s="92"/>
      <c r="I22" s="110">
        <v>2560</v>
      </c>
      <c r="J22" s="92"/>
      <c r="K22" s="92"/>
      <c r="L22" s="110">
        <v>2580</v>
      </c>
      <c r="M22" s="110">
        <v>2585</v>
      </c>
      <c r="N22" s="92"/>
      <c r="O22" s="92"/>
      <c r="P22" s="92"/>
    </row>
    <row r="23" spans="1:16" x14ac:dyDescent="0.45">
      <c r="A23" s="92"/>
      <c r="B23" s="108">
        <v>45990</v>
      </c>
      <c r="C23" s="92"/>
      <c r="D23" s="92"/>
      <c r="E23" s="92"/>
      <c r="F23" s="92"/>
      <c r="G23" s="92"/>
      <c r="H23" s="92"/>
      <c r="I23" s="110">
        <v>2575</v>
      </c>
      <c r="J23" s="92"/>
      <c r="K23" s="92"/>
      <c r="L23" s="110">
        <v>2580</v>
      </c>
      <c r="M23" s="110">
        <v>2510</v>
      </c>
      <c r="N23" s="92"/>
      <c r="O23" s="92"/>
      <c r="P23" s="92"/>
    </row>
    <row r="24" spans="1:16" x14ac:dyDescent="0.45">
      <c r="A24" s="92"/>
      <c r="B24" s="108">
        <v>45990</v>
      </c>
      <c r="C24" s="92"/>
      <c r="D24" s="92"/>
      <c r="E24" s="92"/>
      <c r="F24" s="92"/>
      <c r="G24" s="92"/>
      <c r="H24" s="92"/>
      <c r="I24" s="92"/>
      <c r="J24" s="92"/>
      <c r="K24" s="92"/>
      <c r="L24" s="110">
        <v>2585</v>
      </c>
      <c r="M24" s="110">
        <v>2570</v>
      </c>
      <c r="N24" s="92"/>
      <c r="O24" s="92"/>
      <c r="P24" s="92"/>
    </row>
    <row r="25" spans="1:16" x14ac:dyDescent="0.45">
      <c r="A25" s="92"/>
      <c r="B25" s="108">
        <v>45990</v>
      </c>
      <c r="C25" s="92"/>
      <c r="D25" s="92"/>
      <c r="E25" s="92"/>
      <c r="F25" s="92"/>
      <c r="G25" s="92"/>
      <c r="H25" s="92"/>
      <c r="I25" s="92"/>
      <c r="J25" s="92"/>
      <c r="K25" s="92"/>
      <c r="L25" s="110">
        <v>2585</v>
      </c>
      <c r="M25" s="110">
        <v>2225</v>
      </c>
      <c r="N25" s="92"/>
      <c r="O25" s="92"/>
      <c r="P25" s="92"/>
    </row>
    <row r="26" spans="1:16" x14ac:dyDescent="0.45">
      <c r="A26" s="92"/>
      <c r="B26" s="108">
        <v>45990</v>
      </c>
      <c r="C26" s="92"/>
      <c r="D26" s="92"/>
      <c r="E26" s="92"/>
      <c r="F26" s="92"/>
      <c r="G26" s="92"/>
      <c r="H26" s="92"/>
      <c r="I26" s="92"/>
      <c r="J26" s="92"/>
      <c r="K26" s="92"/>
      <c r="L26" s="110">
        <v>2585</v>
      </c>
      <c r="M26" s="110">
        <v>2165</v>
      </c>
      <c r="N26" s="92"/>
      <c r="O26" s="92"/>
      <c r="P26" s="92"/>
    </row>
    <row r="27" spans="1:16" x14ac:dyDescent="0.45">
      <c r="A27" s="92"/>
      <c r="B27" s="108">
        <v>45990</v>
      </c>
      <c r="C27" s="92"/>
      <c r="D27" s="92"/>
      <c r="E27" s="92"/>
      <c r="F27" s="92"/>
      <c r="G27" s="92"/>
      <c r="H27" s="92"/>
      <c r="I27" s="92"/>
      <c r="J27" s="92"/>
      <c r="K27" s="92"/>
      <c r="L27" s="110">
        <v>2585</v>
      </c>
      <c r="M27" s="110">
        <v>2775</v>
      </c>
      <c r="N27" s="92"/>
      <c r="O27" s="92"/>
      <c r="P27" s="92"/>
    </row>
    <row r="28" spans="1:16" x14ac:dyDescent="0.45">
      <c r="A28" s="92"/>
      <c r="B28" s="108">
        <v>45990</v>
      </c>
      <c r="C28" s="92"/>
      <c r="D28" s="92"/>
      <c r="E28" s="92"/>
      <c r="F28" s="92"/>
      <c r="G28" s="92"/>
      <c r="H28" s="92"/>
      <c r="I28" s="92"/>
      <c r="J28" s="92"/>
      <c r="K28" s="92"/>
      <c r="L28" s="110">
        <v>2590</v>
      </c>
      <c r="M28" s="110">
        <v>2590</v>
      </c>
      <c r="N28" s="92"/>
      <c r="O28" s="92"/>
      <c r="P28" s="92"/>
    </row>
    <row r="29" spans="1:16" x14ac:dyDescent="0.45">
      <c r="A29" s="92"/>
      <c r="B29" s="108">
        <v>45990</v>
      </c>
      <c r="C29" s="92"/>
      <c r="D29" s="92"/>
      <c r="E29" s="92"/>
      <c r="F29" s="92"/>
      <c r="G29" s="92"/>
      <c r="H29" s="92"/>
      <c r="I29" s="92"/>
      <c r="J29" s="92"/>
      <c r="K29" s="92"/>
      <c r="L29" s="110">
        <v>2590</v>
      </c>
      <c r="M29" s="92"/>
      <c r="N29" s="92"/>
      <c r="O29" s="92"/>
      <c r="P29" s="92"/>
    </row>
    <row r="30" spans="1:16" x14ac:dyDescent="0.45">
      <c r="A30" s="92"/>
      <c r="B30" s="108">
        <v>45990</v>
      </c>
      <c r="C30" s="92"/>
      <c r="D30" s="92"/>
      <c r="E30" s="92"/>
      <c r="F30" s="92"/>
      <c r="G30" s="92"/>
      <c r="H30" s="92"/>
      <c r="I30" s="92"/>
      <c r="J30" s="92"/>
      <c r="K30" s="92"/>
      <c r="L30" s="110">
        <v>2590</v>
      </c>
      <c r="M30" s="92"/>
      <c r="N30" s="92"/>
      <c r="O30" s="92"/>
      <c r="P30" s="92"/>
    </row>
    <row r="31" spans="1:16" x14ac:dyDescent="0.45">
      <c r="A31" s="92"/>
      <c r="B31" s="108">
        <v>45990</v>
      </c>
      <c r="C31" s="92"/>
      <c r="D31" s="92"/>
      <c r="E31" s="92"/>
      <c r="F31" s="92"/>
      <c r="G31" s="92"/>
      <c r="H31" s="92"/>
      <c r="I31" s="92"/>
      <c r="J31" s="92"/>
      <c r="K31" s="92"/>
      <c r="L31" s="110">
        <v>2600</v>
      </c>
      <c r="M31" s="92"/>
      <c r="N31" s="92"/>
      <c r="O31" s="92"/>
      <c r="P31" s="92"/>
    </row>
    <row r="32" spans="1:16" x14ac:dyDescent="0.45">
      <c r="A32" s="92"/>
      <c r="B32" s="108">
        <v>45990</v>
      </c>
      <c r="C32" s="92"/>
      <c r="D32" s="92"/>
      <c r="E32" s="92"/>
      <c r="F32" s="92"/>
      <c r="G32" s="92"/>
      <c r="H32" s="92"/>
      <c r="I32" s="92"/>
      <c r="J32" s="92"/>
      <c r="K32" s="92"/>
      <c r="L32" s="111">
        <v>2620</v>
      </c>
      <c r="M32" s="92"/>
      <c r="N32" s="92"/>
      <c r="O32" s="92"/>
      <c r="P32" s="92"/>
    </row>
    <row r="33" spans="1:19" x14ac:dyDescent="0.45">
      <c r="A33" s="92"/>
      <c r="B33" s="108">
        <v>45990</v>
      </c>
      <c r="C33" s="92"/>
      <c r="D33" s="92"/>
      <c r="E33" s="92"/>
      <c r="F33" s="92"/>
      <c r="G33" s="92"/>
      <c r="H33" s="92"/>
      <c r="I33" s="92"/>
      <c r="J33" s="92"/>
      <c r="K33" s="92"/>
      <c r="L33" s="110">
        <v>2695</v>
      </c>
      <c r="M33" s="92"/>
      <c r="N33" s="92"/>
      <c r="O33" s="92"/>
      <c r="P33" s="92"/>
    </row>
    <row r="34" spans="1:19" x14ac:dyDescent="0.45">
      <c r="A34" s="92"/>
      <c r="B34" s="108">
        <v>45990</v>
      </c>
      <c r="C34" s="92"/>
      <c r="D34" s="92"/>
      <c r="E34" s="92"/>
      <c r="F34" s="92"/>
      <c r="G34" s="92"/>
      <c r="H34" s="92"/>
      <c r="I34" s="92"/>
      <c r="J34" s="92"/>
      <c r="K34" s="92"/>
      <c r="L34" s="111">
        <v>2930</v>
      </c>
      <c r="M34" s="92"/>
      <c r="N34" s="92"/>
      <c r="O34" s="92"/>
      <c r="P34" s="92"/>
    </row>
    <row r="35" spans="1:19" x14ac:dyDescent="0.45">
      <c r="A35" s="92"/>
      <c r="B35" s="108">
        <v>45990</v>
      </c>
      <c r="C35" s="92"/>
      <c r="D35" s="92"/>
      <c r="E35" s="92"/>
      <c r="F35" s="92"/>
      <c r="G35" s="92"/>
      <c r="H35" s="92"/>
      <c r="I35" s="92"/>
      <c r="J35" s="92"/>
      <c r="K35" s="92"/>
      <c r="L35" s="110">
        <v>3370</v>
      </c>
      <c r="M35" s="92"/>
      <c r="N35" s="92"/>
      <c r="O35" s="92"/>
      <c r="P35" s="92"/>
    </row>
    <row r="36" spans="1:19" ht="14.65" thickBot="1" x14ac:dyDescent="0.5">
      <c r="A36" s="100"/>
      <c r="B36" s="108">
        <v>45990</v>
      </c>
      <c r="C36" s="100"/>
      <c r="D36" s="100"/>
      <c r="E36" s="100"/>
      <c r="F36" s="100"/>
      <c r="G36" s="100"/>
      <c r="H36" s="100"/>
      <c r="I36" s="100"/>
      <c r="J36" s="100"/>
      <c r="K36" s="100"/>
      <c r="L36" s="112">
        <v>3470</v>
      </c>
      <c r="M36" s="113">
        <f>SUM(F17:F21,I17:I23,J17:J21,L17:L36,M17:M28)</f>
        <v>136775</v>
      </c>
      <c r="N36" s="100"/>
      <c r="O36" s="100"/>
      <c r="P36" s="100"/>
      <c r="Q36" s="104">
        <f>(SUM(L32,L34,L36)/1000)*640*R36</f>
        <v>68638591.999999985</v>
      </c>
      <c r="R36">
        <v>11890</v>
      </c>
      <c r="S36">
        <f>(SUM(L32,L34,L36)/1000)*640</f>
        <v>5772.7999999999993</v>
      </c>
    </row>
    <row r="37" spans="1:19" x14ac:dyDescent="0.45">
      <c r="A37" s="99">
        <v>4</v>
      </c>
      <c r="B37" s="99"/>
      <c r="C37" s="99">
        <v>788</v>
      </c>
      <c r="D37" s="99"/>
      <c r="E37" s="99"/>
      <c r="F37" s="76"/>
      <c r="G37" s="99"/>
      <c r="H37" s="99"/>
      <c r="I37" s="76">
        <v>5215</v>
      </c>
      <c r="J37" s="76">
        <v>2450</v>
      </c>
      <c r="K37" s="99"/>
      <c r="L37" s="76">
        <v>1555</v>
      </c>
      <c r="M37" s="76">
        <v>2590</v>
      </c>
      <c r="N37" s="99"/>
      <c r="O37" s="99"/>
      <c r="P37" s="99"/>
    </row>
    <row r="38" spans="1:19" x14ac:dyDescent="0.45">
      <c r="A38" s="99" t="s">
        <v>147</v>
      </c>
      <c r="B38" s="92"/>
      <c r="C38" s="92"/>
      <c r="D38" s="92"/>
      <c r="E38" s="92"/>
      <c r="F38" s="92"/>
      <c r="G38" s="92"/>
      <c r="H38" s="92"/>
      <c r="I38" s="76">
        <v>5135</v>
      </c>
      <c r="J38" s="76">
        <v>2410</v>
      </c>
      <c r="K38" s="92"/>
      <c r="L38" s="76">
        <v>2485</v>
      </c>
      <c r="M38" s="92"/>
      <c r="N38" s="99"/>
      <c r="O38" s="99"/>
      <c r="P38" s="99"/>
    </row>
    <row r="39" spans="1:19" x14ac:dyDescent="0.45">
      <c r="A39" s="92" t="s">
        <v>146</v>
      </c>
      <c r="B39" s="92"/>
      <c r="C39" s="92"/>
      <c r="D39" s="92"/>
      <c r="E39" s="92"/>
      <c r="F39" s="92"/>
      <c r="G39" s="92"/>
      <c r="H39" s="92"/>
      <c r="I39" s="76">
        <v>2555</v>
      </c>
      <c r="J39" s="92"/>
      <c r="K39" s="92"/>
      <c r="L39" s="76">
        <v>2490</v>
      </c>
      <c r="M39" s="92"/>
      <c r="N39" s="92"/>
      <c r="O39" s="92"/>
      <c r="P39" s="92"/>
    </row>
    <row r="40" spans="1:19" x14ac:dyDescent="0.45">
      <c r="A40" s="92"/>
      <c r="B40" s="92"/>
      <c r="C40" s="92"/>
      <c r="D40" s="92"/>
      <c r="E40" s="92"/>
      <c r="F40" s="92"/>
      <c r="G40" s="92"/>
      <c r="H40" s="92"/>
      <c r="I40" s="76">
        <v>2575</v>
      </c>
      <c r="J40" s="92"/>
      <c r="K40" s="92"/>
      <c r="L40" s="76">
        <v>2550</v>
      </c>
      <c r="M40" s="92"/>
      <c r="N40" s="99"/>
      <c r="O40" s="99"/>
      <c r="P40" s="99"/>
    </row>
    <row r="41" spans="1:19" x14ac:dyDescent="0.45">
      <c r="A41" s="92"/>
      <c r="B41" s="92"/>
      <c r="C41" s="92"/>
      <c r="D41" s="92"/>
      <c r="E41" s="92"/>
      <c r="F41" s="92"/>
      <c r="G41" s="92"/>
      <c r="H41" s="92"/>
      <c r="I41" s="76">
        <v>2560</v>
      </c>
      <c r="J41" s="92"/>
      <c r="K41" s="92"/>
      <c r="L41" s="76">
        <v>2580</v>
      </c>
      <c r="M41" s="92"/>
      <c r="N41" s="92"/>
      <c r="O41" s="92"/>
      <c r="P41" s="92"/>
    </row>
    <row r="42" spans="1:19" x14ac:dyDescent="0.45">
      <c r="A42" s="92"/>
      <c r="B42" s="92"/>
      <c r="C42" s="92"/>
      <c r="D42" s="92"/>
      <c r="E42" s="92"/>
      <c r="F42" s="92"/>
      <c r="G42" s="92"/>
      <c r="H42" s="92"/>
      <c r="I42" s="92"/>
      <c r="J42" s="92"/>
      <c r="K42" s="92"/>
      <c r="L42" s="76">
        <v>2580</v>
      </c>
      <c r="M42" s="92"/>
      <c r="N42" s="99"/>
      <c r="O42" s="99"/>
      <c r="P42" s="99"/>
    </row>
    <row r="43" spans="1:19" x14ac:dyDescent="0.45">
      <c r="A43" s="92"/>
      <c r="B43" s="92"/>
      <c r="C43" s="92">
        <v>928</v>
      </c>
      <c r="D43" s="92"/>
      <c r="E43" s="92"/>
      <c r="F43" s="76">
        <v>3125</v>
      </c>
      <c r="G43" s="92"/>
      <c r="H43" s="92"/>
      <c r="I43" s="76">
        <v>2600</v>
      </c>
      <c r="J43" s="92"/>
      <c r="K43" s="92"/>
      <c r="L43" s="76">
        <v>2580</v>
      </c>
      <c r="M43" s="76">
        <v>2585</v>
      </c>
      <c r="N43" s="92"/>
      <c r="O43" s="92"/>
      <c r="P43" s="92"/>
    </row>
    <row r="44" spans="1:19" x14ac:dyDescent="0.45">
      <c r="A44" s="92"/>
      <c r="B44" s="92"/>
      <c r="C44" s="92"/>
      <c r="D44" s="92"/>
      <c r="E44" s="92"/>
      <c r="F44" s="92"/>
      <c r="G44" s="92"/>
      <c r="H44" s="92"/>
      <c r="I44" s="76">
        <v>5200</v>
      </c>
      <c r="J44" s="92"/>
      <c r="K44" s="92"/>
      <c r="L44" s="76">
        <v>2585</v>
      </c>
      <c r="M44">
        <v>2580</v>
      </c>
      <c r="N44" s="99"/>
      <c r="O44" s="99"/>
      <c r="P44" s="99"/>
    </row>
    <row r="45" spans="1:19" x14ac:dyDescent="0.45">
      <c r="A45" s="92"/>
      <c r="B45" s="92"/>
      <c r="C45" s="92"/>
      <c r="D45" s="92"/>
      <c r="E45" s="92"/>
      <c r="F45" s="92"/>
      <c r="G45" s="92"/>
      <c r="H45" s="92"/>
      <c r="I45" s="92"/>
      <c r="J45" s="92"/>
      <c r="K45" s="92"/>
      <c r="L45" s="76">
        <v>2585</v>
      </c>
      <c r="M45">
        <v>2165</v>
      </c>
      <c r="N45" s="92"/>
      <c r="O45" s="92"/>
      <c r="P45" s="92"/>
    </row>
    <row r="46" spans="1:19" x14ac:dyDescent="0.45">
      <c r="A46" s="92"/>
      <c r="B46" s="92"/>
      <c r="C46" s="92"/>
      <c r="D46" s="92"/>
      <c r="E46" s="92"/>
      <c r="F46" s="92"/>
      <c r="G46" s="92"/>
      <c r="H46" s="92"/>
      <c r="I46" s="92"/>
      <c r="J46" s="92"/>
      <c r="K46" s="92"/>
      <c r="L46" s="76">
        <v>2585</v>
      </c>
      <c r="M46">
        <v>2580</v>
      </c>
      <c r="N46" s="99"/>
      <c r="O46" s="99"/>
      <c r="P46" s="99"/>
    </row>
    <row r="47" spans="1:19" x14ac:dyDescent="0.45">
      <c r="A47" s="92"/>
      <c r="B47" s="92"/>
      <c r="C47" s="92"/>
      <c r="D47" s="92"/>
      <c r="E47" s="92"/>
      <c r="F47" s="92"/>
      <c r="G47" s="92"/>
      <c r="H47" s="92"/>
      <c r="I47" s="92"/>
      <c r="J47" s="92"/>
      <c r="K47" s="92"/>
      <c r="L47" s="76">
        <v>2585</v>
      </c>
      <c r="M47" s="76">
        <v>2500</v>
      </c>
      <c r="N47" s="92"/>
      <c r="O47" s="92"/>
      <c r="P47" s="92"/>
    </row>
    <row r="48" spans="1:19" x14ac:dyDescent="0.45">
      <c r="A48" s="92"/>
      <c r="B48" s="92"/>
      <c r="C48" s="92"/>
      <c r="D48" s="92"/>
      <c r="E48" s="92"/>
      <c r="F48" s="92"/>
      <c r="G48" s="92"/>
      <c r="H48" s="92"/>
      <c r="I48" s="92"/>
      <c r="J48" s="92"/>
      <c r="K48" s="92"/>
      <c r="L48" s="76">
        <v>2590</v>
      </c>
      <c r="M48" s="76">
        <v>2600</v>
      </c>
      <c r="N48" s="99"/>
      <c r="O48" s="99"/>
      <c r="P48" s="99"/>
    </row>
    <row r="49" spans="1:17" x14ac:dyDescent="0.45">
      <c r="A49" s="92"/>
      <c r="B49" s="92"/>
      <c r="C49" s="92"/>
      <c r="D49" s="92"/>
      <c r="E49" s="92"/>
      <c r="F49" s="92"/>
      <c r="G49" s="92"/>
      <c r="H49" s="92"/>
      <c r="I49" s="92"/>
      <c r="J49" s="92"/>
      <c r="K49" s="92"/>
      <c r="L49" s="76">
        <v>2590</v>
      </c>
      <c r="M49" s="76">
        <v>2590</v>
      </c>
      <c r="N49" s="92"/>
      <c r="O49" s="92"/>
      <c r="P49" s="92"/>
    </row>
    <row r="50" spans="1:17" x14ac:dyDescent="0.45">
      <c r="A50" s="92"/>
      <c r="B50" s="92"/>
      <c r="C50" s="92"/>
      <c r="D50" s="92"/>
      <c r="E50" s="92"/>
      <c r="F50" s="92"/>
      <c r="G50" s="92"/>
      <c r="H50" s="92"/>
      <c r="I50" s="92"/>
      <c r="J50" s="92"/>
      <c r="K50" s="92"/>
      <c r="L50" s="76">
        <v>2590</v>
      </c>
      <c r="M50" s="92"/>
      <c r="N50" s="99"/>
      <c r="O50" s="99"/>
      <c r="P50" s="99"/>
    </row>
    <row r="51" spans="1:17" x14ac:dyDescent="0.45">
      <c r="A51" s="92"/>
      <c r="B51" s="92"/>
      <c r="C51" s="92">
        <v>605</v>
      </c>
      <c r="D51" s="92"/>
      <c r="E51" s="92"/>
      <c r="F51" s="76">
        <v>3130</v>
      </c>
      <c r="G51" s="92"/>
      <c r="H51" s="92"/>
      <c r="I51" s="92"/>
      <c r="J51" s="76">
        <v>2540</v>
      </c>
      <c r="K51" s="92"/>
      <c r="L51" s="76">
        <v>2600</v>
      </c>
      <c r="M51" s="76">
        <v>2225</v>
      </c>
      <c r="N51" s="92"/>
      <c r="O51" s="92"/>
      <c r="P51" s="92"/>
    </row>
    <row r="52" spans="1:17" x14ac:dyDescent="0.45">
      <c r="A52" s="92"/>
      <c r="B52" s="92"/>
      <c r="C52" s="92"/>
      <c r="D52" s="92"/>
      <c r="E52" s="92"/>
      <c r="F52" s="76">
        <v>3110</v>
      </c>
      <c r="G52" s="92"/>
      <c r="H52" s="92"/>
      <c r="I52" s="92"/>
      <c r="J52" s="76">
        <v>2500</v>
      </c>
      <c r="K52" s="92"/>
      <c r="L52" s="76">
        <v>2695</v>
      </c>
      <c r="M52" s="76">
        <v>2775</v>
      </c>
      <c r="N52" s="99"/>
      <c r="O52" s="99"/>
      <c r="P52" s="99"/>
    </row>
    <row r="53" spans="1:17" x14ac:dyDescent="0.45">
      <c r="A53" s="92"/>
      <c r="B53" s="92"/>
      <c r="C53" s="92"/>
      <c r="D53" s="92"/>
      <c r="E53" s="92"/>
      <c r="F53" s="76">
        <v>3135</v>
      </c>
      <c r="G53" s="92"/>
      <c r="H53" s="92"/>
      <c r="I53" s="92"/>
      <c r="J53" s="76">
        <v>2515</v>
      </c>
      <c r="K53" s="92"/>
      <c r="L53" s="76">
        <v>3370</v>
      </c>
      <c r="M53" s="76">
        <v>2570</v>
      </c>
      <c r="N53" s="92"/>
      <c r="O53" s="92"/>
      <c r="P53" s="92"/>
    </row>
    <row r="54" spans="1:17" x14ac:dyDescent="0.45">
      <c r="A54" s="92"/>
      <c r="B54" s="92"/>
      <c r="C54" s="92"/>
      <c r="D54" s="92"/>
      <c r="E54" s="92"/>
      <c r="F54" s="76">
        <v>3135</v>
      </c>
      <c r="G54" s="92"/>
      <c r="H54" s="92"/>
      <c r="I54" s="92"/>
      <c r="J54" s="92"/>
      <c r="K54" s="92"/>
      <c r="L54" s="92"/>
      <c r="M54" s="76">
        <v>2510</v>
      </c>
      <c r="N54" s="99"/>
      <c r="O54" s="99"/>
      <c r="P54" s="99"/>
    </row>
    <row r="55" spans="1:17" ht="14.65" thickBot="1" x14ac:dyDescent="0.5">
      <c r="A55" s="100"/>
      <c r="B55" s="100"/>
      <c r="C55" s="100"/>
      <c r="D55" s="100"/>
      <c r="E55" s="100"/>
      <c r="F55" s="100"/>
      <c r="G55" s="100"/>
      <c r="H55" s="100"/>
      <c r="I55" s="100"/>
      <c r="J55" s="100"/>
      <c r="K55" s="100"/>
      <c r="L55" s="100"/>
      <c r="M55" s="113">
        <f>SUM(F43:F54,I37:I44,J37:J53,L37:L53,M37:M54)</f>
        <v>127755</v>
      </c>
      <c r="N55" s="100"/>
      <c r="O55" s="100"/>
      <c r="P55" s="100"/>
      <c r="Q55" s="104">
        <f>(M55/1000)*640*R55</f>
        <v>0</v>
      </c>
    </row>
    <row r="56" spans="1:17" x14ac:dyDescent="0.45">
      <c r="A56" s="99">
        <v>5</v>
      </c>
      <c r="B56" s="108">
        <v>46054</v>
      </c>
      <c r="C56" s="99" t="s">
        <v>148</v>
      </c>
      <c r="D56" s="114">
        <v>2105</v>
      </c>
      <c r="E56" s="115"/>
      <c r="F56" s="76">
        <v>1985</v>
      </c>
      <c r="G56" s="76">
        <v>2535</v>
      </c>
      <c r="H56" s="99"/>
      <c r="I56" s="99"/>
      <c r="J56" s="76">
        <v>2465</v>
      </c>
      <c r="K56" s="110">
        <v>2540</v>
      </c>
      <c r="L56" s="99"/>
      <c r="M56" s="99"/>
      <c r="N56" s="99"/>
      <c r="O56" s="99"/>
      <c r="P56" s="99"/>
    </row>
    <row r="57" spans="1:17" x14ac:dyDescent="0.45">
      <c r="A57" s="92" t="s">
        <v>145</v>
      </c>
      <c r="B57" s="108">
        <v>46054</v>
      </c>
      <c r="C57" s="92"/>
      <c r="D57" s="92"/>
      <c r="E57" s="92"/>
      <c r="F57" s="76">
        <v>1975</v>
      </c>
      <c r="G57" s="76">
        <v>2340</v>
      </c>
      <c r="H57" s="92"/>
      <c r="I57" s="92"/>
      <c r="J57" s="76">
        <v>2515</v>
      </c>
      <c r="K57" s="110">
        <f>5090-K56</f>
        <v>2550</v>
      </c>
      <c r="L57" s="92"/>
      <c r="M57" s="92"/>
      <c r="N57" s="92"/>
      <c r="O57" s="92"/>
      <c r="P57" s="92"/>
    </row>
    <row r="58" spans="1:17" x14ac:dyDescent="0.45">
      <c r="A58" s="92"/>
      <c r="B58" s="108">
        <v>46054</v>
      </c>
      <c r="C58" s="92"/>
      <c r="D58" s="92"/>
      <c r="E58" s="92"/>
      <c r="F58" s="92"/>
      <c r="G58" s="76">
        <v>2375</v>
      </c>
      <c r="H58" s="92"/>
      <c r="I58" s="92"/>
      <c r="J58" s="92"/>
      <c r="K58" s="92"/>
      <c r="L58" s="92"/>
      <c r="M58" s="92"/>
      <c r="N58" s="99"/>
      <c r="O58" s="99"/>
      <c r="P58" s="99"/>
    </row>
    <row r="59" spans="1:17" x14ac:dyDescent="0.45">
      <c r="A59" s="92"/>
      <c r="B59" s="108">
        <v>46054</v>
      </c>
      <c r="C59" s="116" t="s">
        <v>149</v>
      </c>
      <c r="D59" s="94"/>
      <c r="E59" s="94"/>
      <c r="F59" s="94"/>
      <c r="G59" s="94"/>
      <c r="H59" s="94"/>
      <c r="I59" s="94"/>
      <c r="J59" s="94"/>
      <c r="K59" s="94"/>
      <c r="L59" s="110">
        <v>2200</v>
      </c>
      <c r="M59" s="94"/>
      <c r="N59" s="92"/>
      <c r="O59" s="92"/>
      <c r="P59" s="92"/>
    </row>
    <row r="60" spans="1:17" x14ac:dyDescent="0.45">
      <c r="A60" s="92"/>
      <c r="B60" s="108">
        <v>46054</v>
      </c>
      <c r="C60" s="94"/>
      <c r="D60" s="94"/>
      <c r="E60" s="94"/>
      <c r="F60" s="94"/>
      <c r="G60" s="94"/>
      <c r="H60" s="94"/>
      <c r="I60" s="94"/>
      <c r="J60" s="94"/>
      <c r="K60" s="94"/>
      <c r="L60" s="110">
        <v>2490</v>
      </c>
      <c r="M60" s="94"/>
      <c r="N60" s="99"/>
      <c r="O60" s="99"/>
      <c r="P60" s="99"/>
    </row>
    <row r="61" spans="1:17" x14ac:dyDescent="0.45">
      <c r="A61" s="92"/>
      <c r="B61" s="108">
        <v>46054</v>
      </c>
      <c r="C61" s="94"/>
      <c r="D61" s="94"/>
      <c r="E61" s="94"/>
      <c r="F61" s="94"/>
      <c r="G61" s="94"/>
      <c r="H61" s="94"/>
      <c r="I61" s="94"/>
      <c r="J61" s="94"/>
      <c r="K61" s="94"/>
      <c r="L61" s="110">
        <v>2500</v>
      </c>
      <c r="M61" s="94"/>
      <c r="N61" s="92"/>
      <c r="O61" s="92"/>
      <c r="P61" s="92"/>
    </row>
    <row r="62" spans="1:17" x14ac:dyDescent="0.45">
      <c r="A62" s="92"/>
      <c r="B62" s="108">
        <v>46054</v>
      </c>
      <c r="C62" s="94"/>
      <c r="D62" s="94"/>
      <c r="E62" s="94"/>
      <c r="F62" s="94"/>
      <c r="G62" s="94"/>
      <c r="H62" s="94"/>
      <c r="I62" s="94"/>
      <c r="J62" s="94"/>
      <c r="K62" s="94"/>
      <c r="L62" s="110">
        <v>2500</v>
      </c>
      <c r="M62" s="94"/>
      <c r="N62" s="99"/>
      <c r="O62" s="99"/>
      <c r="P62" s="99"/>
    </row>
    <row r="63" spans="1:17" x14ac:dyDescent="0.45">
      <c r="A63" s="92"/>
      <c r="B63" s="108">
        <v>46054</v>
      </c>
      <c r="C63" s="94"/>
      <c r="D63" s="94"/>
      <c r="E63" s="94"/>
      <c r="F63" s="94"/>
      <c r="G63" s="94"/>
      <c r="H63" s="94"/>
      <c r="I63" s="94"/>
      <c r="J63" s="94"/>
      <c r="K63" s="94"/>
      <c r="L63" s="110">
        <v>2500</v>
      </c>
      <c r="M63" s="94"/>
      <c r="N63" s="92"/>
      <c r="O63" s="92"/>
      <c r="P63" s="92"/>
    </row>
    <row r="64" spans="1:17" x14ac:dyDescent="0.45">
      <c r="A64" s="92"/>
      <c r="B64" s="108">
        <v>46054</v>
      </c>
      <c r="C64" s="94"/>
      <c r="D64" s="94"/>
      <c r="E64" s="94"/>
      <c r="F64" s="94"/>
      <c r="G64" s="94"/>
      <c r="H64" s="94"/>
      <c r="I64" s="94"/>
      <c r="J64" s="94"/>
      <c r="K64" s="94"/>
      <c r="L64" s="110">
        <v>2535</v>
      </c>
      <c r="M64" s="94"/>
      <c r="N64" s="99"/>
      <c r="O64" s="99"/>
      <c r="P64" s="99"/>
    </row>
    <row r="65" spans="1:19" x14ac:dyDescent="0.45">
      <c r="A65" s="92"/>
      <c r="B65" s="108">
        <v>46054</v>
      </c>
      <c r="C65" s="94"/>
      <c r="D65" s="94"/>
      <c r="E65" s="94"/>
      <c r="F65" s="94"/>
      <c r="G65" s="94"/>
      <c r="H65" s="94"/>
      <c r="I65" s="94"/>
      <c r="J65" s="94"/>
      <c r="K65" s="94"/>
      <c r="L65" s="110">
        <v>2500</v>
      </c>
      <c r="M65" s="94"/>
      <c r="N65" s="92"/>
      <c r="O65" s="92"/>
      <c r="P65" s="92"/>
    </row>
    <row r="66" spans="1:19" x14ac:dyDescent="0.45">
      <c r="A66" s="92"/>
      <c r="B66" s="108">
        <v>46054</v>
      </c>
      <c r="C66" s="94"/>
      <c r="D66" s="94"/>
      <c r="E66" s="94"/>
      <c r="F66" s="94"/>
      <c r="G66" s="94"/>
      <c r="H66" s="94"/>
      <c r="I66" s="94"/>
      <c r="J66" s="94"/>
      <c r="K66" s="94"/>
      <c r="L66" s="110">
        <v>2485</v>
      </c>
      <c r="M66" s="94"/>
      <c r="N66" s="99"/>
      <c r="O66" s="99"/>
      <c r="P66" s="99"/>
    </row>
    <row r="67" spans="1:19" x14ac:dyDescent="0.45">
      <c r="A67" s="92"/>
      <c r="B67" s="108">
        <v>46054</v>
      </c>
      <c r="C67" s="94"/>
      <c r="D67" s="94"/>
      <c r="E67" s="94"/>
      <c r="F67" s="94"/>
      <c r="G67" s="94"/>
      <c r="H67" s="94"/>
      <c r="I67" s="94"/>
      <c r="J67" s="94"/>
      <c r="K67" s="94"/>
      <c r="L67" s="110">
        <v>2490</v>
      </c>
      <c r="M67" s="94"/>
      <c r="N67" s="92"/>
      <c r="O67" s="92"/>
      <c r="P67" s="92"/>
    </row>
    <row r="68" spans="1:19" x14ac:dyDescent="0.45">
      <c r="A68" s="92"/>
      <c r="B68" s="108">
        <v>46054</v>
      </c>
      <c r="C68" s="94"/>
      <c r="D68" s="94"/>
      <c r="E68" s="94"/>
      <c r="F68" s="94"/>
      <c r="G68" s="94"/>
      <c r="H68" s="94"/>
      <c r="I68" s="94"/>
      <c r="J68" s="94"/>
      <c r="K68" s="94"/>
      <c r="L68" s="110">
        <v>2495</v>
      </c>
      <c r="M68" s="94"/>
      <c r="N68" s="99"/>
      <c r="O68" s="99"/>
      <c r="P68" s="99"/>
    </row>
    <row r="69" spans="1:19" x14ac:dyDescent="0.45">
      <c r="A69" s="92"/>
      <c r="B69" s="108">
        <v>46054</v>
      </c>
      <c r="C69" s="116" t="s">
        <v>150</v>
      </c>
      <c r="D69" s="94"/>
      <c r="E69" s="94"/>
      <c r="F69" s="94"/>
      <c r="G69" s="94"/>
      <c r="H69" s="110">
        <v>2480</v>
      </c>
      <c r="I69" s="94"/>
      <c r="J69" s="94"/>
      <c r="K69" s="94"/>
      <c r="L69" s="94"/>
      <c r="M69" s="117">
        <v>2490</v>
      </c>
      <c r="N69" s="92"/>
      <c r="O69" s="92"/>
      <c r="P69" s="92"/>
    </row>
    <row r="70" spans="1:19" x14ac:dyDescent="0.45">
      <c r="A70" s="92"/>
      <c r="B70" s="108">
        <v>46054</v>
      </c>
      <c r="C70" s="94"/>
      <c r="D70" s="94"/>
      <c r="E70" s="94"/>
      <c r="F70" s="94"/>
      <c r="G70" s="94"/>
      <c r="H70" s="94"/>
      <c r="I70" s="94"/>
      <c r="J70" s="94"/>
      <c r="K70" s="94"/>
      <c r="L70" s="94"/>
      <c r="M70" s="117">
        <v>2490</v>
      </c>
      <c r="N70" s="99"/>
      <c r="O70" s="99"/>
      <c r="P70" s="99"/>
    </row>
    <row r="71" spans="1:19" x14ac:dyDescent="0.45">
      <c r="A71" s="92"/>
      <c r="B71" s="108">
        <v>46054</v>
      </c>
      <c r="C71" s="94"/>
      <c r="D71" s="94"/>
      <c r="E71" s="94"/>
      <c r="F71" s="94"/>
      <c r="G71" s="94"/>
      <c r="H71" s="94"/>
      <c r="I71" s="94"/>
      <c r="J71" s="94"/>
      <c r="K71" s="94"/>
      <c r="L71" s="94"/>
      <c r="M71" s="117">
        <v>2505</v>
      </c>
      <c r="N71" s="92"/>
      <c r="O71" s="92"/>
      <c r="P71" s="92"/>
    </row>
    <row r="72" spans="1:19" x14ac:dyDescent="0.45">
      <c r="A72" s="92"/>
      <c r="B72" s="108">
        <v>46054</v>
      </c>
      <c r="C72" s="94"/>
      <c r="D72" s="94"/>
      <c r="E72" s="94"/>
      <c r="F72" s="94"/>
      <c r="G72" s="94"/>
      <c r="H72" s="94"/>
      <c r="I72" s="94"/>
      <c r="J72" s="94"/>
      <c r="K72" s="94"/>
      <c r="L72" s="94"/>
      <c r="M72" s="117">
        <v>2495</v>
      </c>
      <c r="N72" s="99"/>
      <c r="O72" s="99"/>
      <c r="P72" s="99"/>
    </row>
    <row r="73" spans="1:19" x14ac:dyDescent="0.45">
      <c r="A73" s="92"/>
      <c r="B73" s="108">
        <v>46054</v>
      </c>
      <c r="C73" s="94"/>
      <c r="D73" s="94"/>
      <c r="E73" s="94"/>
      <c r="F73" s="94"/>
      <c r="G73" s="94"/>
      <c r="H73" s="94"/>
      <c r="I73" s="94"/>
      <c r="J73" s="94"/>
      <c r="K73" s="94"/>
      <c r="L73" s="94"/>
      <c r="M73" s="117">
        <v>2495</v>
      </c>
      <c r="N73" s="92"/>
      <c r="O73" s="92"/>
      <c r="P73" s="92"/>
    </row>
    <row r="74" spans="1:19" x14ac:dyDescent="0.45">
      <c r="A74" s="92"/>
      <c r="B74" s="108">
        <v>46054</v>
      </c>
      <c r="C74" s="94"/>
      <c r="D74" s="94"/>
      <c r="E74" s="94"/>
      <c r="F74" s="94"/>
      <c r="G74" s="94"/>
      <c r="H74" s="94"/>
      <c r="I74" s="94"/>
      <c r="J74" s="94"/>
      <c r="K74" s="94"/>
      <c r="L74" s="94"/>
      <c r="M74" s="117">
        <v>2495</v>
      </c>
      <c r="N74" s="99"/>
      <c r="O74" s="99"/>
      <c r="P74" s="99"/>
    </row>
    <row r="75" spans="1:19" x14ac:dyDescent="0.45">
      <c r="A75" s="92"/>
      <c r="B75" s="108">
        <v>46054</v>
      </c>
      <c r="C75" s="94"/>
      <c r="D75" s="94"/>
      <c r="E75" s="94"/>
      <c r="F75" s="94"/>
      <c r="G75" s="94"/>
      <c r="H75" s="94"/>
      <c r="I75" s="94"/>
      <c r="J75" s="94"/>
      <c r="K75" s="94"/>
      <c r="L75" s="94"/>
      <c r="M75" s="117">
        <v>2495</v>
      </c>
      <c r="N75" s="92"/>
      <c r="O75" s="92"/>
      <c r="P75" s="92"/>
    </row>
    <row r="76" spans="1:19" x14ac:dyDescent="0.45">
      <c r="A76" s="92"/>
      <c r="B76" s="108">
        <v>46054</v>
      </c>
      <c r="C76" s="94"/>
      <c r="D76" s="94"/>
      <c r="E76" s="94"/>
      <c r="F76" s="94"/>
      <c r="G76" s="94"/>
      <c r="H76" s="94"/>
      <c r="I76" s="94"/>
      <c r="J76" s="94"/>
      <c r="K76" s="94"/>
      <c r="L76" s="94"/>
      <c r="M76" s="117">
        <v>2505</v>
      </c>
      <c r="N76" s="99"/>
      <c r="O76" s="99"/>
      <c r="P76" s="99"/>
    </row>
    <row r="77" spans="1:19" ht="14.65" thickBot="1" x14ac:dyDescent="0.5">
      <c r="A77" s="100"/>
      <c r="B77" s="108">
        <v>46054</v>
      </c>
      <c r="C77" s="101"/>
      <c r="D77" s="101"/>
      <c r="E77" s="101"/>
      <c r="F77" s="101"/>
      <c r="G77" s="101"/>
      <c r="H77" s="101"/>
      <c r="I77" s="101"/>
      <c r="J77" s="101"/>
      <c r="K77" s="101"/>
      <c r="L77" s="101"/>
      <c r="M77" s="118">
        <v>2490</v>
      </c>
      <c r="N77" s="113">
        <f>SUM(D56,G56:G58,F56:F57,H69,J56:J57,K56:K57,L59:L68,M69:M77)</f>
        <v>73020</v>
      </c>
      <c r="O77" s="100"/>
      <c r="P77" s="100"/>
      <c r="Q77" s="104">
        <f>(N77/1000)*640*R77</f>
        <v>568504512</v>
      </c>
      <c r="R77">
        <v>12165</v>
      </c>
      <c r="S77">
        <f>(N77/1000)*640</f>
        <v>46732.799999999996</v>
      </c>
    </row>
    <row r="78" spans="1:19" x14ac:dyDescent="0.45">
      <c r="A78" s="119">
        <v>6</v>
      </c>
      <c r="B78" s="120">
        <v>46070</v>
      </c>
      <c r="C78" s="121" t="s">
        <v>151</v>
      </c>
      <c r="D78" s="109">
        <v>1565</v>
      </c>
      <c r="E78" s="109"/>
      <c r="F78" s="122"/>
      <c r="G78" s="119"/>
      <c r="H78" s="109">
        <v>5110</v>
      </c>
      <c r="I78" s="119"/>
      <c r="J78" s="119"/>
      <c r="K78" s="119"/>
      <c r="L78" s="119"/>
      <c r="M78" s="119"/>
      <c r="N78" s="119"/>
      <c r="O78" s="119"/>
      <c r="P78" s="119"/>
    </row>
    <row r="79" spans="1:19" x14ac:dyDescent="0.45">
      <c r="A79" s="94" t="s">
        <v>145</v>
      </c>
      <c r="B79" s="120">
        <v>46070</v>
      </c>
      <c r="C79" s="98"/>
      <c r="D79" s="110">
        <v>1580</v>
      </c>
      <c r="E79" s="110"/>
      <c r="F79" s="123"/>
      <c r="G79" s="94"/>
      <c r="H79" s="110">
        <v>4975</v>
      </c>
      <c r="I79" s="94"/>
      <c r="J79" s="94"/>
      <c r="K79" s="94"/>
      <c r="L79" s="94"/>
      <c r="M79" s="94"/>
      <c r="N79" s="94"/>
      <c r="O79" s="94"/>
      <c r="P79" s="94"/>
    </row>
    <row r="80" spans="1:19" x14ac:dyDescent="0.45">
      <c r="A80" s="94"/>
      <c r="B80" s="120">
        <v>46070</v>
      </c>
      <c r="C80" s="98"/>
      <c r="D80" s="110">
        <v>1560</v>
      </c>
      <c r="E80" s="110"/>
      <c r="F80" s="123"/>
      <c r="G80" s="94"/>
      <c r="H80" s="110">
        <v>2445</v>
      </c>
      <c r="I80" s="94"/>
      <c r="J80" s="94"/>
      <c r="K80" s="94"/>
      <c r="L80" s="94"/>
      <c r="M80" s="94"/>
      <c r="N80" s="119"/>
      <c r="O80" s="119"/>
      <c r="P80" s="119"/>
    </row>
    <row r="81" spans="1:17" x14ac:dyDescent="0.45">
      <c r="A81" s="94"/>
      <c r="B81" s="120">
        <v>46070</v>
      </c>
      <c r="C81" s="98"/>
      <c r="D81" s="110">
        <v>1560</v>
      </c>
      <c r="E81" s="110"/>
      <c r="F81" s="123"/>
      <c r="G81" s="94"/>
      <c r="H81" s="123"/>
      <c r="I81" s="94"/>
      <c r="J81" s="94"/>
      <c r="K81" s="94"/>
      <c r="L81" s="94"/>
      <c r="M81" s="94"/>
      <c r="N81" s="94"/>
      <c r="O81" s="94"/>
      <c r="P81" s="94"/>
    </row>
    <row r="82" spans="1:17" x14ac:dyDescent="0.45">
      <c r="A82" s="94"/>
      <c r="B82" s="120">
        <v>46070</v>
      </c>
      <c r="C82" s="98"/>
      <c r="D82" s="110">
        <v>1550</v>
      </c>
      <c r="E82" s="110"/>
      <c r="F82" s="123"/>
      <c r="G82" s="94"/>
      <c r="H82" s="123"/>
      <c r="I82" s="94"/>
      <c r="J82" s="94"/>
      <c r="K82" s="94"/>
      <c r="L82" s="94"/>
      <c r="M82" s="94"/>
      <c r="N82" s="119"/>
      <c r="O82" s="119"/>
      <c r="P82" s="119"/>
    </row>
    <row r="83" spans="1:17" x14ac:dyDescent="0.45">
      <c r="A83" s="94"/>
      <c r="B83" s="120">
        <v>46070</v>
      </c>
      <c r="C83" s="98"/>
      <c r="D83" s="94">
        <v>1565</v>
      </c>
      <c r="E83" s="94"/>
      <c r="F83" s="123"/>
      <c r="G83" s="94"/>
      <c r="H83" s="123"/>
      <c r="I83" s="94"/>
      <c r="J83" s="94"/>
      <c r="K83" s="98"/>
      <c r="L83" s="110"/>
      <c r="M83" s="110"/>
      <c r="N83" s="110"/>
      <c r="O83" s="110"/>
      <c r="P83" s="117"/>
      <c r="Q83" s="124"/>
    </row>
    <row r="84" spans="1:17" x14ac:dyDescent="0.45">
      <c r="A84" s="94"/>
      <c r="B84" s="120">
        <v>46070</v>
      </c>
      <c r="C84" s="98"/>
      <c r="D84" s="110">
        <v>1555</v>
      </c>
      <c r="E84" s="110"/>
      <c r="F84" s="110"/>
      <c r="G84" s="94"/>
      <c r="H84" s="123"/>
      <c r="I84" s="94"/>
      <c r="J84" s="94"/>
      <c r="K84" s="98"/>
      <c r="L84" s="110"/>
      <c r="M84" s="110"/>
      <c r="N84" s="110"/>
      <c r="O84" s="110"/>
      <c r="P84" s="117"/>
      <c r="Q84" s="124"/>
    </row>
    <row r="85" spans="1:17" x14ac:dyDescent="0.45">
      <c r="A85" s="94"/>
      <c r="B85" s="120">
        <v>46070</v>
      </c>
      <c r="C85" s="116" t="s">
        <v>152</v>
      </c>
      <c r="D85" s="110"/>
      <c r="E85" s="110"/>
      <c r="F85" s="123"/>
      <c r="G85" s="94"/>
      <c r="H85" s="123">
        <v>2455</v>
      </c>
      <c r="I85" s="94"/>
      <c r="J85" s="94"/>
      <c r="K85" s="98"/>
      <c r="L85" s="110"/>
      <c r="M85" s="110"/>
      <c r="N85" s="110"/>
      <c r="O85" s="110"/>
      <c r="P85" s="117"/>
      <c r="Q85" s="124"/>
    </row>
    <row r="86" spans="1:17" x14ac:dyDescent="0.45">
      <c r="A86" s="94"/>
      <c r="B86" s="120">
        <v>46070</v>
      </c>
      <c r="C86" s="98"/>
      <c r="D86" s="110"/>
      <c r="E86" s="110"/>
      <c r="F86" s="123"/>
      <c r="G86" s="94"/>
      <c r="H86" s="123">
        <v>2450</v>
      </c>
      <c r="I86" s="94"/>
      <c r="J86" s="94"/>
      <c r="K86" s="98"/>
      <c r="L86" s="110"/>
      <c r="M86" s="123"/>
      <c r="N86" s="110"/>
      <c r="O86" s="110"/>
      <c r="P86" s="117"/>
      <c r="Q86" s="124"/>
    </row>
    <row r="87" spans="1:17" x14ac:dyDescent="0.45">
      <c r="A87" s="94"/>
      <c r="B87" s="120">
        <v>46070</v>
      </c>
      <c r="C87" s="98"/>
      <c r="D87" s="110"/>
      <c r="E87" s="110"/>
      <c r="F87" s="123"/>
      <c r="G87" s="94"/>
      <c r="H87" s="125">
        <v>2505</v>
      </c>
      <c r="I87" s="94"/>
      <c r="J87" s="94"/>
      <c r="K87" s="98"/>
      <c r="L87" s="110"/>
      <c r="M87" s="123"/>
      <c r="N87" s="94"/>
      <c r="O87" s="94"/>
      <c r="P87" s="117"/>
      <c r="Q87" s="124"/>
    </row>
    <row r="88" spans="1:17" x14ac:dyDescent="0.45">
      <c r="A88" s="94"/>
      <c r="B88" s="120">
        <v>46070</v>
      </c>
      <c r="C88" s="98"/>
      <c r="D88" s="94"/>
      <c r="E88" s="94"/>
      <c r="F88" s="123"/>
      <c r="G88" s="94"/>
      <c r="H88" s="123">
        <v>2475</v>
      </c>
      <c r="I88" s="94"/>
      <c r="J88" s="94"/>
      <c r="K88" s="98"/>
      <c r="L88" s="94"/>
      <c r="M88" s="123"/>
      <c r="N88" s="126"/>
      <c r="O88" s="126"/>
      <c r="P88" s="117"/>
      <c r="Q88" s="124"/>
    </row>
    <row r="89" spans="1:17" x14ac:dyDescent="0.45">
      <c r="A89" s="94"/>
      <c r="B89" s="120">
        <v>46070</v>
      </c>
      <c r="C89" s="98"/>
      <c r="D89" s="110"/>
      <c r="E89" s="110"/>
      <c r="F89" s="123"/>
      <c r="G89" s="110"/>
      <c r="H89" s="123">
        <v>2460</v>
      </c>
      <c r="I89" s="94"/>
      <c r="J89" s="94"/>
      <c r="K89" s="98"/>
      <c r="L89" s="110"/>
      <c r="M89" s="123"/>
      <c r="N89" s="110"/>
      <c r="O89" s="110"/>
      <c r="P89" s="117"/>
      <c r="Q89" s="124"/>
    </row>
    <row r="90" spans="1:17" x14ac:dyDescent="0.45">
      <c r="A90" s="94"/>
      <c r="B90" s="120">
        <v>46070</v>
      </c>
      <c r="C90" s="98"/>
      <c r="D90" s="110"/>
      <c r="E90" s="110"/>
      <c r="F90" s="123"/>
      <c r="G90" s="110"/>
      <c r="H90" s="123">
        <v>2455</v>
      </c>
      <c r="I90" s="94"/>
      <c r="J90" s="94"/>
      <c r="K90" s="98"/>
      <c r="L90" s="110"/>
      <c r="M90" s="123"/>
      <c r="N90" s="94"/>
      <c r="O90" s="94"/>
      <c r="P90" s="117"/>
      <c r="Q90" s="124"/>
    </row>
    <row r="91" spans="1:17" x14ac:dyDescent="0.45">
      <c r="A91" s="94"/>
      <c r="B91" s="120">
        <v>46070</v>
      </c>
      <c r="C91" s="98"/>
      <c r="D91" s="110"/>
      <c r="E91" s="110"/>
      <c r="F91" s="110"/>
      <c r="G91" s="110"/>
      <c r="H91" s="110">
        <v>2465</v>
      </c>
      <c r="I91" s="94"/>
      <c r="J91" s="94"/>
      <c r="K91" s="98"/>
      <c r="L91" s="110"/>
      <c r="M91" s="123"/>
      <c r="N91" s="126"/>
      <c r="O91" s="126"/>
      <c r="P91" s="117"/>
      <c r="Q91" s="124"/>
    </row>
    <row r="92" spans="1:17" x14ac:dyDescent="0.45">
      <c r="A92" s="94"/>
      <c r="B92" s="120">
        <v>46070</v>
      </c>
      <c r="C92" s="98"/>
      <c r="D92" s="110"/>
      <c r="E92" s="110"/>
      <c r="F92" s="110"/>
      <c r="G92" s="110"/>
      <c r="H92" s="110">
        <v>2405</v>
      </c>
      <c r="I92" s="94"/>
      <c r="J92" s="94"/>
      <c r="K92" s="98"/>
      <c r="L92" s="110"/>
      <c r="M92" s="110"/>
      <c r="N92" s="126"/>
      <c r="O92" s="126"/>
      <c r="P92" s="117"/>
      <c r="Q92" s="124"/>
    </row>
    <row r="93" spans="1:17" x14ac:dyDescent="0.45">
      <c r="A93" s="94"/>
      <c r="B93" s="120">
        <v>46070</v>
      </c>
      <c r="C93" s="94"/>
      <c r="D93" s="110"/>
      <c r="E93" s="110"/>
      <c r="F93" s="110"/>
      <c r="G93" s="110"/>
      <c r="H93" s="110">
        <v>2435</v>
      </c>
      <c r="I93" s="94"/>
      <c r="J93" s="94"/>
      <c r="K93" s="98"/>
      <c r="L93" s="110"/>
      <c r="M93" s="110"/>
      <c r="N93" s="126"/>
      <c r="O93" s="126"/>
      <c r="P93" s="117"/>
      <c r="Q93" s="124"/>
    </row>
    <row r="94" spans="1:17" x14ac:dyDescent="0.45">
      <c r="A94" s="94"/>
      <c r="B94" s="120">
        <v>46070</v>
      </c>
      <c r="C94" s="94"/>
      <c r="D94" s="110"/>
      <c r="E94" s="110"/>
      <c r="F94" s="94"/>
      <c r="G94" s="110"/>
      <c r="H94" s="126">
        <v>2475</v>
      </c>
      <c r="I94" s="94"/>
      <c r="J94" s="94"/>
      <c r="K94" s="98"/>
      <c r="L94" s="110"/>
      <c r="M94" s="110"/>
      <c r="N94" s="126"/>
      <c r="O94" s="126"/>
      <c r="P94" s="117"/>
      <c r="Q94" s="124"/>
    </row>
    <row r="95" spans="1:17" x14ac:dyDescent="0.45">
      <c r="A95" s="94"/>
      <c r="B95" s="120">
        <v>46070</v>
      </c>
      <c r="C95" s="94"/>
      <c r="D95" s="94"/>
      <c r="E95" s="94"/>
      <c r="F95" s="110"/>
      <c r="G95" s="110"/>
      <c r="H95" s="110">
        <v>2445</v>
      </c>
      <c r="I95" s="94"/>
      <c r="J95" s="94"/>
      <c r="K95" s="98"/>
      <c r="L95" s="94"/>
      <c r="M95" s="94"/>
      <c r="N95" s="94"/>
      <c r="O95" s="94"/>
      <c r="P95" s="117"/>
      <c r="Q95" s="127"/>
    </row>
    <row r="96" spans="1:17" x14ac:dyDescent="0.45">
      <c r="A96" s="94"/>
      <c r="B96" s="120">
        <v>46070</v>
      </c>
      <c r="C96" s="98" t="s">
        <v>153</v>
      </c>
      <c r="D96" s="110">
        <v>1590</v>
      </c>
      <c r="E96" s="110"/>
      <c r="F96" s="94"/>
      <c r="G96" s="110">
        <v>2450</v>
      </c>
      <c r="H96" s="94"/>
      <c r="I96" s="94"/>
      <c r="J96" s="94"/>
      <c r="K96" s="98"/>
      <c r="L96" s="110"/>
      <c r="M96" s="110"/>
      <c r="N96" s="110"/>
      <c r="O96" s="110"/>
      <c r="P96" s="117"/>
      <c r="Q96" s="124"/>
    </row>
    <row r="97" spans="1:19" x14ac:dyDescent="0.45">
      <c r="A97" s="94"/>
      <c r="B97" s="120">
        <v>46070</v>
      </c>
      <c r="C97" s="94"/>
      <c r="D97" s="110">
        <v>1560</v>
      </c>
      <c r="E97" s="110"/>
      <c r="F97" s="94"/>
      <c r="G97" s="110">
        <v>2570</v>
      </c>
      <c r="H97" s="94"/>
      <c r="I97" s="94"/>
      <c r="J97" s="94"/>
      <c r="K97" s="98"/>
      <c r="L97" s="110"/>
      <c r="M97" s="110"/>
      <c r="N97" s="110"/>
      <c r="O97" s="110"/>
      <c r="P97" s="117"/>
      <c r="Q97" s="124"/>
    </row>
    <row r="98" spans="1:19" x14ac:dyDescent="0.45">
      <c r="A98" s="94"/>
      <c r="B98" s="120">
        <v>46070</v>
      </c>
      <c r="C98" s="94"/>
      <c r="D98" s="110">
        <v>1585</v>
      </c>
      <c r="E98" s="110"/>
      <c r="F98" s="94"/>
      <c r="G98" s="110">
        <v>2570</v>
      </c>
      <c r="H98" s="94"/>
      <c r="I98" s="94"/>
      <c r="J98" s="94"/>
      <c r="K98" s="98"/>
      <c r="L98" s="126"/>
      <c r="M98" s="126"/>
      <c r="N98" s="126"/>
      <c r="O98" s="126"/>
      <c r="P98" s="117"/>
      <c r="Q98" s="128"/>
    </row>
    <row r="99" spans="1:19" x14ac:dyDescent="0.45">
      <c r="A99" s="94"/>
      <c r="B99" s="120">
        <v>46070</v>
      </c>
      <c r="C99" s="94"/>
      <c r="D99" s="94"/>
      <c r="E99" s="94"/>
      <c r="F99" s="94"/>
      <c r="G99" s="110">
        <v>2490</v>
      </c>
      <c r="H99" s="94"/>
      <c r="I99" s="94"/>
      <c r="J99" s="94"/>
      <c r="K99" s="98"/>
      <c r="L99" s="126"/>
      <c r="M99" s="126"/>
      <c r="N99" s="126"/>
      <c r="O99" s="126"/>
      <c r="P99" s="117"/>
      <c r="Q99" s="128"/>
    </row>
    <row r="100" spans="1:19" x14ac:dyDescent="0.45">
      <c r="A100" s="92"/>
      <c r="B100" s="120">
        <v>46070</v>
      </c>
      <c r="C100" s="94"/>
      <c r="D100" s="94"/>
      <c r="E100" s="94"/>
      <c r="F100" s="94"/>
      <c r="G100" s="94">
        <v>2485</v>
      </c>
      <c r="H100" s="110"/>
      <c r="I100" s="94"/>
      <c r="J100" s="94"/>
      <c r="K100" s="94"/>
      <c r="L100" s="110"/>
      <c r="M100" s="92"/>
      <c r="N100" s="99"/>
      <c r="O100" s="99"/>
      <c r="P100" s="99"/>
    </row>
    <row r="101" spans="1:19" x14ac:dyDescent="0.45">
      <c r="A101" s="92"/>
      <c r="B101" s="120">
        <v>46070</v>
      </c>
      <c r="C101" s="94"/>
      <c r="D101" s="94"/>
      <c r="E101" s="94"/>
      <c r="F101" s="94"/>
      <c r="G101" s="126">
        <v>2455</v>
      </c>
      <c r="H101" s="126"/>
      <c r="I101" s="94"/>
      <c r="J101" s="94"/>
      <c r="K101" s="94"/>
      <c r="L101" s="110"/>
      <c r="M101" s="92"/>
      <c r="N101" s="92"/>
      <c r="O101" s="92"/>
      <c r="P101" s="92"/>
    </row>
    <row r="102" spans="1:19" x14ac:dyDescent="0.45">
      <c r="A102" s="92"/>
      <c r="B102" s="120">
        <v>46070</v>
      </c>
      <c r="C102" s="94"/>
      <c r="D102" s="94"/>
      <c r="E102" s="94"/>
      <c r="F102" s="94"/>
      <c r="G102" s="110">
        <v>2510</v>
      </c>
      <c r="H102" s="126"/>
      <c r="I102" s="94"/>
      <c r="J102" s="94"/>
      <c r="K102" s="94"/>
      <c r="L102" s="110"/>
      <c r="M102" s="92"/>
      <c r="N102" s="99"/>
      <c r="O102" s="99"/>
      <c r="P102" s="99"/>
    </row>
    <row r="103" spans="1:19" x14ac:dyDescent="0.45">
      <c r="A103" s="92"/>
      <c r="B103" s="120">
        <v>46070</v>
      </c>
      <c r="C103" s="94"/>
      <c r="D103" s="94"/>
      <c r="E103" s="94"/>
      <c r="F103" s="94"/>
      <c r="G103" s="94">
        <v>2480</v>
      </c>
      <c r="H103" s="94"/>
      <c r="I103" s="94"/>
      <c r="J103" s="94"/>
      <c r="K103" s="94"/>
      <c r="L103" s="110"/>
      <c r="M103" s="92"/>
      <c r="N103" s="92"/>
      <c r="O103" s="92"/>
      <c r="P103" s="92"/>
    </row>
    <row r="104" spans="1:19" x14ac:dyDescent="0.45">
      <c r="A104" s="92"/>
      <c r="B104" s="120">
        <v>46070</v>
      </c>
      <c r="C104" s="98" t="s">
        <v>154</v>
      </c>
      <c r="D104" s="110"/>
      <c r="E104" s="110"/>
      <c r="F104" s="110"/>
      <c r="G104" s="94"/>
      <c r="H104" s="110">
        <v>2455</v>
      </c>
      <c r="I104" s="94"/>
      <c r="J104" s="94"/>
      <c r="K104" s="94"/>
      <c r="L104" s="110">
        <v>2525</v>
      </c>
      <c r="M104" s="92"/>
      <c r="N104" s="99"/>
      <c r="O104" s="99"/>
      <c r="P104" s="99"/>
    </row>
    <row r="105" spans="1:19" x14ac:dyDescent="0.45">
      <c r="A105" s="92"/>
      <c r="B105" s="120">
        <v>46070</v>
      </c>
      <c r="C105" s="94"/>
      <c r="D105" s="110"/>
      <c r="E105" s="110"/>
      <c r="F105" s="126"/>
      <c r="G105" s="94"/>
      <c r="H105" s="126">
        <v>2515</v>
      </c>
      <c r="I105" s="94"/>
      <c r="J105" s="94"/>
      <c r="K105" s="94"/>
      <c r="L105" s="110">
        <v>2525</v>
      </c>
      <c r="M105" s="92"/>
      <c r="N105" s="92"/>
      <c r="O105" s="92"/>
      <c r="P105" s="92"/>
    </row>
    <row r="106" spans="1:19" x14ac:dyDescent="0.45">
      <c r="A106" s="92"/>
      <c r="B106" s="120">
        <v>46070</v>
      </c>
      <c r="C106" s="94"/>
      <c r="D106" s="110"/>
      <c r="E106" s="110"/>
      <c r="F106" s="126"/>
      <c r="G106" s="94"/>
      <c r="H106" s="126">
        <v>4990</v>
      </c>
      <c r="I106" s="94"/>
      <c r="J106" s="94"/>
      <c r="K106" s="94"/>
      <c r="L106" s="110">
        <v>2540</v>
      </c>
      <c r="M106" s="92"/>
      <c r="N106" s="99"/>
      <c r="O106" s="99"/>
      <c r="P106" s="99"/>
    </row>
    <row r="107" spans="1:19" x14ac:dyDescent="0.45">
      <c r="A107" s="92"/>
      <c r="B107" s="120">
        <v>46070</v>
      </c>
      <c r="C107" s="94"/>
      <c r="D107" s="110"/>
      <c r="E107" s="110"/>
      <c r="F107" s="94"/>
      <c r="G107" s="94"/>
      <c r="H107" s="94"/>
      <c r="I107" s="94"/>
      <c r="J107" s="94"/>
      <c r="K107" s="94"/>
      <c r="L107" s="110">
        <v>2530</v>
      </c>
      <c r="M107" s="92"/>
      <c r="N107" s="92"/>
      <c r="O107" s="92"/>
      <c r="P107" s="92"/>
    </row>
    <row r="108" spans="1:19" x14ac:dyDescent="0.45">
      <c r="A108" s="92"/>
      <c r="B108" s="120">
        <v>46070</v>
      </c>
      <c r="C108" s="94"/>
      <c r="D108" s="110"/>
      <c r="E108" s="110"/>
      <c r="F108" s="94"/>
      <c r="G108" s="94"/>
      <c r="H108" s="94"/>
      <c r="I108" s="94"/>
      <c r="J108" s="94"/>
      <c r="K108" s="94"/>
      <c r="L108" s="110">
        <v>2575</v>
      </c>
      <c r="M108" s="92"/>
      <c r="N108" s="99"/>
      <c r="O108" s="99"/>
      <c r="P108" s="99"/>
    </row>
    <row r="109" spans="1:19" ht="14.65" thickBot="1" x14ac:dyDescent="0.5">
      <c r="A109" s="100"/>
      <c r="B109" s="120">
        <v>46070</v>
      </c>
      <c r="C109" s="101"/>
      <c r="D109" s="129"/>
      <c r="E109" s="129"/>
      <c r="F109" s="101"/>
      <c r="G109" s="101"/>
      <c r="H109" s="101"/>
      <c r="I109" s="101"/>
      <c r="J109" s="101"/>
      <c r="K109" s="101"/>
      <c r="L109" s="130">
        <v>2565</v>
      </c>
      <c r="M109" s="113">
        <f>SUM(D78:D84,D96:D98,G96:G103,H78:H80,H85:H95,H104:H106,L104:L109)</f>
        <v>100455</v>
      </c>
      <c r="N109" s="100"/>
      <c r="O109" s="100"/>
      <c r="P109" s="100"/>
      <c r="Q109" s="104">
        <f>(M109/1000)*640*R109</f>
        <v>776637696</v>
      </c>
      <c r="R109">
        <v>12080</v>
      </c>
      <c r="S109">
        <f>(M109/1000)*640</f>
        <v>64291.199999999997</v>
      </c>
    </row>
    <row r="110" spans="1:19" x14ac:dyDescent="0.45">
      <c r="A110" s="99">
        <v>7</v>
      </c>
      <c r="B110" s="108">
        <v>46094</v>
      </c>
      <c r="C110" s="99"/>
      <c r="D110" s="99"/>
      <c r="E110" s="131"/>
      <c r="F110" s="131"/>
      <c r="G110" s="132">
        <v>2395</v>
      </c>
      <c r="H110" s="131">
        <v>2470</v>
      </c>
      <c r="I110" s="131">
        <v>2485</v>
      </c>
      <c r="J110" s="131"/>
      <c r="K110" s="131">
        <v>2475</v>
      </c>
      <c r="L110" s="131"/>
      <c r="M110" s="99">
        <v>2525</v>
      </c>
      <c r="N110" s="99"/>
      <c r="O110" s="99"/>
      <c r="P110" s="99"/>
    </row>
    <row r="111" spans="1:19" x14ac:dyDescent="0.45">
      <c r="A111" s="92" t="s">
        <v>145</v>
      </c>
      <c r="B111" s="108">
        <v>46094</v>
      </c>
      <c r="C111" s="92"/>
      <c r="D111" s="92"/>
      <c r="E111" s="92"/>
      <c r="F111" s="98"/>
      <c r="G111" s="133">
        <v>2390</v>
      </c>
      <c r="H111" s="134"/>
      <c r="I111" s="134"/>
      <c r="J111" s="134"/>
      <c r="K111" s="134"/>
      <c r="L111" s="134"/>
      <c r="M111" s="135"/>
      <c r="N111" s="92"/>
      <c r="O111" s="92"/>
      <c r="P111" s="92"/>
    </row>
    <row r="112" spans="1:19" x14ac:dyDescent="0.45">
      <c r="A112" s="92"/>
      <c r="B112" s="108">
        <v>46094</v>
      </c>
      <c r="C112" s="92"/>
      <c r="D112" s="92"/>
      <c r="E112" s="92"/>
      <c r="F112" s="98"/>
      <c r="G112" s="133">
        <v>2410</v>
      </c>
      <c r="H112" s="136"/>
      <c r="I112" s="136"/>
      <c r="J112" s="136"/>
      <c r="K112" s="136"/>
      <c r="L112" s="136"/>
      <c r="M112" s="135"/>
      <c r="N112" s="99"/>
      <c r="O112" s="99"/>
      <c r="P112" s="99"/>
    </row>
    <row r="113" spans="1:19" x14ac:dyDescent="0.45">
      <c r="A113" s="92"/>
      <c r="B113" s="108">
        <v>46094</v>
      </c>
      <c r="C113" s="92"/>
      <c r="D113" s="92"/>
      <c r="E113" s="92"/>
      <c r="F113" s="98"/>
      <c r="G113" s="110">
        <v>2410</v>
      </c>
      <c r="H113" s="110"/>
      <c r="I113" s="110"/>
      <c r="J113" s="110"/>
      <c r="K113" s="110"/>
      <c r="L113" s="110"/>
      <c r="M113" s="135"/>
      <c r="N113" s="92"/>
      <c r="O113" s="92"/>
      <c r="P113" s="92"/>
    </row>
    <row r="114" spans="1:19" x14ac:dyDescent="0.45">
      <c r="A114" s="92"/>
      <c r="B114" s="108">
        <v>46094</v>
      </c>
      <c r="C114" s="92"/>
      <c r="D114" s="92"/>
      <c r="E114" s="92"/>
      <c r="F114" s="98"/>
      <c r="G114" s="110">
        <v>2415</v>
      </c>
      <c r="H114" s="110"/>
      <c r="I114" s="110"/>
      <c r="J114" s="110"/>
      <c r="K114" s="110"/>
      <c r="L114" s="110"/>
      <c r="M114" s="135"/>
      <c r="N114" s="99"/>
      <c r="O114" s="99"/>
      <c r="P114" s="99"/>
    </row>
    <row r="115" spans="1:19" ht="14.65" thickBot="1" x14ac:dyDescent="0.5">
      <c r="A115" s="100"/>
      <c r="B115" s="108">
        <v>46094</v>
      </c>
      <c r="C115" s="100"/>
      <c r="D115" s="100"/>
      <c r="E115" s="100"/>
      <c r="F115" s="137"/>
      <c r="G115" s="129">
        <v>2345</v>
      </c>
      <c r="H115" s="129"/>
      <c r="I115" s="129"/>
      <c r="J115" s="129"/>
      <c r="K115" s="129"/>
      <c r="L115" s="129"/>
      <c r="M115" s="138">
        <f>SUM(G110:G115,H110,I110,K110,M110)</f>
        <v>24320</v>
      </c>
      <c r="N115" s="100"/>
      <c r="O115" s="100"/>
      <c r="P115" s="100"/>
      <c r="Q115" s="104">
        <f>(M115/1000)*640*R115</f>
        <v>188178432</v>
      </c>
      <c r="R115">
        <v>12090</v>
      </c>
      <c r="S115">
        <f>(M115/1000)*640</f>
        <v>15564.8</v>
      </c>
    </row>
    <row r="116" spans="1:19" x14ac:dyDescent="0.45">
      <c r="A116" s="99">
        <v>8</v>
      </c>
      <c r="B116" s="108">
        <v>46097</v>
      </c>
      <c r="C116" s="99"/>
      <c r="D116" s="99"/>
      <c r="E116" s="99"/>
      <c r="F116" s="121"/>
      <c r="G116" s="109">
        <v>2415</v>
      </c>
      <c r="H116" s="122"/>
      <c r="I116" s="109"/>
      <c r="J116" s="109"/>
      <c r="K116" s="109"/>
      <c r="L116" s="109"/>
      <c r="M116" s="139"/>
      <c r="N116" s="99"/>
      <c r="O116" s="99"/>
      <c r="P116" s="99"/>
    </row>
    <row r="117" spans="1:19" x14ac:dyDescent="0.45">
      <c r="A117" s="92" t="s">
        <v>145</v>
      </c>
      <c r="B117" s="108">
        <v>46097</v>
      </c>
      <c r="C117" s="92"/>
      <c r="D117" s="92"/>
      <c r="E117" s="92"/>
      <c r="F117" s="98"/>
      <c r="G117" s="110">
        <v>2510</v>
      </c>
      <c r="H117" s="123"/>
      <c r="I117" s="94"/>
      <c r="J117" s="94"/>
      <c r="K117" s="110"/>
      <c r="L117" s="110"/>
      <c r="M117" s="135"/>
      <c r="N117" s="92"/>
      <c r="O117" s="92"/>
      <c r="P117" s="92"/>
    </row>
    <row r="118" spans="1:19" x14ac:dyDescent="0.45">
      <c r="A118" s="92"/>
      <c r="B118" s="108">
        <v>46097</v>
      </c>
      <c r="C118" s="92"/>
      <c r="D118" s="92"/>
      <c r="E118" s="92"/>
      <c r="F118" s="98"/>
      <c r="G118" s="94">
        <v>2445</v>
      </c>
      <c r="H118" s="123"/>
      <c r="I118" s="126"/>
      <c r="J118" s="126"/>
      <c r="K118" s="110"/>
      <c r="L118" s="110"/>
      <c r="M118" s="135"/>
      <c r="N118" s="99"/>
      <c r="O118" s="99"/>
      <c r="P118" s="99"/>
    </row>
    <row r="119" spans="1:19" x14ac:dyDescent="0.45">
      <c r="A119" s="92"/>
      <c r="B119" s="108">
        <v>46097</v>
      </c>
      <c r="C119" s="92"/>
      <c r="D119" s="92"/>
      <c r="E119" s="92"/>
      <c r="F119" s="98"/>
      <c r="G119" s="110">
        <v>2450</v>
      </c>
      <c r="H119" s="123"/>
      <c r="I119" s="110"/>
      <c r="J119" s="110"/>
      <c r="K119" s="110"/>
      <c r="L119" s="110"/>
      <c r="M119" s="135"/>
      <c r="N119" s="92"/>
      <c r="O119" s="92"/>
      <c r="P119" s="92"/>
    </row>
    <row r="120" spans="1:19" x14ac:dyDescent="0.45">
      <c r="A120" s="92"/>
      <c r="B120" s="108">
        <v>46097</v>
      </c>
      <c r="C120" s="92"/>
      <c r="D120" s="92"/>
      <c r="E120" s="92"/>
      <c r="F120" s="98"/>
      <c r="G120" s="110">
        <v>2485</v>
      </c>
      <c r="H120" s="123"/>
      <c r="I120" s="94"/>
      <c r="J120" s="94"/>
      <c r="K120" s="110"/>
      <c r="L120" s="110"/>
      <c r="M120" s="135"/>
      <c r="N120" s="99"/>
      <c r="O120" s="99"/>
      <c r="P120" s="99"/>
    </row>
    <row r="121" spans="1:19" x14ac:dyDescent="0.45">
      <c r="A121" s="92"/>
      <c r="B121" s="108">
        <v>46097</v>
      </c>
      <c r="C121" s="92"/>
      <c r="D121" s="92"/>
      <c r="E121" s="92"/>
      <c r="F121" s="98"/>
      <c r="G121" s="110">
        <v>2495</v>
      </c>
      <c r="H121" s="123"/>
      <c r="I121" s="126"/>
      <c r="J121" s="126"/>
      <c r="K121" s="110"/>
      <c r="L121" s="110"/>
      <c r="M121" s="135"/>
      <c r="N121" s="92"/>
      <c r="O121" s="92"/>
      <c r="P121" s="92"/>
    </row>
    <row r="122" spans="1:19" x14ac:dyDescent="0.45">
      <c r="A122" s="92"/>
      <c r="B122" s="108">
        <v>46097</v>
      </c>
      <c r="C122" s="92"/>
      <c r="D122" s="92"/>
      <c r="E122" s="92"/>
      <c r="F122" s="98"/>
      <c r="G122" s="110">
        <v>2540</v>
      </c>
      <c r="H122" s="110"/>
      <c r="I122" s="126"/>
      <c r="J122" s="126"/>
      <c r="K122" s="110"/>
      <c r="L122" s="110"/>
      <c r="M122" s="135"/>
      <c r="N122" s="99"/>
      <c r="O122" s="99"/>
      <c r="P122" s="99"/>
    </row>
    <row r="123" spans="1:19" x14ac:dyDescent="0.45">
      <c r="A123" s="92"/>
      <c r="B123" s="108">
        <v>46097</v>
      </c>
      <c r="C123" s="92"/>
      <c r="D123" s="92"/>
      <c r="E123" s="92"/>
      <c r="F123" s="98"/>
      <c r="G123" s="110">
        <v>2490</v>
      </c>
      <c r="H123" s="110"/>
      <c r="I123" s="126"/>
      <c r="J123" s="126"/>
      <c r="K123" s="110"/>
      <c r="L123" s="110"/>
      <c r="M123" s="135"/>
      <c r="N123" s="92"/>
      <c r="O123" s="92"/>
      <c r="P123" s="92"/>
    </row>
    <row r="124" spans="1:19" x14ac:dyDescent="0.45">
      <c r="A124" s="92"/>
      <c r="B124" s="108">
        <v>46097</v>
      </c>
      <c r="C124" s="92"/>
      <c r="D124" s="92"/>
      <c r="E124" s="92"/>
      <c r="F124" s="98"/>
      <c r="G124" s="110">
        <v>2485</v>
      </c>
      <c r="H124" s="110"/>
      <c r="I124" s="126"/>
      <c r="J124" s="126"/>
      <c r="K124" s="110"/>
      <c r="L124" s="110"/>
      <c r="M124" s="135"/>
      <c r="N124" s="99"/>
      <c r="O124" s="99"/>
      <c r="P124" s="99"/>
    </row>
    <row r="125" spans="1:19" ht="14.65" thickBot="1" x14ac:dyDescent="0.5">
      <c r="A125" s="100"/>
      <c r="B125" s="108">
        <v>46097</v>
      </c>
      <c r="C125" s="100"/>
      <c r="D125" s="100"/>
      <c r="E125" s="100"/>
      <c r="F125" s="137"/>
      <c r="G125" s="101">
        <v>2380</v>
      </c>
      <c r="H125" s="101"/>
      <c r="I125" s="101"/>
      <c r="J125" s="101"/>
      <c r="K125" s="129"/>
      <c r="L125" s="101"/>
      <c r="M125" s="138">
        <f>SUM(G116:G125)</f>
        <v>24695</v>
      </c>
      <c r="N125" s="100"/>
      <c r="O125" s="100"/>
      <c r="P125" s="100"/>
      <c r="Q125" s="104">
        <f>(M125/1000)*640*R125</f>
        <v>190289792</v>
      </c>
      <c r="R125">
        <v>12040</v>
      </c>
      <c r="S125">
        <f>(M125/1000)*640</f>
        <v>15804.8</v>
      </c>
    </row>
    <row r="126" spans="1:19" x14ac:dyDescent="0.45">
      <c r="A126" s="99">
        <v>9</v>
      </c>
      <c r="B126" s="108">
        <v>46103</v>
      </c>
      <c r="C126" s="99"/>
      <c r="D126" s="99">
        <v>1595</v>
      </c>
      <c r="E126" s="99">
        <v>1575</v>
      </c>
      <c r="F126" s="121">
        <v>1095</v>
      </c>
      <c r="G126" s="109"/>
      <c r="H126" s="109"/>
      <c r="I126" s="109"/>
      <c r="J126" s="109"/>
      <c r="K126" s="109"/>
      <c r="L126" s="109">
        <v>2500</v>
      </c>
      <c r="M126" s="139"/>
      <c r="N126" s="99"/>
      <c r="O126" s="99"/>
      <c r="P126" s="99"/>
    </row>
    <row r="127" spans="1:19" x14ac:dyDescent="0.45">
      <c r="A127" s="92" t="s">
        <v>145</v>
      </c>
      <c r="B127" s="108">
        <v>46103</v>
      </c>
      <c r="C127" s="92"/>
      <c r="D127" s="92">
        <v>1560</v>
      </c>
      <c r="E127" s="92"/>
      <c r="F127" s="98">
        <v>1540</v>
      </c>
      <c r="G127" s="110"/>
      <c r="H127" s="110"/>
      <c r="I127" s="110"/>
      <c r="J127" s="110"/>
      <c r="K127" s="110"/>
      <c r="L127" s="110">
        <v>2490</v>
      </c>
      <c r="M127" s="135"/>
      <c r="N127" s="92"/>
      <c r="O127" s="92"/>
      <c r="P127" s="92"/>
    </row>
    <row r="128" spans="1:19" x14ac:dyDescent="0.45">
      <c r="A128" s="92"/>
      <c r="B128" s="108">
        <v>46103</v>
      </c>
      <c r="C128" s="92"/>
      <c r="D128" s="92">
        <v>1555</v>
      </c>
      <c r="E128" s="92"/>
      <c r="F128" s="98">
        <v>3120</v>
      </c>
      <c r="G128" s="126"/>
      <c r="H128" s="126"/>
      <c r="I128" s="126"/>
      <c r="J128" s="126"/>
      <c r="K128" s="110"/>
      <c r="L128" s="126"/>
      <c r="M128" s="135"/>
      <c r="N128" s="99"/>
      <c r="O128" s="99"/>
      <c r="P128" s="99"/>
    </row>
    <row r="129" spans="1:19" x14ac:dyDescent="0.45">
      <c r="A129" s="92"/>
      <c r="B129" s="108">
        <v>46103</v>
      </c>
      <c r="C129" s="92"/>
      <c r="D129" s="92">
        <v>1595</v>
      </c>
      <c r="E129" s="92"/>
      <c r="F129" s="98">
        <v>3085</v>
      </c>
      <c r="G129" s="126"/>
      <c r="H129" s="126"/>
      <c r="I129" s="126"/>
      <c r="J129" s="126"/>
      <c r="K129" s="110"/>
      <c r="L129" s="126"/>
      <c r="M129" s="135"/>
      <c r="N129" s="92"/>
      <c r="O129" s="92"/>
      <c r="P129" s="92"/>
    </row>
    <row r="130" spans="1:19" ht="14.65" thickBot="1" x14ac:dyDescent="0.5">
      <c r="A130" s="100"/>
      <c r="B130" s="108">
        <v>46103</v>
      </c>
      <c r="C130" s="100"/>
      <c r="D130" s="100"/>
      <c r="E130" s="100"/>
      <c r="F130" s="137">
        <v>3100</v>
      </c>
      <c r="G130" s="140"/>
      <c r="H130" s="140"/>
      <c r="I130" s="140"/>
      <c r="J130" s="140"/>
      <c r="K130" s="129"/>
      <c r="L130" s="140"/>
      <c r="M130" s="138">
        <f>SUM(L126:L127,F126:F130,E126,D126:D129)</f>
        <v>24810</v>
      </c>
      <c r="N130" s="100"/>
      <c r="O130" s="100"/>
      <c r="P130" s="100"/>
      <c r="Q130" s="104">
        <f>(M130/1000)*640*R130</f>
        <v>192684384</v>
      </c>
      <c r="R130">
        <v>12135</v>
      </c>
      <c r="S130">
        <f>(M130/1000)*640</f>
        <v>15878.4</v>
      </c>
    </row>
    <row r="131" spans="1:19" x14ac:dyDescent="0.45">
      <c r="A131" s="99">
        <v>10</v>
      </c>
      <c r="B131" s="108">
        <v>46118</v>
      </c>
      <c r="C131" s="99"/>
      <c r="D131" s="99"/>
      <c r="E131" s="99"/>
      <c r="F131" s="121"/>
      <c r="G131" s="141">
        <v>2550</v>
      </c>
      <c r="H131" s="141"/>
      <c r="I131" s="141"/>
      <c r="J131" s="141"/>
      <c r="K131" s="109"/>
      <c r="L131" s="141">
        <v>4950</v>
      </c>
      <c r="M131" s="139"/>
      <c r="N131" s="99"/>
      <c r="O131" s="99"/>
      <c r="P131" s="99"/>
    </row>
    <row r="132" spans="1:19" x14ac:dyDescent="0.45">
      <c r="A132" s="92" t="s">
        <v>145</v>
      </c>
      <c r="B132" s="108">
        <v>46118</v>
      </c>
      <c r="C132" s="92"/>
      <c r="D132" s="92"/>
      <c r="E132" s="92"/>
      <c r="F132" s="98"/>
      <c r="G132" s="126">
        <v>2575</v>
      </c>
      <c r="H132" s="126"/>
      <c r="I132" s="126"/>
      <c r="J132" s="126"/>
      <c r="K132" s="110"/>
      <c r="L132" s="126">
        <v>4950</v>
      </c>
      <c r="M132" s="135"/>
      <c r="N132" s="99"/>
      <c r="O132" s="99"/>
      <c r="P132" s="99"/>
    </row>
    <row r="133" spans="1:19" x14ac:dyDescent="0.45">
      <c r="A133" s="92"/>
      <c r="B133" s="108">
        <v>46118</v>
      </c>
      <c r="C133" s="92"/>
      <c r="D133" s="92"/>
      <c r="E133" s="92"/>
      <c r="F133" s="98"/>
      <c r="G133" s="126">
        <v>2450</v>
      </c>
      <c r="H133" s="142"/>
      <c r="I133" s="142"/>
      <c r="J133" s="142"/>
      <c r="K133" s="142"/>
      <c r="L133" s="99">
        <v>4935</v>
      </c>
      <c r="M133" s="135"/>
      <c r="N133" s="92"/>
      <c r="O133" s="92"/>
      <c r="P133" s="92"/>
    </row>
    <row r="134" spans="1:19" x14ac:dyDescent="0.45">
      <c r="A134" s="92"/>
      <c r="B134" s="108">
        <v>46118</v>
      </c>
      <c r="C134" s="92"/>
      <c r="D134" s="92"/>
      <c r="E134" s="92"/>
      <c r="F134" s="98"/>
      <c r="G134" s="126">
        <v>2560</v>
      </c>
      <c r="H134" s="98"/>
      <c r="I134" s="98"/>
      <c r="J134" s="98"/>
      <c r="K134" s="98"/>
      <c r="L134" s="99">
        <v>4900</v>
      </c>
      <c r="M134" s="135"/>
      <c r="N134" s="99"/>
      <c r="O134" s="99"/>
      <c r="P134" s="99"/>
    </row>
    <row r="135" spans="1:19" x14ac:dyDescent="0.45">
      <c r="A135" s="92"/>
      <c r="B135" s="108">
        <v>46118</v>
      </c>
      <c r="C135" s="92"/>
      <c r="D135" s="92"/>
      <c r="E135" s="99"/>
      <c r="F135" s="99"/>
      <c r="G135" s="99"/>
      <c r="H135" s="99"/>
      <c r="I135" s="99"/>
      <c r="J135" s="99"/>
      <c r="K135" s="99"/>
      <c r="L135" s="99">
        <v>4955</v>
      </c>
      <c r="M135" s="92"/>
      <c r="N135" s="92"/>
      <c r="O135" s="92"/>
      <c r="P135" s="92"/>
    </row>
    <row r="136" spans="1:19" x14ac:dyDescent="0.45">
      <c r="A136" s="92"/>
      <c r="B136" s="108">
        <v>46118</v>
      </c>
      <c r="C136" s="92"/>
      <c r="D136" s="92"/>
      <c r="E136" s="92"/>
      <c r="F136" s="92"/>
      <c r="G136" s="92"/>
      <c r="H136" s="92"/>
      <c r="I136" s="92"/>
      <c r="J136" s="92"/>
      <c r="K136" s="92"/>
      <c r="L136" s="92">
        <v>4910</v>
      </c>
      <c r="M136" s="92"/>
      <c r="N136" s="99"/>
      <c r="O136" s="99"/>
      <c r="P136" s="99"/>
    </row>
    <row r="137" spans="1:19" x14ac:dyDescent="0.45">
      <c r="A137" s="92"/>
      <c r="B137" s="108">
        <v>46118</v>
      </c>
      <c r="C137" s="92"/>
      <c r="D137" s="92"/>
      <c r="E137" s="92"/>
      <c r="F137" s="92"/>
      <c r="G137" s="92"/>
      <c r="H137" s="92"/>
      <c r="I137" s="92"/>
      <c r="J137" s="92"/>
      <c r="K137" s="92"/>
      <c r="L137" s="92">
        <v>4920</v>
      </c>
      <c r="M137" s="92"/>
      <c r="N137" s="92"/>
      <c r="O137" s="92"/>
      <c r="P137" s="92"/>
    </row>
    <row r="138" spans="1:19" ht="14.65" thickBot="1" x14ac:dyDescent="0.5">
      <c r="A138" s="100"/>
      <c r="B138" s="108">
        <v>46118</v>
      </c>
      <c r="C138" s="100"/>
      <c r="D138" s="100"/>
      <c r="E138" s="100"/>
      <c r="F138" s="100"/>
      <c r="G138" s="100"/>
      <c r="H138" s="100"/>
      <c r="I138" s="100"/>
      <c r="J138" s="100"/>
      <c r="K138" s="100"/>
      <c r="L138" s="100">
        <v>4990</v>
      </c>
      <c r="M138" s="113">
        <f>SUM(L131:L138,G131:G134)</f>
        <v>49645</v>
      </c>
      <c r="N138" s="100"/>
      <c r="O138" s="100"/>
      <c r="P138" s="100"/>
      <c r="Q138" s="104">
        <f>(M138/1000)*640*R138</f>
        <v>384133152.00000006</v>
      </c>
      <c r="R138">
        <v>12090</v>
      </c>
      <c r="S138">
        <f>(M138/1000)*640</f>
        <v>31772.800000000003</v>
      </c>
    </row>
    <row r="139" spans="1:19" x14ac:dyDescent="0.45">
      <c r="A139" s="99">
        <v>11</v>
      </c>
      <c r="B139" s="108">
        <v>46119</v>
      </c>
      <c r="C139" s="99" t="s">
        <v>155</v>
      </c>
      <c r="D139" s="99">
        <v>2070</v>
      </c>
      <c r="E139" s="99"/>
      <c r="F139" s="99"/>
      <c r="G139" s="99">
        <v>2525</v>
      </c>
      <c r="H139" s="99"/>
      <c r="I139" s="99">
        <v>2510</v>
      </c>
      <c r="J139" s="99">
        <v>2490</v>
      </c>
      <c r="K139" s="99"/>
      <c r="L139" s="99"/>
      <c r="M139" s="92">
        <v>2490</v>
      </c>
      <c r="N139" s="99"/>
      <c r="O139" s="99"/>
      <c r="P139" s="99"/>
    </row>
    <row r="140" spans="1:19" x14ac:dyDescent="0.45">
      <c r="A140" s="92" t="s">
        <v>145</v>
      </c>
      <c r="B140" s="108">
        <v>46119</v>
      </c>
      <c r="C140" s="92" t="s">
        <v>156</v>
      </c>
      <c r="D140" s="92">
        <v>2010</v>
      </c>
      <c r="E140" s="92"/>
      <c r="F140" s="92"/>
      <c r="G140" s="92">
        <v>2545</v>
      </c>
      <c r="H140" s="92"/>
      <c r="I140" s="92"/>
      <c r="J140" s="92">
        <v>2480</v>
      </c>
      <c r="K140" s="92"/>
      <c r="L140" s="92"/>
      <c r="M140" s="92">
        <v>2500</v>
      </c>
      <c r="N140" s="99"/>
      <c r="O140" s="99"/>
      <c r="P140" s="99"/>
    </row>
    <row r="141" spans="1:19" x14ac:dyDescent="0.45">
      <c r="A141" s="92"/>
      <c r="B141" s="108">
        <v>46119</v>
      </c>
      <c r="C141" s="92" t="s">
        <v>157</v>
      </c>
      <c r="D141" s="92">
        <v>2055</v>
      </c>
      <c r="E141" s="92"/>
      <c r="F141" s="92"/>
      <c r="G141" s="92">
        <v>2520</v>
      </c>
      <c r="H141" s="92"/>
      <c r="I141" s="92"/>
      <c r="J141" s="92"/>
      <c r="K141" s="92"/>
      <c r="L141" s="92"/>
      <c r="M141" s="92">
        <v>2500</v>
      </c>
      <c r="N141" s="92"/>
      <c r="O141" s="92"/>
      <c r="P141" s="92"/>
    </row>
    <row r="142" spans="1:19" x14ac:dyDescent="0.45">
      <c r="A142" s="92"/>
      <c r="B142" s="108">
        <v>46119</v>
      </c>
      <c r="C142" s="92"/>
      <c r="D142" s="92">
        <v>2055</v>
      </c>
      <c r="E142" s="92"/>
      <c r="F142" s="92"/>
      <c r="G142" s="92">
        <v>2520</v>
      </c>
      <c r="H142" s="92"/>
      <c r="I142" s="92"/>
      <c r="J142" s="92"/>
      <c r="K142" s="92"/>
      <c r="L142" s="92"/>
      <c r="M142" s="92">
        <v>2495</v>
      </c>
      <c r="N142" s="99"/>
      <c r="O142" s="99"/>
      <c r="P142" s="99"/>
    </row>
    <row r="143" spans="1:19" x14ac:dyDescent="0.45">
      <c r="A143" s="92"/>
      <c r="B143" s="108">
        <v>46119</v>
      </c>
      <c r="C143" s="92"/>
      <c r="D143" s="92">
        <v>2065</v>
      </c>
      <c r="E143" s="92"/>
      <c r="F143" s="92"/>
      <c r="G143" s="92">
        <v>2555</v>
      </c>
      <c r="H143" s="92"/>
      <c r="I143" s="92"/>
      <c r="J143" s="92"/>
      <c r="K143" s="92"/>
      <c r="L143" s="92"/>
      <c r="M143" s="92"/>
      <c r="N143" s="92"/>
      <c r="O143" s="92"/>
      <c r="P143" s="92"/>
    </row>
    <row r="144" spans="1:19" x14ac:dyDescent="0.45">
      <c r="A144" s="92"/>
      <c r="B144" s="108">
        <v>46119</v>
      </c>
      <c r="C144" s="92"/>
      <c r="D144" s="92">
        <v>2060</v>
      </c>
      <c r="E144" s="92"/>
      <c r="F144" s="92"/>
      <c r="G144" s="92">
        <v>2370</v>
      </c>
      <c r="H144" s="92"/>
      <c r="I144" s="92"/>
      <c r="J144" s="92"/>
      <c r="K144" s="92"/>
      <c r="L144" s="92"/>
      <c r="M144" s="92"/>
      <c r="N144" s="99"/>
      <c r="O144" s="99"/>
      <c r="P144" s="99"/>
    </row>
    <row r="145" spans="1:19" x14ac:dyDescent="0.45">
      <c r="A145" s="92"/>
      <c r="B145" s="108">
        <v>46119</v>
      </c>
      <c r="C145" s="92"/>
      <c r="D145" s="92">
        <v>2055</v>
      </c>
      <c r="E145" s="92"/>
      <c r="F145" s="92"/>
      <c r="G145" s="92">
        <v>2550</v>
      </c>
      <c r="H145" s="92"/>
      <c r="I145" s="92"/>
      <c r="J145" s="92"/>
      <c r="K145" s="92"/>
      <c r="L145" s="92"/>
      <c r="M145" s="92"/>
      <c r="N145" s="92"/>
      <c r="O145" s="92"/>
      <c r="P145" s="92"/>
    </row>
    <row r="146" spans="1:19" x14ac:dyDescent="0.45">
      <c r="A146" s="92"/>
      <c r="B146" s="108">
        <v>46119</v>
      </c>
      <c r="C146" s="92"/>
      <c r="D146" s="92">
        <v>2065</v>
      </c>
      <c r="E146" s="92"/>
      <c r="F146" s="92"/>
      <c r="G146" s="92">
        <v>2475</v>
      </c>
      <c r="H146" s="92"/>
      <c r="I146" s="92"/>
      <c r="J146" s="92"/>
      <c r="K146" s="92"/>
      <c r="L146" s="92"/>
      <c r="M146" s="92"/>
      <c r="N146" s="99"/>
      <c r="O146" s="99"/>
      <c r="P146" s="99"/>
    </row>
    <row r="147" spans="1:19" x14ac:dyDescent="0.45">
      <c r="A147" s="92"/>
      <c r="B147" s="108">
        <v>46119</v>
      </c>
      <c r="C147" s="92"/>
      <c r="D147" s="92"/>
      <c r="E147" s="92"/>
      <c r="F147" s="92"/>
      <c r="G147" s="92">
        <v>2615</v>
      </c>
      <c r="H147" s="92"/>
      <c r="I147" s="92"/>
      <c r="J147" s="92"/>
      <c r="K147" s="92"/>
      <c r="L147" s="92"/>
      <c r="M147" s="92"/>
      <c r="N147" s="92"/>
      <c r="O147" s="92"/>
      <c r="P147" s="92"/>
    </row>
    <row r="148" spans="1:19" x14ac:dyDescent="0.45">
      <c r="A148" s="92"/>
      <c r="B148" s="108">
        <v>46119</v>
      </c>
      <c r="C148" s="92"/>
      <c r="D148" s="92"/>
      <c r="E148" s="92"/>
      <c r="F148" s="92"/>
      <c r="G148" s="92">
        <v>2545</v>
      </c>
      <c r="H148" s="92"/>
      <c r="I148" s="92"/>
      <c r="J148" s="92"/>
      <c r="K148" s="92"/>
      <c r="L148" s="92"/>
      <c r="M148" s="92"/>
      <c r="N148" s="99"/>
      <c r="O148" s="99"/>
      <c r="P148" s="99"/>
    </row>
    <row r="149" spans="1:19" x14ac:dyDescent="0.45">
      <c r="A149" s="92"/>
      <c r="B149" s="108">
        <v>46119</v>
      </c>
      <c r="C149" s="92"/>
      <c r="D149" s="92"/>
      <c r="E149" s="92"/>
      <c r="F149" s="92"/>
      <c r="G149" s="92">
        <v>2560</v>
      </c>
      <c r="H149" s="92"/>
      <c r="I149" s="92"/>
      <c r="J149" s="92"/>
      <c r="K149" s="92"/>
      <c r="L149" s="92"/>
      <c r="M149" s="92"/>
      <c r="N149" s="92"/>
      <c r="O149" s="92"/>
      <c r="P149" s="92"/>
    </row>
    <row r="150" spans="1:19" x14ac:dyDescent="0.45">
      <c r="A150" s="92"/>
      <c r="B150" s="108">
        <v>46119</v>
      </c>
      <c r="C150" s="92"/>
      <c r="D150" s="92"/>
      <c r="E150" s="92"/>
      <c r="F150" s="92"/>
      <c r="G150" s="92">
        <v>2515</v>
      </c>
      <c r="H150" s="92"/>
      <c r="I150" s="92"/>
      <c r="J150" s="92"/>
      <c r="K150" s="92"/>
      <c r="L150" s="92"/>
      <c r="M150" s="92"/>
      <c r="N150" s="99"/>
      <c r="O150" s="99"/>
      <c r="P150" s="99"/>
    </row>
    <row r="151" spans="1:19" x14ac:dyDescent="0.45">
      <c r="A151" s="92"/>
      <c r="B151" s="108">
        <v>46119</v>
      </c>
      <c r="C151" s="92"/>
      <c r="D151" s="92"/>
      <c r="E151" s="92"/>
      <c r="F151" s="92"/>
      <c r="G151" s="92">
        <v>2475</v>
      </c>
      <c r="H151" s="92"/>
      <c r="I151" s="92"/>
      <c r="J151" s="92"/>
      <c r="K151" s="92"/>
      <c r="L151" s="92"/>
      <c r="M151" s="92"/>
      <c r="N151" s="92"/>
      <c r="O151" s="92"/>
      <c r="P151" s="92"/>
    </row>
    <row r="152" spans="1:19" x14ac:dyDescent="0.45">
      <c r="A152" s="92"/>
      <c r="B152" s="108">
        <v>46119</v>
      </c>
      <c r="C152" s="92"/>
      <c r="D152" s="92"/>
      <c r="E152" s="92"/>
      <c r="F152" s="92"/>
      <c r="G152" s="92">
        <v>2580</v>
      </c>
      <c r="H152" s="92"/>
      <c r="I152" s="92"/>
      <c r="J152" s="92"/>
      <c r="K152" s="92"/>
      <c r="L152" s="92"/>
      <c r="M152" s="92"/>
      <c r="N152" s="99"/>
      <c r="O152" s="99"/>
      <c r="P152" s="99"/>
    </row>
    <row r="153" spans="1:19" x14ac:dyDescent="0.45">
      <c r="A153" s="92"/>
      <c r="B153" s="108">
        <v>46119</v>
      </c>
      <c r="C153" s="92"/>
      <c r="D153" s="92"/>
      <c r="E153" s="92"/>
      <c r="F153" s="92"/>
      <c r="G153" s="92">
        <v>2550</v>
      </c>
      <c r="H153" s="92"/>
      <c r="I153" s="92"/>
      <c r="J153" s="92"/>
      <c r="K153" s="92"/>
      <c r="L153" s="92"/>
      <c r="M153" s="92"/>
      <c r="N153" s="92"/>
      <c r="O153" s="92"/>
      <c r="P153" s="92"/>
    </row>
    <row r="154" spans="1:19" x14ac:dyDescent="0.45">
      <c r="A154" s="92"/>
      <c r="B154" s="108">
        <v>46119</v>
      </c>
      <c r="C154" s="92"/>
      <c r="D154" s="92"/>
      <c r="E154" s="92"/>
      <c r="F154" s="92"/>
      <c r="G154" s="92">
        <v>2565</v>
      </c>
      <c r="H154" s="92"/>
      <c r="I154" s="92"/>
      <c r="J154" s="92"/>
      <c r="K154" s="92"/>
      <c r="L154" s="92"/>
      <c r="M154" s="92"/>
      <c r="N154" s="99"/>
      <c r="O154" s="99"/>
      <c r="P154" s="99"/>
      <c r="Q154" s="143">
        <f>M155+M138+M130+M125+M115+M109+N77+L36+L34+L32+M15</f>
        <v>484319</v>
      </c>
    </row>
    <row r="155" spans="1:19" ht="14.65" thickBot="1" x14ac:dyDescent="0.5">
      <c r="A155" s="100"/>
      <c r="B155" s="108">
        <v>46119</v>
      </c>
      <c r="C155" s="100"/>
      <c r="D155" s="100"/>
      <c r="E155" s="100"/>
      <c r="F155" s="100"/>
      <c r="G155" s="100">
        <v>2565</v>
      </c>
      <c r="H155" s="100"/>
      <c r="I155" s="100"/>
      <c r="J155" s="100"/>
      <c r="K155" s="100"/>
      <c r="L155" s="100"/>
      <c r="M155" s="113">
        <f>SUM(M139:M142,J139:J140,I139,G139:G155,D139:D146)</f>
        <v>76930</v>
      </c>
      <c r="N155" s="100"/>
      <c r="O155" s="100"/>
      <c r="P155" s="100"/>
      <c r="Q155" s="104">
        <f>(M155/1000)*640*R155</f>
        <v>596484448</v>
      </c>
      <c r="R155">
        <v>12115</v>
      </c>
      <c r="S155">
        <f>(M155/1000)*640</f>
        <v>49235.200000000004</v>
      </c>
    </row>
    <row r="156" spans="1:19" x14ac:dyDescent="0.45">
      <c r="A156" s="99">
        <v>12</v>
      </c>
      <c r="B156" s="108">
        <v>46140</v>
      </c>
      <c r="C156" s="99" t="s">
        <v>158</v>
      </c>
      <c r="D156" s="99"/>
      <c r="E156" s="99"/>
      <c r="F156" s="99">
        <v>2040</v>
      </c>
      <c r="G156" s="99"/>
      <c r="H156" s="99"/>
      <c r="I156" s="99">
        <v>2565</v>
      </c>
      <c r="J156" s="99"/>
      <c r="K156" s="99"/>
      <c r="L156" s="99">
        <v>2455</v>
      </c>
      <c r="M156" s="99">
        <v>5110</v>
      </c>
      <c r="N156" s="99"/>
      <c r="O156" s="99"/>
      <c r="P156" s="99"/>
    </row>
    <row r="157" spans="1:19" x14ac:dyDescent="0.45">
      <c r="A157" s="92" t="s">
        <v>145</v>
      </c>
      <c r="B157" s="108">
        <v>46140</v>
      </c>
      <c r="C157" s="92"/>
      <c r="D157" s="92"/>
      <c r="E157" s="92"/>
      <c r="F157" s="92">
        <v>3120</v>
      </c>
      <c r="G157" s="92"/>
      <c r="H157" s="92"/>
      <c r="I157" s="92"/>
      <c r="J157" s="92"/>
      <c r="K157" s="92"/>
      <c r="L157" s="92">
        <v>2470</v>
      </c>
      <c r="M157" s="92">
        <v>5165</v>
      </c>
      <c r="N157" s="92"/>
      <c r="O157" s="92"/>
      <c r="P157" s="92"/>
    </row>
    <row r="158" spans="1:19" ht="14.65" thickBot="1" x14ac:dyDescent="0.5">
      <c r="A158" s="100"/>
      <c r="B158" s="144">
        <v>46140</v>
      </c>
      <c r="C158" s="100"/>
      <c r="D158" s="100"/>
      <c r="E158" s="100"/>
      <c r="F158" s="100"/>
      <c r="G158" s="100"/>
      <c r="H158" s="100"/>
      <c r="I158" s="100"/>
      <c r="J158" s="100"/>
      <c r="K158" s="100"/>
      <c r="L158" s="100">
        <v>2460</v>
      </c>
      <c r="M158" s="113">
        <f>SUM(F156:F157,I156,L156:L158,M156:M157)</f>
        <v>25385</v>
      </c>
      <c r="N158" s="100"/>
      <c r="O158" s="100"/>
      <c r="P158" s="100"/>
      <c r="Q158" s="104">
        <f>(M158/1000)*640*R158</f>
        <v>194956800.00000003</v>
      </c>
      <c r="R158">
        <v>12000</v>
      </c>
      <c r="S158">
        <f>(M158/1000)*640</f>
        <v>16246.400000000001</v>
      </c>
    </row>
    <row r="159" spans="1:19" x14ac:dyDescent="0.45">
      <c r="A159" s="99">
        <v>13</v>
      </c>
      <c r="B159" s="108">
        <v>46144</v>
      </c>
      <c r="C159" s="99" t="s">
        <v>159</v>
      </c>
      <c r="D159" s="99"/>
      <c r="E159" s="99"/>
      <c r="F159" s="99"/>
      <c r="G159" s="99"/>
      <c r="H159" s="99"/>
      <c r="I159" s="99"/>
      <c r="J159" s="99"/>
      <c r="K159" s="99"/>
      <c r="L159" s="99">
        <v>2480</v>
      </c>
      <c r="M159" s="145"/>
      <c r="N159" s="99"/>
      <c r="O159" s="99"/>
      <c r="P159" s="99"/>
      <c r="Q159" s="104"/>
    </row>
    <row r="160" spans="1:19" x14ac:dyDescent="0.45">
      <c r="A160" s="92" t="s">
        <v>145</v>
      </c>
      <c r="B160" s="108">
        <v>46144</v>
      </c>
      <c r="C160" s="92"/>
      <c r="D160" s="92"/>
      <c r="E160" s="92"/>
      <c r="F160" s="92"/>
      <c r="G160" s="92"/>
      <c r="H160" s="92"/>
      <c r="I160" s="92"/>
      <c r="J160" s="92"/>
      <c r="K160" s="92"/>
      <c r="L160" s="92">
        <v>2480</v>
      </c>
      <c r="M160" s="92"/>
      <c r="N160" s="92"/>
      <c r="O160" s="92"/>
      <c r="P160" s="92"/>
    </row>
    <row r="161" spans="1:19" x14ac:dyDescent="0.45">
      <c r="A161" s="99"/>
      <c r="B161" s="108">
        <v>46144</v>
      </c>
      <c r="C161" s="99"/>
      <c r="D161" s="99"/>
      <c r="E161" s="99"/>
      <c r="F161" s="99"/>
      <c r="G161" s="99"/>
      <c r="H161" s="99"/>
      <c r="I161" s="99"/>
      <c r="J161" s="99"/>
      <c r="K161" s="99"/>
      <c r="L161" s="99">
        <v>2480</v>
      </c>
      <c r="M161" s="99"/>
      <c r="N161" s="99"/>
      <c r="O161" s="99"/>
      <c r="P161" s="99"/>
    </row>
    <row r="162" spans="1:19" x14ac:dyDescent="0.45">
      <c r="A162" s="92"/>
      <c r="B162" s="108">
        <v>46144</v>
      </c>
      <c r="C162" s="92"/>
      <c r="D162" s="92"/>
      <c r="E162" s="92"/>
      <c r="F162" s="92"/>
      <c r="G162" s="92"/>
      <c r="H162" s="92"/>
      <c r="I162" s="92"/>
      <c r="J162" s="92"/>
      <c r="K162" s="92"/>
      <c r="L162" s="92">
        <v>2485</v>
      </c>
      <c r="M162" s="92"/>
      <c r="N162" s="99"/>
      <c r="O162" s="99"/>
      <c r="P162" s="99"/>
    </row>
    <row r="163" spans="1:19" x14ac:dyDescent="0.45">
      <c r="A163" s="92"/>
      <c r="B163" s="108">
        <v>46144</v>
      </c>
      <c r="C163" s="92"/>
      <c r="D163" s="92"/>
      <c r="E163" s="92"/>
      <c r="F163" s="92"/>
      <c r="G163" s="92"/>
      <c r="H163" s="92"/>
      <c r="I163" s="92"/>
      <c r="J163" s="92"/>
      <c r="K163" s="92"/>
      <c r="L163" s="92">
        <v>2485</v>
      </c>
      <c r="M163" s="92"/>
      <c r="N163" s="92"/>
      <c r="O163" s="92"/>
      <c r="P163" s="92"/>
    </row>
    <row r="164" spans="1:19" x14ac:dyDescent="0.45">
      <c r="A164" s="92"/>
      <c r="B164" s="108">
        <v>46144</v>
      </c>
      <c r="C164" s="92"/>
      <c r="D164" s="92"/>
      <c r="E164" s="92"/>
      <c r="F164" s="92"/>
      <c r="G164" s="92"/>
      <c r="H164" s="92"/>
      <c r="I164" s="92"/>
      <c r="J164" s="92"/>
      <c r="K164" s="92"/>
      <c r="L164" s="92">
        <v>2520</v>
      </c>
      <c r="M164" s="92"/>
      <c r="N164" s="99"/>
      <c r="O164" s="99"/>
      <c r="P164" s="99"/>
    </row>
    <row r="165" spans="1:19" x14ac:dyDescent="0.45">
      <c r="A165" s="92"/>
      <c r="B165" s="108">
        <v>46144</v>
      </c>
      <c r="C165" s="92"/>
      <c r="D165" s="92"/>
      <c r="E165" s="92"/>
      <c r="F165" s="92"/>
      <c r="G165" s="92"/>
      <c r="H165" s="92"/>
      <c r="I165" s="92"/>
      <c r="J165" s="92"/>
      <c r="K165" s="92"/>
      <c r="L165" s="92">
        <v>2485</v>
      </c>
      <c r="M165" s="92"/>
      <c r="N165" s="92"/>
      <c r="O165" s="92"/>
      <c r="P165" s="92"/>
    </row>
    <row r="166" spans="1:19" x14ac:dyDescent="0.45">
      <c r="A166" s="92"/>
      <c r="B166" s="108">
        <v>46144</v>
      </c>
      <c r="C166" s="92"/>
      <c r="D166" s="92"/>
      <c r="E166" s="92"/>
      <c r="F166" s="92"/>
      <c r="G166" s="92"/>
      <c r="H166" s="92"/>
      <c r="I166" s="92"/>
      <c r="J166" s="92"/>
      <c r="K166" s="92"/>
      <c r="L166" s="92">
        <v>2520</v>
      </c>
      <c r="M166" s="92"/>
      <c r="N166" s="99"/>
      <c r="O166" s="99"/>
      <c r="P166" s="99"/>
    </row>
    <row r="167" spans="1:19" x14ac:dyDescent="0.45">
      <c r="A167" s="92"/>
      <c r="B167" s="108">
        <v>46144</v>
      </c>
      <c r="C167" s="92"/>
      <c r="D167" s="92"/>
      <c r="E167" s="92"/>
      <c r="F167" s="92"/>
      <c r="G167" s="92"/>
      <c r="H167" s="92"/>
      <c r="I167" s="92"/>
      <c r="J167" s="92"/>
      <c r="K167" s="92"/>
      <c r="L167" s="92">
        <v>2485</v>
      </c>
      <c r="M167" s="92"/>
      <c r="N167" s="92"/>
      <c r="O167" s="92"/>
      <c r="P167" s="92"/>
    </row>
    <row r="168" spans="1:19" ht="14.65" thickBot="1" x14ac:dyDescent="0.5">
      <c r="A168" s="100"/>
      <c r="B168" s="108">
        <v>46144</v>
      </c>
      <c r="C168" s="100"/>
      <c r="D168" s="100"/>
      <c r="E168" s="100"/>
      <c r="F168" s="100"/>
      <c r="G168" s="100"/>
      <c r="H168" s="100"/>
      <c r="I168" s="100"/>
      <c r="J168" s="100"/>
      <c r="K168" s="100"/>
      <c r="L168" s="100">
        <v>2485</v>
      </c>
      <c r="M168" s="113">
        <f>SUM(L159:L168)</f>
        <v>24905</v>
      </c>
      <c r="N168" s="100"/>
      <c r="O168" s="100"/>
      <c r="P168" s="100"/>
      <c r="Q168" s="104">
        <f>(M168/1000)*640*R168</f>
        <v>191270400</v>
      </c>
      <c r="R168">
        <v>12000</v>
      </c>
      <c r="S168">
        <f>(M168/1000)*640</f>
        <v>15939.2</v>
      </c>
    </row>
    <row r="169" spans="1:19" x14ac:dyDescent="0.45">
      <c r="A169" s="99">
        <v>14</v>
      </c>
      <c r="B169" s="108">
        <v>46153</v>
      </c>
      <c r="C169" s="99" t="s">
        <v>160</v>
      </c>
      <c r="D169" s="99">
        <v>1585</v>
      </c>
      <c r="E169" s="99"/>
      <c r="F169" s="99"/>
      <c r="G169" s="99">
        <v>2565</v>
      </c>
      <c r="H169" s="99"/>
      <c r="I169" s="99"/>
      <c r="J169" s="99"/>
      <c r="K169" s="99"/>
      <c r="L169" s="99"/>
      <c r="M169" s="99"/>
      <c r="N169" s="99"/>
      <c r="O169" s="99"/>
      <c r="P169" s="99"/>
    </row>
    <row r="170" spans="1:19" x14ac:dyDescent="0.45">
      <c r="A170" s="92" t="s">
        <v>145</v>
      </c>
      <c r="B170" s="108">
        <v>46153</v>
      </c>
      <c r="C170" s="92"/>
      <c r="D170" s="92">
        <v>1585</v>
      </c>
      <c r="E170" s="92"/>
      <c r="F170" s="92"/>
      <c r="G170" s="92">
        <v>2550</v>
      </c>
      <c r="H170" s="92"/>
      <c r="I170" s="92"/>
      <c r="J170" s="92"/>
      <c r="K170" s="92"/>
      <c r="L170" s="92"/>
      <c r="M170" s="92"/>
      <c r="N170" s="99"/>
      <c r="O170" s="99"/>
      <c r="P170" s="99"/>
    </row>
    <row r="171" spans="1:19" x14ac:dyDescent="0.45">
      <c r="A171" s="92"/>
      <c r="B171" s="108">
        <v>46153</v>
      </c>
      <c r="C171" s="92"/>
      <c r="D171" s="92">
        <v>1575</v>
      </c>
      <c r="E171" s="92"/>
      <c r="F171" s="92"/>
      <c r="G171" s="92">
        <v>2560</v>
      </c>
      <c r="H171" s="92"/>
      <c r="I171" s="92"/>
      <c r="J171" s="92"/>
      <c r="K171" s="92"/>
      <c r="L171" s="92"/>
      <c r="M171" s="92"/>
      <c r="N171" s="92"/>
      <c r="O171" s="92"/>
      <c r="P171" s="92"/>
    </row>
    <row r="172" spans="1:19" x14ac:dyDescent="0.45">
      <c r="A172" s="92"/>
      <c r="B172" s="108">
        <v>46153</v>
      </c>
      <c r="C172" s="92"/>
      <c r="D172" s="92"/>
      <c r="E172" s="92"/>
      <c r="F172" s="92"/>
      <c r="G172" s="92">
        <v>2525</v>
      </c>
      <c r="H172" s="92"/>
      <c r="I172" s="92"/>
      <c r="J172" s="92"/>
      <c r="K172" s="92"/>
      <c r="L172" s="92"/>
      <c r="M172" s="92"/>
      <c r="N172" s="99"/>
      <c r="O172" s="99"/>
      <c r="P172" s="99"/>
    </row>
    <row r="173" spans="1:19" x14ac:dyDescent="0.45">
      <c r="A173" s="92"/>
      <c r="B173" s="108">
        <v>46153</v>
      </c>
      <c r="C173" s="92"/>
      <c r="D173" s="92"/>
      <c r="E173" s="92"/>
      <c r="F173" s="92"/>
      <c r="G173" s="92">
        <v>2550</v>
      </c>
      <c r="H173" s="92"/>
      <c r="I173" s="92"/>
      <c r="J173" s="92"/>
      <c r="K173" s="92"/>
      <c r="L173" s="92"/>
      <c r="M173" s="92"/>
      <c r="N173" s="92"/>
      <c r="O173" s="92"/>
      <c r="P173" s="92"/>
    </row>
    <row r="174" spans="1:19" x14ac:dyDescent="0.45">
      <c r="A174" s="92"/>
      <c r="B174" s="108">
        <v>46153</v>
      </c>
      <c r="C174" s="92"/>
      <c r="D174" s="92"/>
      <c r="E174" s="92"/>
      <c r="F174" s="92"/>
      <c r="G174" s="92">
        <v>2560</v>
      </c>
      <c r="H174" s="92"/>
      <c r="I174" s="92"/>
      <c r="J174" s="92"/>
      <c r="K174" s="92"/>
      <c r="L174" s="92"/>
      <c r="M174" s="92"/>
      <c r="N174" s="99"/>
      <c r="O174" s="99"/>
      <c r="P174" s="99"/>
    </row>
    <row r="175" spans="1:19" x14ac:dyDescent="0.45">
      <c r="A175" s="92"/>
      <c r="B175" s="108">
        <v>46153</v>
      </c>
      <c r="C175" s="92"/>
      <c r="D175" s="92"/>
      <c r="E175" s="92"/>
      <c r="F175" s="92"/>
      <c r="G175" s="92">
        <v>2555</v>
      </c>
      <c r="H175" s="92"/>
      <c r="I175" s="92"/>
      <c r="J175" s="92"/>
      <c r="K175" s="92"/>
      <c r="L175" s="92"/>
      <c r="M175" s="92"/>
      <c r="N175" s="92"/>
      <c r="O175" s="92"/>
      <c r="P175" s="92"/>
    </row>
    <row r="176" spans="1:19" x14ac:dyDescent="0.45">
      <c r="A176" s="92"/>
      <c r="B176" s="146">
        <v>46153</v>
      </c>
      <c r="C176" s="92"/>
      <c r="D176" s="92"/>
      <c r="E176" s="92"/>
      <c r="F176" s="92"/>
      <c r="G176" s="92">
        <v>2555</v>
      </c>
      <c r="H176" s="92"/>
      <c r="I176" s="92"/>
      <c r="J176" s="92"/>
      <c r="K176" s="92"/>
      <c r="L176" s="92"/>
      <c r="M176" s="92"/>
      <c r="N176" s="92"/>
      <c r="O176" s="92"/>
      <c r="P176" s="92"/>
    </row>
    <row r="177" spans="1:19" x14ac:dyDescent="0.45">
      <c r="A177" s="99"/>
      <c r="B177" s="108">
        <v>46153</v>
      </c>
      <c r="C177" s="99">
        <v>30</v>
      </c>
      <c r="D177" s="99"/>
      <c r="E177" s="99"/>
      <c r="F177" s="99"/>
      <c r="G177" s="99">
        <v>2495</v>
      </c>
      <c r="H177" s="99"/>
      <c r="I177" s="99"/>
      <c r="J177" s="99"/>
      <c r="K177" s="99"/>
      <c r="L177" s="99"/>
      <c r="M177" s="99"/>
      <c r="N177" s="99"/>
      <c r="O177" s="99"/>
      <c r="P177" s="99"/>
    </row>
    <row r="178" spans="1:19" x14ac:dyDescent="0.45">
      <c r="A178" s="92"/>
      <c r="B178" s="108">
        <v>46153</v>
      </c>
      <c r="C178" s="92"/>
      <c r="D178" s="92"/>
      <c r="E178" s="92"/>
      <c r="F178" s="92"/>
      <c r="G178" s="92">
        <v>2480</v>
      </c>
      <c r="H178" s="92"/>
      <c r="I178" s="92"/>
      <c r="J178" s="92"/>
      <c r="K178" s="92"/>
      <c r="L178" s="92"/>
      <c r="M178" s="92"/>
      <c r="N178" s="99"/>
      <c r="O178" s="99"/>
      <c r="P178" s="99"/>
    </row>
    <row r="179" spans="1:19" x14ac:dyDescent="0.45">
      <c r="A179" s="92"/>
      <c r="B179" s="108">
        <v>46153</v>
      </c>
      <c r="C179" s="92"/>
      <c r="D179" s="92"/>
      <c r="E179" s="92"/>
      <c r="F179" s="92"/>
      <c r="G179" s="92">
        <v>3000</v>
      </c>
      <c r="H179" s="92"/>
      <c r="I179" s="92"/>
      <c r="J179" s="92"/>
      <c r="K179" s="92"/>
      <c r="L179" s="92"/>
      <c r="M179" s="92"/>
      <c r="N179" s="92"/>
      <c r="O179" s="92"/>
      <c r="P179" s="92"/>
    </row>
    <row r="180" spans="1:19" x14ac:dyDescent="0.45">
      <c r="A180" s="92"/>
      <c r="B180" s="108">
        <v>46153</v>
      </c>
      <c r="C180" s="92"/>
      <c r="D180" s="92"/>
      <c r="E180" s="92"/>
      <c r="F180" s="92"/>
      <c r="G180" s="92">
        <v>2485</v>
      </c>
      <c r="H180" s="92"/>
      <c r="I180" s="92"/>
      <c r="J180" s="92"/>
      <c r="K180" s="92"/>
      <c r="L180" s="92"/>
      <c r="M180" s="92"/>
      <c r="N180" s="99"/>
      <c r="O180" s="99"/>
      <c r="P180" s="99"/>
    </row>
    <row r="181" spans="1:19" x14ac:dyDescent="0.45">
      <c r="A181" s="92"/>
      <c r="B181" s="108">
        <v>46153</v>
      </c>
      <c r="C181" s="92"/>
      <c r="D181" s="92"/>
      <c r="E181" s="92"/>
      <c r="F181" s="92"/>
      <c r="G181" s="92">
        <v>2500</v>
      </c>
      <c r="H181" s="92"/>
      <c r="I181" s="92"/>
      <c r="J181" s="92"/>
      <c r="K181" s="92"/>
      <c r="L181" s="92"/>
      <c r="M181" s="92"/>
      <c r="N181" s="92"/>
      <c r="O181" s="92"/>
      <c r="P181" s="92"/>
    </row>
    <row r="182" spans="1:19" x14ac:dyDescent="0.45">
      <c r="A182" s="92"/>
      <c r="B182" s="108">
        <v>46153</v>
      </c>
      <c r="C182" s="92"/>
      <c r="D182" s="92"/>
      <c r="E182" s="92"/>
      <c r="F182" s="92"/>
      <c r="G182" s="92">
        <v>2490</v>
      </c>
      <c r="H182" s="92"/>
      <c r="I182" s="92"/>
      <c r="J182" s="92"/>
      <c r="K182" s="92"/>
      <c r="L182" s="92"/>
      <c r="M182" s="92"/>
      <c r="N182" s="99"/>
      <c r="O182" s="99"/>
      <c r="P182" s="99"/>
    </row>
    <row r="183" spans="1:19" x14ac:dyDescent="0.45">
      <c r="A183" s="92"/>
      <c r="B183" s="108">
        <v>46153</v>
      </c>
      <c r="C183" s="92"/>
      <c r="D183" s="92"/>
      <c r="E183" s="92"/>
      <c r="F183" s="92"/>
      <c r="G183" s="92">
        <v>2550</v>
      </c>
      <c r="H183" s="92"/>
      <c r="I183" s="92"/>
      <c r="J183" s="92"/>
      <c r="K183" s="92"/>
      <c r="L183" s="92"/>
      <c r="M183" s="92"/>
      <c r="N183" s="92"/>
      <c r="O183" s="92"/>
      <c r="P183" s="92"/>
    </row>
    <row r="184" spans="1:19" x14ac:dyDescent="0.45">
      <c r="A184" s="92"/>
      <c r="B184" s="108">
        <v>46153</v>
      </c>
      <c r="C184" s="92"/>
      <c r="D184" s="92"/>
      <c r="E184" s="92"/>
      <c r="F184" s="92"/>
      <c r="G184" s="92">
        <v>2505</v>
      </c>
      <c r="H184" s="92"/>
      <c r="I184" s="92"/>
      <c r="J184" s="92"/>
      <c r="K184" s="92"/>
      <c r="L184" s="92"/>
      <c r="M184" s="92"/>
      <c r="N184" s="99"/>
      <c r="O184" s="99"/>
      <c r="P184" s="99"/>
    </row>
    <row r="185" spans="1:19" x14ac:dyDescent="0.45">
      <c r="A185" s="92"/>
      <c r="B185" s="108">
        <v>46153</v>
      </c>
      <c r="C185" s="92"/>
      <c r="D185" s="92"/>
      <c r="E185" s="92"/>
      <c r="F185" s="92"/>
      <c r="G185" s="92">
        <v>2445</v>
      </c>
      <c r="H185" s="92"/>
      <c r="I185" s="92"/>
      <c r="J185" s="92"/>
      <c r="K185" s="92"/>
      <c r="L185" s="92"/>
      <c r="M185" s="92"/>
      <c r="N185" s="92"/>
      <c r="O185" s="92"/>
      <c r="P185" s="92"/>
    </row>
    <row r="186" spans="1:19" ht="14.65" thickBot="1" x14ac:dyDescent="0.5">
      <c r="A186" s="100"/>
      <c r="B186" s="144">
        <v>46153</v>
      </c>
      <c r="C186" s="100"/>
      <c r="D186" s="100"/>
      <c r="E186" s="100"/>
      <c r="F186" s="100"/>
      <c r="G186" s="100">
        <v>2475</v>
      </c>
      <c r="H186" s="100"/>
      <c r="I186" s="100"/>
      <c r="J186" s="100"/>
      <c r="K186" s="100"/>
      <c r="L186" s="100"/>
      <c r="M186" s="113">
        <f>SUM(C169:L186)</f>
        <v>50620</v>
      </c>
      <c r="N186" s="100"/>
      <c r="O186" s="100"/>
      <c r="P186" s="100"/>
      <c r="Q186" s="104">
        <f>(M186/1000)*640*R186</f>
        <v>395240960</v>
      </c>
      <c r="R186">
        <v>12200</v>
      </c>
      <c r="S186">
        <f>(M186/1000)*640</f>
        <v>32396.799999999999</v>
      </c>
    </row>
    <row r="187" spans="1:19" x14ac:dyDescent="0.45">
      <c r="A187" s="99">
        <v>15</v>
      </c>
      <c r="B187" s="108">
        <v>46154</v>
      </c>
      <c r="C187" s="99"/>
      <c r="D187" s="99">
        <v>1575</v>
      </c>
      <c r="E187" s="99"/>
      <c r="F187" s="99"/>
      <c r="G187" s="99">
        <v>2545</v>
      </c>
      <c r="H187" s="99"/>
      <c r="I187" s="99"/>
      <c r="J187" s="99">
        <v>2485</v>
      </c>
      <c r="K187" s="99"/>
      <c r="L187" s="99"/>
      <c r="M187" s="99"/>
      <c r="N187" s="99"/>
      <c r="O187" s="99"/>
      <c r="P187" s="99"/>
    </row>
    <row r="188" spans="1:19" x14ac:dyDescent="0.45">
      <c r="A188" s="92" t="s">
        <v>145</v>
      </c>
      <c r="B188" s="108">
        <v>46154</v>
      </c>
      <c r="C188" s="92"/>
      <c r="D188" s="92">
        <v>1590</v>
      </c>
      <c r="E188" s="92"/>
      <c r="F188" s="92"/>
      <c r="G188" s="92">
        <v>2550</v>
      </c>
      <c r="H188" s="92"/>
      <c r="I188" s="92"/>
      <c r="J188" s="92">
        <v>2490</v>
      </c>
      <c r="K188" s="92"/>
      <c r="L188" s="92"/>
      <c r="M188" s="92"/>
      <c r="N188" s="99"/>
      <c r="O188" s="99"/>
      <c r="P188" s="99"/>
    </row>
    <row r="189" spans="1:19" x14ac:dyDescent="0.45">
      <c r="A189" s="92"/>
      <c r="B189" s="108">
        <v>46154</v>
      </c>
      <c r="C189" s="92"/>
      <c r="D189" s="92">
        <v>1580</v>
      </c>
      <c r="E189" s="92"/>
      <c r="F189" s="92"/>
      <c r="G189" s="92">
        <v>2560</v>
      </c>
      <c r="H189" s="92"/>
      <c r="I189" s="92"/>
      <c r="J189" s="92"/>
      <c r="K189" s="92"/>
      <c r="L189" s="92"/>
      <c r="M189" s="92"/>
      <c r="N189" s="92"/>
      <c r="O189" s="92"/>
      <c r="P189" s="92"/>
    </row>
    <row r="190" spans="1:19" x14ac:dyDescent="0.45">
      <c r="A190" s="92"/>
      <c r="B190" s="108">
        <v>46154</v>
      </c>
      <c r="C190" s="92"/>
      <c r="D190" s="92">
        <v>1585</v>
      </c>
      <c r="E190" s="92"/>
      <c r="F190" s="92"/>
      <c r="G190" s="92">
        <v>2540</v>
      </c>
      <c r="H190" s="92"/>
      <c r="I190" s="92"/>
      <c r="J190" s="92"/>
      <c r="K190" s="92"/>
      <c r="L190" s="92"/>
      <c r="M190" s="92"/>
      <c r="N190" s="99"/>
      <c r="O190" s="99"/>
      <c r="P190" s="99"/>
    </row>
    <row r="191" spans="1:19" x14ac:dyDescent="0.45">
      <c r="A191" s="92"/>
      <c r="B191" s="108">
        <v>46154</v>
      </c>
      <c r="C191" s="92"/>
      <c r="D191" s="92">
        <v>1585</v>
      </c>
      <c r="E191" s="92"/>
      <c r="F191" s="92"/>
      <c r="G191" s="92"/>
      <c r="H191" s="92"/>
      <c r="I191" s="92"/>
      <c r="J191" s="92"/>
      <c r="K191" s="92"/>
      <c r="L191" s="92"/>
      <c r="M191" s="92"/>
      <c r="N191" s="92"/>
      <c r="O191" s="92"/>
      <c r="P191" s="92"/>
    </row>
    <row r="192" spans="1:19" ht="14.65" thickBot="1" x14ac:dyDescent="0.5">
      <c r="A192" s="100"/>
      <c r="B192" s="108">
        <v>46154</v>
      </c>
      <c r="C192" s="100"/>
      <c r="D192" s="100">
        <v>1600</v>
      </c>
      <c r="E192" s="100"/>
      <c r="F192" s="100"/>
      <c r="G192" s="100"/>
      <c r="H192" s="100"/>
      <c r="I192" s="100"/>
      <c r="J192" s="100"/>
      <c r="K192" s="100"/>
      <c r="L192" s="100"/>
      <c r="M192" s="113">
        <f>SUM(C187:L192)</f>
        <v>24685</v>
      </c>
      <c r="N192" s="100"/>
      <c r="O192" s="100"/>
      <c r="P192" s="100"/>
      <c r="Q192" s="104">
        <f>(M192/1000)*640*R192</f>
        <v>192740480</v>
      </c>
      <c r="R192">
        <v>12200</v>
      </c>
      <c r="S192">
        <f>(M192/1000)*640</f>
        <v>15798.4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18</vt:i4>
      </vt:variant>
    </vt:vector>
  </HeadingPairs>
  <TitlesOfParts>
    <vt:vector size="18" baseType="lpstr">
      <vt:lpstr>Итого Месяцев</vt:lpstr>
      <vt:lpstr>Курс валют</vt:lpstr>
      <vt:lpstr>Оплата рабочих</vt:lpstr>
      <vt:lpstr>Бозорлик</vt:lpstr>
      <vt:lpstr>Снабжения</vt:lpstr>
      <vt:lpstr>Арматура приход</vt:lpstr>
      <vt:lpstr>Остаток</vt:lpstr>
      <vt:lpstr>Срочный заказ</vt:lpstr>
      <vt:lpstr>Контакты</vt:lpstr>
      <vt:lpstr>Бетон</vt:lpstr>
      <vt:lpstr>Строй.Мат</vt:lpstr>
      <vt:lpstr>Учет расходов</vt:lpstr>
      <vt:lpstr>Зарплата</vt:lpstr>
      <vt:lpstr>Расходы</vt:lpstr>
      <vt:lpstr>Спец.Техника</vt:lpstr>
      <vt:lpstr>Охрана</vt:lpstr>
      <vt:lpstr>Шерзод Ака</vt:lpstr>
      <vt:lpstr>Арматура приход (сырьё)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Umarxon Nosirxo'jayev</dc:creator>
  <cp:keywords/>
  <dc:description/>
  <cp:lastModifiedBy>Umarxon Nosirxo'jayev</cp:lastModifiedBy>
  <cp:revision/>
  <dcterms:created xsi:type="dcterms:W3CDTF">2015-06-05T18:19:34Z</dcterms:created>
  <dcterms:modified xsi:type="dcterms:W3CDTF">2026-06-06T06:58:56Z</dcterms:modified>
  <cp:category/>
  <cp:contentStatus/>
</cp:coreProperties>
</file>